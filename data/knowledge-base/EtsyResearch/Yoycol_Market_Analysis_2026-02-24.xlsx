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ycol Catalog" sheetId="1" state="visible" r:id="rId3"/>
    <sheet name="Keyword Demand" sheetId="2" state="visible" r:id="rId4"/>
    <sheet name="Top Opportunities" sheetId="3" state="visible" r:id="rId5"/>
    <sheet name="Pinterest Ads" sheetId="4" state="visible" r:id="rId6"/>
    <sheet name="Seasonal Strategy" sheetId="5" state="visible" r:id="rId7"/>
    <sheet name="Niche 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<sst xmlns="http://schemas.openxmlformats.org/spreadsheetml/2006/main" count="474" uniqueCount="332">
  <si>
    <t xml:space="preserve">Yoycol Women's AOP Product Catalog — Spring/Summer 2026 Opportunity Analysis</t>
  </si>
  <si>
    <t xml:space="preserve">Source: yoycol.com | 523 women's items total | Prices in USD | Shipping ~$6-11 to US | Production: 2.5-4 days avg</t>
  </si>
  <si>
    <t xml:space="preserve">Etsy Fee Rate:</t>
  </si>
  <si>
    <t xml:space="preserve">(6.5% transaction + 3% payment + 15% offsite ads + $0.20 listing)</t>
  </si>
  <si>
    <t xml:space="preserve">Category</t>
  </si>
  <si>
    <t xml:space="preserve">Product Name</t>
  </si>
  <si>
    <t xml:space="preserve">Base
Cost</t>
  </si>
  <si>
    <t xml:space="preserve">Ship
Cost</t>
  </si>
  <si>
    <t xml:space="preserve">Landed
Cost</t>
  </si>
  <si>
    <t xml:space="preserve">Etsy
Fees</t>
  </si>
  <si>
    <t xml:space="preserve">Est. Etsy
Sale Price</t>
  </si>
  <si>
    <t xml:space="preserve">Net
Profit</t>
  </si>
  <si>
    <t xml:space="preserve">Margin</t>
  </si>
  <si>
    <t xml:space="preserve">Material</t>
  </si>
  <si>
    <t xml:space="preserve">Weight
(kg)</t>
  </si>
  <si>
    <t xml:space="preserve">Sizes</t>
  </si>
  <si>
    <t xml:space="preserve">Season
Fit</t>
  </si>
  <si>
    <t xml:space="preserve">Dresses</t>
  </si>
  <si>
    <t xml:space="preserve">Floral V-Neck Short Sleeve Dress</t>
  </si>
  <si>
    <t xml:space="preserve">95% poly / 5% spandex</t>
  </si>
  <si>
    <t xml:space="preserve">XS-7XL</t>
  </si>
  <si>
    <t xml:space="preserve">Spring/Summer</t>
  </si>
  <si>
    <t xml:space="preserve">Stacked Ruffle Sleeve Dress</t>
  </si>
  <si>
    <t xml:space="preserve">XS-6XL</t>
  </si>
  <si>
    <t xml:space="preserve">Sleeveless Cami Dress</t>
  </si>
  <si>
    <t xml:space="preserve">S-5XL</t>
  </si>
  <si>
    <t xml:space="preserve">Summer</t>
  </si>
  <si>
    <t xml:space="preserve">Tank Vest Dress</t>
  </si>
  <si>
    <t xml:space="preserve">XS-5XL</t>
  </si>
  <si>
    <t xml:space="preserve">Maxi Dress (Plus Size)</t>
  </si>
  <si>
    <t xml:space="preserve">S-6XL</t>
  </si>
  <si>
    <t xml:space="preserve">Year-round</t>
  </si>
  <si>
    <t xml:space="preserve">Sleeveless Maxi Dress</t>
  </si>
  <si>
    <t xml:space="preserve">Elastic Waist Dress</t>
  </si>
  <si>
    <t xml:space="preserve">XS-3XL</t>
  </si>
  <si>
    <t xml:space="preserve">V-neck Dress With Side Slit</t>
  </si>
  <si>
    <t xml:space="preserve">S-3XL</t>
  </si>
  <si>
    <t xml:space="preserve">Elegant Mesh Lace Evening Dress</t>
  </si>
  <si>
    <t xml:space="preserve">Sheer Mesh Backless Maxi Dress</t>
  </si>
  <si>
    <t xml:space="preserve">Skirts</t>
  </si>
  <si>
    <t xml:space="preserve">Maxi Chiffon Skirt With Lining</t>
  </si>
  <si>
    <t xml:space="preserve">100% polyester</t>
  </si>
  <si>
    <t xml:space="preserve">Long Maxi Skirt With Pockets (BESTSELLER)</t>
  </si>
  <si>
    <t xml:space="preserve">Tops</t>
  </si>
  <si>
    <t xml:space="preserve">Mesh T-shirt (BESTSELLER)</t>
  </si>
  <si>
    <t xml:space="preserve">Cropped T-Shirt</t>
  </si>
  <si>
    <t xml:space="preserve">Raglan Cropped T-shirt</t>
  </si>
  <si>
    <t xml:space="preserve">XS-2XL</t>
  </si>
  <si>
    <t xml:space="preserve">Spaghetti Strap Tank Top</t>
  </si>
  <si>
    <t xml:space="preserve">2XS-5XL</t>
  </si>
  <si>
    <t xml:space="preserve">One-Shoulder Cropped Top</t>
  </si>
  <si>
    <t xml:space="preserve">80% poly / 20% spandex</t>
  </si>
  <si>
    <t xml:space="preserve">Double-Layer Strapless Top</t>
  </si>
  <si>
    <t xml:space="preserve">88% poly / 12% spandex</t>
  </si>
  <si>
    <t xml:space="preserve">2XS-3XL</t>
  </si>
  <si>
    <t xml:space="preserve">Short Sleeve Mesh Blouse</t>
  </si>
  <si>
    <t xml:space="preserve">Bottoms</t>
  </si>
  <si>
    <t xml:space="preserve">High Waist Wide Leg Trousers</t>
  </si>
  <si>
    <t xml:space="preserve">High-Stretch Shorts</t>
  </si>
  <si>
    <t xml:space="preserve">90% poly / 10% spandex</t>
  </si>
  <si>
    <t xml:space="preserve">S-4XL</t>
  </si>
  <si>
    <t xml:space="preserve">Hoodies</t>
  </si>
  <si>
    <t xml:space="preserve">Women's Pullover Hoodie</t>
  </si>
  <si>
    <t xml:space="preserve">Hoodie With Decorative Ears</t>
  </si>
  <si>
    <t xml:space="preserve">Fall/Winter</t>
  </si>
  <si>
    <t xml:space="preserve">Patchwork Hoodie (280 GSM)</t>
  </si>
  <si>
    <t xml:space="preserve">Outerwear</t>
  </si>
  <si>
    <t xml:space="preserve">Long Sleeve Thumbhole Jacket</t>
  </si>
  <si>
    <t xml:space="preserve">Spring/Fall</t>
  </si>
  <si>
    <t xml:space="preserve">Long Sleeve Outwear</t>
  </si>
  <si>
    <t xml:space="preserve">Quarter Zip Sport Shirt (210GSM)</t>
  </si>
  <si>
    <t xml:space="preserve">XS-4XL</t>
  </si>
  <si>
    <t xml:space="preserve">Sleepwear</t>
  </si>
  <si>
    <t xml:space="preserve">Satin Pajama Set</t>
  </si>
  <si>
    <t xml:space="preserve">97% poly / 3% spandex</t>
  </si>
  <si>
    <t xml:space="preserve">Loungewear Set</t>
  </si>
  <si>
    <t xml:space="preserve">Imitation Silk Pajama Set (Short)</t>
  </si>
  <si>
    <t xml:space="preserve">Trousers Pajamas Set</t>
  </si>
  <si>
    <t xml:space="preserve">Robes</t>
  </si>
  <si>
    <t xml:space="preserve">Imitation Silk V-neck Kaftan Robe</t>
  </si>
  <si>
    <t xml:space="preserve">Jumpsuits</t>
  </si>
  <si>
    <t xml:space="preserve">Women's Jumpsuit</t>
  </si>
  <si>
    <t xml:space="preserve">S-2XL</t>
  </si>
  <si>
    <t xml:space="preserve">Bodysuits</t>
  </si>
  <si>
    <t xml:space="preserve">Long Sleeve Bodysuit</t>
  </si>
  <si>
    <t xml:space="preserve">Sets</t>
  </si>
  <si>
    <t xml:space="preserve">Women's Stretch Hoodie Set</t>
  </si>
  <si>
    <t xml:space="preserve">Shirts</t>
  </si>
  <si>
    <t xml:space="preserve">Women's Shirt (AOP)</t>
  </si>
  <si>
    <t xml:space="preserve">Long Shirt</t>
  </si>
  <si>
    <t xml:space="preserve">Search Demand Matrix — Google US Monthly Volumes (Keywords Everywhere)</t>
  </si>
  <si>
    <t xml:space="preserve">Keyword</t>
  </si>
  <si>
    <t xml:space="preserve">Monthly
Search Vol</t>
  </si>
  <si>
    <t xml:space="preserve">CPC
(USD)</t>
  </si>
  <si>
    <t xml:space="preserve">Competition</t>
  </si>
  <si>
    <t xml:space="preserve">Spring
Peak</t>
  </si>
  <si>
    <t xml:space="preserve">Summer
Peak</t>
  </si>
  <si>
    <t xml:space="preserve">Fall/Winter
Peak</t>
  </si>
  <si>
    <t xml:space="preserve">Yoycol
Product Match</t>
  </si>
  <si>
    <t xml:space="preserve">Opportunity
Score</t>
  </si>
  <si>
    <t xml:space="preserve">floral maxi dress</t>
  </si>
  <si>
    <t xml:space="preserve">Sleeveless Maxi Dress, V-Neck Dress</t>
  </si>
  <si>
    <t xml:space="preserve">cottagecore dress</t>
  </si>
  <si>
    <t xml:space="preserve">Ruffle Sleeve Dress, Elastic Waist Dress</t>
  </si>
  <si>
    <t xml:space="preserve">graphic hoodie women</t>
  </si>
  <si>
    <t xml:space="preserve">Pullover Hoodie, Patchwork Hoodie</t>
  </si>
  <si>
    <t xml:space="preserve">witch dress</t>
  </si>
  <si>
    <t xml:space="preserve">Mesh Lace Dress, Sheer Maxi Dress</t>
  </si>
  <si>
    <t xml:space="preserve">matching loungewear set</t>
  </si>
  <si>
    <t xml:space="preserve">Loungewear Set, Stretch Hoodie Set</t>
  </si>
  <si>
    <t xml:space="preserve">boho dress women</t>
  </si>
  <si>
    <t xml:space="preserve">Maxi Dress, V-Neck Dress, Cami Dress</t>
  </si>
  <si>
    <t xml:space="preserve">floral maxi dress women</t>
  </si>
  <si>
    <t xml:space="preserve">Sleeveless Maxi Dress, Chiffon Skirt</t>
  </si>
  <si>
    <t xml:space="preserve">boho maxi skirt</t>
  </si>
  <si>
    <t xml:space="preserve">Long Maxi Skirt With Pockets</t>
  </si>
  <si>
    <t xml:space="preserve">floral jumpsuit women</t>
  </si>
  <si>
    <t xml:space="preserve">Jumpsuit</t>
  </si>
  <si>
    <t xml:space="preserve">celestial dress</t>
  </si>
  <si>
    <t xml:space="preserve">Mesh Lace Dress, Maxi Dress</t>
  </si>
  <si>
    <t xml:space="preserve">butterfly dress women</t>
  </si>
  <si>
    <t xml:space="preserve">V-Neck Dress, Cami Dress, Tank Dress</t>
  </si>
  <si>
    <t xml:space="preserve">boho summer dress</t>
  </si>
  <si>
    <t xml:space="preserve">All dresses</t>
  </si>
  <si>
    <t xml:space="preserve">kimono robe women</t>
  </si>
  <si>
    <t xml:space="preserve">Silk V-neck Kaftan Robe</t>
  </si>
  <si>
    <t xml:space="preserve">mushroom dress</t>
  </si>
  <si>
    <t xml:space="preserve">Ruffle Dress, Elastic Waist Dress</t>
  </si>
  <si>
    <t xml:space="preserve">wide leg pants floral</t>
  </si>
  <si>
    <t xml:space="preserve">matching pajama set women</t>
  </si>
  <si>
    <t xml:space="preserve">Satin Pajama Set, Silk Pajama Set</t>
  </si>
  <si>
    <t xml:space="preserve">dark academia dress</t>
  </si>
  <si>
    <t xml:space="preserve">Elastic Waist Dress, Long Shirt</t>
  </si>
  <si>
    <t xml:space="preserve">mushroom hoodie</t>
  </si>
  <si>
    <t xml:space="preserve">sun moon dress</t>
  </si>
  <si>
    <t xml:space="preserve">V-Neck Dress, Maxi Dress</t>
  </si>
  <si>
    <t xml:space="preserve">moth hoodie</t>
  </si>
  <si>
    <t xml:space="preserve">Pullover Hoodie</t>
  </si>
  <si>
    <t xml:space="preserve">butterfly maxi dress</t>
  </si>
  <si>
    <t xml:space="preserve">dragonfly dress</t>
  </si>
  <si>
    <t xml:space="preserve">V-Neck Dress, Elastic Waist Dress</t>
  </si>
  <si>
    <t xml:space="preserve">skull hoodie women</t>
  </si>
  <si>
    <t xml:space="preserve">boho wrap dress</t>
  </si>
  <si>
    <t xml:space="preserve">celestial hoodie</t>
  </si>
  <si>
    <t xml:space="preserve">zodiac hoodie</t>
  </si>
  <si>
    <t xml:space="preserve">dark cottagecore dress</t>
  </si>
  <si>
    <t xml:space="preserve">Ruffle Dress, Maxi Dress</t>
  </si>
  <si>
    <t xml:space="preserve">celestial kimono</t>
  </si>
  <si>
    <t xml:space="preserve">Silk Kaftan Robe</t>
  </si>
  <si>
    <t xml:space="preserve">Top 10 Spring/Summer Product Opportunities — Ranked by Margin x Demand</t>
  </si>
  <si>
    <t xml:space="preserve">Rank</t>
  </si>
  <si>
    <t xml:space="preserve">Product
Category</t>
  </si>
  <si>
    <t xml:space="preserve">Yoycol Product</t>
  </si>
  <si>
    <t xml:space="preserve">Target
Niche</t>
  </si>
  <si>
    <t xml:space="preserve">Yoycol
Cost</t>
  </si>
  <si>
    <t xml:space="preserve">Ship</t>
  </si>
  <si>
    <t xml:space="preserve">Landed</t>
  </si>
  <si>
    <t xml:space="preserve">Etsy
Price</t>
  </si>
  <si>
    <t xml:space="preserve">Profit</t>
  </si>
  <si>
    <t xml:space="preserve">Google
Search Vol</t>
  </si>
  <si>
    <t xml:space="preserve">Dress</t>
  </si>
  <si>
    <t xml:space="preserve">Floral/Boho/Cottagecore</t>
  </si>
  <si>
    <t xml:space="preserve">Cottagecore/Mushroom/Butterfly</t>
  </si>
  <si>
    <t xml:space="preserve">Skirt</t>
  </si>
  <si>
    <t xml:space="preserve">Boho/Celestial/Floral</t>
  </si>
  <si>
    <t xml:space="preserve">Summer Boho/Floral</t>
  </si>
  <si>
    <t xml:space="preserve">Floral/Boho</t>
  </si>
  <si>
    <t xml:space="preserve">Loungewear</t>
  </si>
  <si>
    <t xml:space="preserve">Matching Set/Celestial</t>
  </si>
  <si>
    <t xml:space="preserve">Robe</t>
  </si>
  <si>
    <t xml:space="preserve">Celestial/Kimono</t>
  </si>
  <si>
    <t xml:space="preserve">Top</t>
  </si>
  <si>
    <t xml:space="preserve">Mesh T-shirt (Bestseller)</t>
  </si>
  <si>
    <t xml:space="preserve">Graphic/Boho/Festival</t>
  </si>
  <si>
    <t xml:space="preserve">Hoodie</t>
  </si>
  <si>
    <t xml:space="preserve">Mushroom/Celestial/Moth</t>
  </si>
  <si>
    <t xml:space="preserve">Pinterest Ads Profitability Model — AOP Women's Fashion</t>
  </si>
  <si>
    <t xml:space="preserve">PINTEREST BENCHMARKS</t>
  </si>
  <si>
    <t xml:space="preserve">Average CPC (fashion)</t>
  </si>
  <si>
    <t xml:space="preserve">Average CPM</t>
  </si>
  <si>
    <t xml:space="preserve">Average CTR</t>
  </si>
  <si>
    <t xml:space="preserve">Conversion Rate (landing → purchase)</t>
  </si>
  <si>
    <t xml:space="preserve">Average ROAS (e-commerce)</t>
  </si>
  <si>
    <t xml:space="preserve">YOUR PRODUCT ASSUMPTIONS</t>
  </si>
  <si>
    <t xml:space="preserve">Average Etsy Sale Price</t>
  </si>
  <si>
    <t xml:space="preserve">Average Landed Cost (Yoycol)</t>
  </si>
  <si>
    <t xml:space="preserve">Etsy Fees (24.5% + $0.20)</t>
  </si>
  <si>
    <t xml:space="preserve">Net Margin Before Ads</t>
  </si>
  <si>
    <t xml:space="preserve">PROFITABILITY CALCULATOR</t>
  </si>
  <si>
    <t xml:space="preserve">Monthly Ad Budget</t>
  </si>
  <si>
    <t xml:space="preserve">Est. Clicks (budget / CPC)</t>
  </si>
  <si>
    <t xml:space="preserve">Est. Sales (clicks * conv rate)</t>
  </si>
  <si>
    <t xml:space="preserve">Revenue (sales * avg price)</t>
  </si>
  <si>
    <t xml:space="preserve">COGS (sales * landed cost)</t>
  </si>
  <si>
    <t xml:space="preserve">Etsy Fees on Revenue</t>
  </si>
  <si>
    <t xml:space="preserve">Net Revenue After COGS + Fees</t>
  </si>
  <si>
    <t xml:space="preserve">Ad ROAS</t>
  </si>
  <si>
    <t xml:space="preserve">Net Profit After Ads</t>
  </si>
  <si>
    <t xml:space="preserve">&lt; NEGATIVE = ads NOT profitable at these assumptions</t>
  </si>
  <si>
    <t xml:space="preserve">BREAKEVEN ANALYSIS</t>
  </si>
  <si>
    <t xml:space="preserve">Breakeven Conv Rate (at current CPC)</t>
  </si>
  <si>
    <t xml:space="preserve">Conv rate needed to break even on ads</t>
  </si>
  <si>
    <t xml:space="preserve">Breakeven CPC (at current conv rate)</t>
  </si>
  <si>
    <t xml:space="preserve">Max CPC to stay profitable</t>
  </si>
  <si>
    <t xml:space="preserve">SCENARIO COMPARISON</t>
  </si>
  <si>
    <t xml:space="preserve">Scenario</t>
  </si>
  <si>
    <t xml:space="preserve">Avg Price</t>
  </si>
  <si>
    <t xml:space="preserve">Conv Rate</t>
  </si>
  <si>
    <t xml:space="preserve">Monthly Sales</t>
  </si>
  <si>
    <t xml:space="preserve">Revenue</t>
  </si>
  <si>
    <t xml:space="preserve">Net After Ads</t>
  </si>
  <si>
    <t xml:space="preserve">Conservative ($300/mo, 2.5% conv)</t>
  </si>
  <si>
    <t xml:space="preserve">Moderate ($300/mo, 3.5% conv)</t>
  </si>
  <si>
    <t xml:space="preserve">Optimized ($300/mo, 5% conv)</t>
  </si>
  <si>
    <t xml:space="preserve">Higher AOV ($300/mo, 2.5% conv)</t>
  </si>
  <si>
    <t xml:space="preserve">Best Case ($500/mo, 4% conv, $45)</t>
  </si>
  <si>
    <t xml:space="preserve">RECOMMENDATION</t>
  </si>
  <si>
    <t xml:space="preserve">Pinterest ads are PROFITABLE if you can achieve ≥3.5% conversion rate OR raise avg sale price above $45.</t>
  </si>
  <si>
    <t xml:space="preserve">Start with $5-10/day, optimize for conversions, focus on highest-margin products (Maxi Dresses, Robes, Hoodie Sets).</t>
  </si>
  <si>
    <t xml:space="preserve">Pinterest's 55% shopping intent (highest of all social platforms) + visual format is ideal for AOP products.</t>
  </si>
  <si>
    <t xml:space="preserve">Key: Use rich pins, lifestyle mockups, and target cottagecore/boho/celestial interest audiences.</t>
  </si>
  <si>
    <t xml:space="preserve">Seasonal Product Launch Calendar — Spring/Summer 2026</t>
  </si>
  <si>
    <t xml:space="preserve">Month</t>
  </si>
  <si>
    <t xml:space="preserve">Season</t>
  </si>
  <si>
    <t xml:space="preserve">Focus Products</t>
  </si>
  <si>
    <t xml:space="preserve">Top Niches</t>
  </si>
  <si>
    <t xml:space="preserve">Keyword Peak</t>
  </si>
  <si>
    <t xml:space="preserve">Action</t>
  </si>
  <si>
    <t xml:space="preserve">Pinterest Strategy</t>
  </si>
  <si>
    <t xml:space="preserve">Mar 2026</t>
  </si>
  <si>
    <t xml:space="preserve">Early Spring</t>
  </si>
  <si>
    <t xml:space="preserve">Maxi Dresses, Skirts, Light Jackets</t>
  </si>
  <si>
    <t xml:space="preserve">Cottagecore, Boho, Floral</t>
  </si>
  <si>
    <t xml:space="preserve">cottagecore dress 8.1K
floral maxi 33K</t>
  </si>
  <si>
    <t xml:space="preserve">Launch spring collection
List 15-20 dresses</t>
  </si>
  <si>
    <t xml:space="preserve">Start awareness pins
$5/day budget</t>
  </si>
  <si>
    <t xml:space="preserve">Apr 2026</t>
  </si>
  <si>
    <t xml:space="preserve">Spring</t>
  </si>
  <si>
    <t xml:space="preserve">Dresses, Wide Leg Pants, Jumpsuits</t>
  </si>
  <si>
    <t xml:space="preserve">Mushroom, Butterfly, Boho</t>
  </si>
  <si>
    <t xml:space="preserve">boho summer dress 4.4K
floral jumpsuit 5.4K</t>
  </si>
  <si>
    <t xml:space="preserve">Scale winning designs
Add jumpsuit line</t>
  </si>
  <si>
    <t xml:space="preserve">Increase to $10/day
Target cottagecore boards</t>
  </si>
  <si>
    <t xml:space="preserve">May 2026</t>
  </si>
  <si>
    <t xml:space="preserve">Late Spring</t>
  </si>
  <si>
    <t xml:space="preserve">Summer Dresses, Tank Tops, Shorts</t>
  </si>
  <si>
    <t xml:space="preserve">Floral, Celestial, Festival</t>
  </si>
  <si>
    <t xml:space="preserve">floral maxi dress 49.5K
mushroom dress 2.9K</t>
  </si>
  <si>
    <t xml:space="preserve">Peak dress season
Full summer catalog live</t>
  </si>
  <si>
    <t xml:space="preserve">Scale winners to $15/day
Shopping ads on top 5</t>
  </si>
  <si>
    <t xml:space="preserve">Jun 2026</t>
  </si>
  <si>
    <t xml:space="preserve">Early Summer</t>
  </si>
  <si>
    <t xml:space="preserve">Cami Dresses, Mesh Tops, Shorts</t>
  </si>
  <si>
    <t xml:space="preserve">Boho, Festival, Beach</t>
  </si>
  <si>
    <t xml:space="preserve">boho summer dress 6.6K
boho maxi skirt 3.6K</t>
  </si>
  <si>
    <t xml:space="preserve">Festival/beach collection
Cami &amp; tank focus</t>
  </si>
  <si>
    <t xml:space="preserve">Peak Pinterest traffic
Max budget on top ROAS</t>
  </si>
  <si>
    <t xml:space="preserve">Jul 2026</t>
  </si>
  <si>
    <t xml:space="preserve">Sleeveless Dresses, Rompers, Robes</t>
  </si>
  <si>
    <t xml:space="preserve">Floral, Celestial, Vacation</t>
  </si>
  <si>
    <t xml:space="preserve">floral maxi 33.1K
kimono robe 2.4K</t>
  </si>
  <si>
    <t xml:space="preserve">Vacation/resort collection
Robes for gifting</t>
  </si>
  <si>
    <t xml:space="preserve">Maintain spend
Test robe/gift pins</t>
  </si>
  <si>
    <t xml:space="preserve">Aug 2026</t>
  </si>
  <si>
    <t xml:space="preserve">Late Summer</t>
  </si>
  <si>
    <t xml:space="preserve">Transitional — Dresses + Light Hoodies</t>
  </si>
  <si>
    <t xml:space="preserve">Dark Cottagecore, Witch</t>
  </si>
  <si>
    <t xml:space="preserve">dark academia 880
witch dress ramp-up</t>
  </si>
  <si>
    <t xml:space="preserve">Start fall preview
Hoodie teasers</t>
  </si>
  <si>
    <t xml:space="preserve">Pivot to fall aesthetic
Dark/moody creative</t>
  </si>
  <si>
    <t xml:space="preserve">Sep 2026</t>
  </si>
  <si>
    <t xml:space="preserve">Early Fall</t>
  </si>
  <si>
    <t xml:space="preserve">Hoodies, Pajama Sets, Outerwear</t>
  </si>
  <si>
    <t xml:space="preserve">Witch, Gothic, Celestial</t>
  </si>
  <si>
    <t xml:space="preserve">witch dress 8.1K
matching loungewear 4.4K</t>
  </si>
  <si>
    <t xml:space="preserve">Halloween prep
Loungewear push</t>
  </si>
  <si>
    <t xml:space="preserve">Halloween-themed pins
Gift guide content</t>
  </si>
  <si>
    <t xml:space="preserve">Oct 2026</t>
  </si>
  <si>
    <t xml:space="preserve">Fall</t>
  </si>
  <si>
    <t xml:space="preserve">Hoodies, Loungewear Sets, Fleece</t>
  </si>
  <si>
    <t xml:space="preserve">Gothic, Skull, Moon/Witch</t>
  </si>
  <si>
    <t xml:space="preserve">witch dress 14.8K
skull hoodie 320</t>
  </si>
  <si>
    <t xml:space="preserve">Peak hoodie season
Halloween collection</t>
  </si>
  <si>
    <t xml:space="preserve">Max spend on hoodies
Halloween urgency ads</t>
  </si>
  <si>
    <t xml:space="preserve">Recommended Niche x Product Matrix for LunarAuraDesignStore</t>
  </si>
  <si>
    <t xml:space="preserve">Niche</t>
  </si>
  <si>
    <t xml:space="preserve">Total Monthly
Search Demand</t>
  </si>
  <si>
    <t xml:space="preserve">Product Types</t>
  </si>
  <si>
    <t xml:space="preserve">Seasonality</t>
  </si>
  <si>
    <t xml:space="preserve">ICP Match
(Your Audience)</t>
  </si>
  <si>
    <t xml:space="preserve">Priority</t>
  </si>
  <si>
    <t xml:space="preserve">Cottagecore / Mushroom</t>
  </si>
  <si>
    <t xml:space="preserve">8,500+</t>
  </si>
  <si>
    <t xml:space="preserve">Dresses, Skirts, Hoodies, Robes, Pajamas</t>
  </si>
  <si>
    <t xml:space="preserve">Year-round (spring peak)</t>
  </si>
  <si>
    <t xml:space="preserve">PERFECT — core ICP</t>
  </si>
  <si>
    <t xml:space="preserve">P1 — LAUNCH NOW</t>
  </si>
  <si>
    <t xml:space="preserve">Boho / Floral</t>
  </si>
  <si>
    <t xml:space="preserve">40,000+</t>
  </si>
  <si>
    <t xml:space="preserve">Maxi Dresses, Skirts, Wide Leg Pants, Jumpsuits</t>
  </si>
  <si>
    <t xml:space="preserve">Spring/Summer peak</t>
  </si>
  <si>
    <t xml:space="preserve">STRONG — overlaps ICP</t>
  </si>
  <si>
    <t xml:space="preserve">Celestial / Moon &amp; Sun</t>
  </si>
  <si>
    <t xml:space="preserve">6,000+</t>
  </si>
  <si>
    <t xml:space="preserve">Dresses, Hoodies, Kimono Robes, Skirts</t>
  </si>
  <si>
    <t xml:space="preserve">Year-round (slight winter peak)</t>
  </si>
  <si>
    <t xml:space="preserve">Butterfly / Dragonfly / Moth</t>
  </si>
  <si>
    <t xml:space="preserve">3,600+</t>
  </si>
  <si>
    <t xml:space="preserve">Dresses, Hoodies, Tops</t>
  </si>
  <si>
    <t xml:space="preserve">STRONG — nature/whimsy</t>
  </si>
  <si>
    <t xml:space="preserve">P2 — SPRING LAUNCH</t>
  </si>
  <si>
    <t xml:space="preserve">Dark Cottagecore / Witch</t>
  </si>
  <si>
    <t xml:space="preserve">6,500+</t>
  </si>
  <si>
    <t xml:space="preserve">Dresses, Hoodies, Loungewear</t>
  </si>
  <si>
    <t xml:space="preserve">Fall peak (Sep-Nov)</t>
  </si>
  <si>
    <t xml:space="preserve">P2 — FALL LAUNCH</t>
  </si>
  <si>
    <t xml:space="preserve">Dark Academia</t>
  </si>
  <si>
    <t xml:space="preserve">880+</t>
  </si>
  <si>
    <t xml:space="preserve">Dresses, Shirts, Skirts</t>
  </si>
  <si>
    <t xml:space="preserve">Fall/Back-to-school</t>
  </si>
  <si>
    <t xml:space="preserve">MODERATE</t>
  </si>
  <si>
    <t xml:space="preserve">P3 — TEST</t>
  </si>
  <si>
    <t xml:space="preserve">Skull / Gothic</t>
  </si>
  <si>
    <t xml:space="preserve">310+</t>
  </si>
  <si>
    <t xml:space="preserve">Hoodies, Dresses</t>
  </si>
  <si>
    <t xml:space="preserve">Year-round (fall peak)</t>
  </si>
  <si>
    <t xml:space="preserve">MODERATE — darker edge</t>
  </si>
  <si>
    <t xml:space="preserve">Japanese Art / Wave</t>
  </si>
  <si>
    <t xml:space="preserve">40+</t>
  </si>
  <si>
    <t xml:space="preserve">Hoodies only</t>
  </si>
  <si>
    <t xml:space="preserve">NICHE — current strength</t>
  </si>
  <si>
    <t xml:space="preserve">P3 — KEEP EXISTING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</si>
</sst>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$#,##0.00"/>
    <numFmt numFmtId="167" formatCode="#,##0"/>
    <numFmt numFmtId="168" formatCode="0.00"/>
    <numFmt numFmtId="169" formatCode="0.0"/>
    <numFmt numFmtId="170" formatCode="0.0\x"/>
    <numFmt numFmtId="171" formatCode="0.00%"/>
    <numFmt numFmtId="172" formatCode="\$#,##0.00"/>
    <numFmt numFmtId="173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CC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F8FAFC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F3E8FF"/>
      </patternFill>
    </fill>
    <fill>
      <patternFill patternType="solid">
        <fgColor rgb="FFF3E8FF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8FAFC"/>
      <rgbColor rgb="FFF3E8FF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6" min="3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26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1" t="s">
        <v>2</v>
      </c>
      <c r="B3" s="4" t="n">
        <v>0.245</v>
      </c>
      <c r="C3" s="5" t="s">
        <v>3</v>
      </c>
    </row>
    <row r="4" customFormat="false" ht="26.2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</row>
    <row r="5" customFormat="false" ht="15" hidden="false" customHeight="true" outlineLevel="0" collapsed="false">
      <c r="A5" s="7" t="s">
        <v>17</v>
      </c>
      <c r="B5" s="7" t="s">
        <v>18</v>
      </c>
      <c r="C5" s="8" t="n">
        <v>11.69</v>
      </c>
      <c r="D5" s="8" t="n">
        <v>8.5</v>
      </c>
      <c r="E5" s="9" t="n">
        <f aca="false">C5+D5</f>
        <v>20.19</v>
      </c>
      <c r="F5" s="10" t="n">
        <f aca="false">G5*$B$3+0.2</f>
        <v>9.99755</v>
      </c>
      <c r="G5" s="8" t="n">
        <v>39.99</v>
      </c>
      <c r="H5" s="11" t="n">
        <f aca="false">G5-E5-F5</f>
        <v>9.80245</v>
      </c>
      <c r="I5" s="12" t="n">
        <f aca="false">IF(G5&gt;0,H5/G5,0)</f>
        <v>0.245122530632658</v>
      </c>
      <c r="J5" s="7" t="s">
        <v>19</v>
      </c>
      <c r="K5" s="7" t="n">
        <v>0.228</v>
      </c>
      <c r="L5" s="7" t="s">
        <v>20</v>
      </c>
      <c r="M5" s="7" t="s">
        <v>21</v>
      </c>
    </row>
    <row r="6" customFormat="false" ht="15" hidden="false" customHeight="true" outlineLevel="0" collapsed="false">
      <c r="A6" s="13" t="s">
        <v>17</v>
      </c>
      <c r="B6" s="13" t="s">
        <v>22</v>
      </c>
      <c r="C6" s="14" t="n">
        <v>11.19</v>
      </c>
      <c r="D6" s="14" t="n">
        <v>8.5</v>
      </c>
      <c r="E6" s="15" t="n">
        <f aca="false">C6+D6</f>
        <v>19.69</v>
      </c>
      <c r="F6" s="16" t="n">
        <f aca="false">G6*$B$3+0.2</f>
        <v>9.99755</v>
      </c>
      <c r="G6" s="14" t="n">
        <v>39.99</v>
      </c>
      <c r="H6" s="17" t="n">
        <f aca="false">G6-E6-F6</f>
        <v>10.30245</v>
      </c>
      <c r="I6" s="18" t="n">
        <f aca="false">IF(G6&gt;0,H6/G6,0)</f>
        <v>0.257625656414104</v>
      </c>
      <c r="J6" s="13" t="s">
        <v>19</v>
      </c>
      <c r="K6" s="13" t="n">
        <v>0.265</v>
      </c>
      <c r="L6" s="13" t="s">
        <v>23</v>
      </c>
      <c r="M6" s="13" t="s">
        <v>21</v>
      </c>
    </row>
    <row r="7" customFormat="false" ht="15" hidden="false" customHeight="true" outlineLevel="0" collapsed="false">
      <c r="A7" s="7" t="s">
        <v>17</v>
      </c>
      <c r="B7" s="7" t="s">
        <v>24</v>
      </c>
      <c r="C7" s="8" t="n">
        <v>6.4</v>
      </c>
      <c r="D7" s="8" t="n">
        <v>7.5</v>
      </c>
      <c r="E7" s="9" t="n">
        <f aca="false">C7+D7</f>
        <v>13.9</v>
      </c>
      <c r="F7" s="10" t="n">
        <f aca="false">G7*$B$3+0.2</f>
        <v>7.54755</v>
      </c>
      <c r="G7" s="8" t="n">
        <v>29.99</v>
      </c>
      <c r="H7" s="11" t="n">
        <f aca="false">G7-E7-F7</f>
        <v>8.54245</v>
      </c>
      <c r="I7" s="12" t="n">
        <f aca="false">IF(G7&gt;0,H7/G7,0)</f>
        <v>0.284843281093698</v>
      </c>
      <c r="J7" s="7" t="s">
        <v>19</v>
      </c>
      <c r="K7" s="7" t="n">
        <v>0.238</v>
      </c>
      <c r="L7" s="7" t="s">
        <v>25</v>
      </c>
      <c r="M7" s="7" t="s">
        <v>26</v>
      </c>
    </row>
    <row r="8" customFormat="false" ht="15" hidden="false" customHeight="true" outlineLevel="0" collapsed="false">
      <c r="A8" s="13" t="s">
        <v>17</v>
      </c>
      <c r="B8" s="13" t="s">
        <v>27</v>
      </c>
      <c r="C8" s="14" t="n">
        <v>9.29</v>
      </c>
      <c r="D8" s="14" t="n">
        <v>8</v>
      </c>
      <c r="E8" s="15" t="n">
        <f aca="false">C8+D8</f>
        <v>17.29</v>
      </c>
      <c r="F8" s="16" t="n">
        <f aca="false">G8*$B$3+0.2</f>
        <v>8.77255</v>
      </c>
      <c r="G8" s="14" t="n">
        <v>34.99</v>
      </c>
      <c r="H8" s="17" t="n">
        <f aca="false">G8-E8-F8</f>
        <v>8.92745</v>
      </c>
      <c r="I8" s="18" t="n">
        <f aca="false">IF(G8&gt;0,H8/G8,0)</f>
        <v>0.255142897970849</v>
      </c>
      <c r="J8" s="13" t="s">
        <v>19</v>
      </c>
      <c r="K8" s="13" t="n">
        <v>0.32</v>
      </c>
      <c r="L8" s="13" t="s">
        <v>28</v>
      </c>
      <c r="M8" s="13" t="s">
        <v>26</v>
      </c>
    </row>
    <row r="9" customFormat="false" ht="15" hidden="false" customHeight="true" outlineLevel="0" collapsed="false">
      <c r="A9" s="7" t="s">
        <v>17</v>
      </c>
      <c r="B9" s="7" t="s">
        <v>29</v>
      </c>
      <c r="C9" s="8" t="n">
        <v>12.79</v>
      </c>
      <c r="D9" s="8" t="n">
        <v>9.5</v>
      </c>
      <c r="E9" s="9" t="n">
        <f aca="false">C9+D9</f>
        <v>22.29</v>
      </c>
      <c r="F9" s="10" t="n">
        <f aca="false">G9*$B$3+0.2</f>
        <v>11.22255</v>
      </c>
      <c r="G9" s="8" t="n">
        <v>44.99</v>
      </c>
      <c r="H9" s="11" t="n">
        <f aca="false">G9-E9-F9</f>
        <v>11.47745</v>
      </c>
      <c r="I9" s="12" t="n">
        <f aca="false">IF(G9&gt;0,H9/G9,0)</f>
        <v>0.255111135807957</v>
      </c>
      <c r="J9" s="7" t="s">
        <v>19</v>
      </c>
      <c r="K9" s="7" t="n">
        <v>0.647</v>
      </c>
      <c r="L9" s="7" t="s">
        <v>30</v>
      </c>
      <c r="M9" s="7" t="s">
        <v>31</v>
      </c>
    </row>
    <row r="10" customFormat="false" ht="15" hidden="false" customHeight="true" outlineLevel="0" collapsed="false">
      <c r="A10" s="13" t="s">
        <v>17</v>
      </c>
      <c r="B10" s="13" t="s">
        <v>32</v>
      </c>
      <c r="C10" s="14" t="n">
        <v>11.59</v>
      </c>
      <c r="D10" s="14" t="n">
        <v>8.5</v>
      </c>
      <c r="E10" s="15" t="n">
        <f aca="false">C10+D10</f>
        <v>20.09</v>
      </c>
      <c r="F10" s="16" t="n">
        <f aca="false">G10*$B$3+0.2</f>
        <v>9.99755</v>
      </c>
      <c r="G10" s="14" t="n">
        <v>39.99</v>
      </c>
      <c r="H10" s="17" t="n">
        <f aca="false">G10-E10-F10</f>
        <v>9.90245</v>
      </c>
      <c r="I10" s="18" t="n">
        <f aca="false">IF(G10&gt;0,H10/G10,0)</f>
        <v>0.247623155788947</v>
      </c>
      <c r="J10" s="13" t="s">
        <v>19</v>
      </c>
      <c r="K10" s="13" t="n">
        <v>0.347</v>
      </c>
      <c r="L10" s="13" t="s">
        <v>25</v>
      </c>
      <c r="M10" s="13" t="s">
        <v>21</v>
      </c>
    </row>
    <row r="11" customFormat="false" ht="15" hidden="false" customHeight="true" outlineLevel="0" collapsed="false">
      <c r="A11" s="7" t="s">
        <v>17</v>
      </c>
      <c r="B11" s="7" t="s">
        <v>33</v>
      </c>
      <c r="C11" s="8" t="n">
        <v>10.99</v>
      </c>
      <c r="D11" s="8" t="n">
        <v>8.5</v>
      </c>
      <c r="E11" s="9" t="n">
        <f aca="false">C11+D11</f>
        <v>19.49</v>
      </c>
      <c r="F11" s="10" t="n">
        <f aca="false">G11*$B$3+0.2</f>
        <v>9.99755</v>
      </c>
      <c r="G11" s="8" t="n">
        <v>39.99</v>
      </c>
      <c r="H11" s="11" t="n">
        <f aca="false">G11-E11-F11</f>
        <v>10.50245</v>
      </c>
      <c r="I11" s="12" t="n">
        <f aca="false">IF(G11&gt;0,H11/G11,0)</f>
        <v>0.262626906726682</v>
      </c>
      <c r="J11" s="7" t="s">
        <v>19</v>
      </c>
      <c r="K11" s="7" t="n">
        <v>0.351</v>
      </c>
      <c r="L11" s="7" t="s">
        <v>34</v>
      </c>
      <c r="M11" s="7" t="s">
        <v>31</v>
      </c>
    </row>
    <row r="12" customFormat="false" ht="15" hidden="false" customHeight="true" outlineLevel="0" collapsed="false">
      <c r="A12" s="13" t="s">
        <v>17</v>
      </c>
      <c r="B12" s="13" t="s">
        <v>35</v>
      </c>
      <c r="C12" s="14" t="n">
        <v>11.19</v>
      </c>
      <c r="D12" s="14" t="n">
        <v>8.5</v>
      </c>
      <c r="E12" s="15" t="n">
        <f aca="false">C12+D12</f>
        <v>19.69</v>
      </c>
      <c r="F12" s="16" t="n">
        <f aca="false">G12*$B$3+0.2</f>
        <v>9.99755</v>
      </c>
      <c r="G12" s="14" t="n">
        <v>39.99</v>
      </c>
      <c r="H12" s="17" t="n">
        <f aca="false">G12-E12-F12</f>
        <v>10.30245</v>
      </c>
      <c r="I12" s="18" t="n">
        <f aca="false">IF(G12&gt;0,H12/G12,0)</f>
        <v>0.257625656414104</v>
      </c>
      <c r="J12" s="13" t="s">
        <v>19</v>
      </c>
      <c r="K12" s="13" t="n">
        <v>0.443</v>
      </c>
      <c r="L12" s="13" t="s">
        <v>36</v>
      </c>
      <c r="M12" s="13" t="s">
        <v>26</v>
      </c>
    </row>
    <row r="13" customFormat="false" ht="15" hidden="false" customHeight="true" outlineLevel="0" collapsed="false">
      <c r="A13" s="7" t="s">
        <v>17</v>
      </c>
      <c r="B13" s="7" t="s">
        <v>37</v>
      </c>
      <c r="C13" s="8" t="n">
        <v>12.79</v>
      </c>
      <c r="D13" s="8" t="n">
        <v>8.5</v>
      </c>
      <c r="E13" s="9" t="n">
        <f aca="false">C13+D13</f>
        <v>21.29</v>
      </c>
      <c r="F13" s="10" t="n">
        <f aca="false">G13*$B$3+0.2</f>
        <v>12.44755</v>
      </c>
      <c r="G13" s="8" t="n">
        <v>49.99</v>
      </c>
      <c r="H13" s="11" t="n">
        <f aca="false">G13-E13-F13</f>
        <v>16.25245</v>
      </c>
      <c r="I13" s="12" t="n">
        <f aca="false">IF(G13&gt;0,H13/G13,0)</f>
        <v>0.325114022804561</v>
      </c>
      <c r="J13" s="7" t="s">
        <v>19</v>
      </c>
      <c r="K13" s="7" t="n">
        <v>0.24</v>
      </c>
      <c r="L13" s="7" t="s">
        <v>25</v>
      </c>
      <c r="M13" s="7" t="s">
        <v>31</v>
      </c>
    </row>
    <row r="14" customFormat="false" ht="15" hidden="false" customHeight="true" outlineLevel="0" collapsed="false">
      <c r="A14" s="13" t="s">
        <v>17</v>
      </c>
      <c r="B14" s="13" t="s">
        <v>38</v>
      </c>
      <c r="C14" s="14" t="n">
        <v>7.39</v>
      </c>
      <c r="D14" s="14" t="n">
        <v>7.5</v>
      </c>
      <c r="E14" s="15" t="n">
        <f aca="false">C14+D14</f>
        <v>14.89</v>
      </c>
      <c r="F14" s="16" t="n">
        <f aca="false">G14*$B$3+0.2</f>
        <v>8.77255</v>
      </c>
      <c r="G14" s="14" t="n">
        <v>34.99</v>
      </c>
      <c r="H14" s="17" t="n">
        <f aca="false">G14-E14-F14</f>
        <v>11.32745</v>
      </c>
      <c r="I14" s="18" t="n">
        <f aca="false">IF(G14&gt;0,H14/G14,0)</f>
        <v>0.32373392397828</v>
      </c>
      <c r="J14" s="13" t="s">
        <v>19</v>
      </c>
      <c r="K14" s="13" t="n">
        <v>0.116</v>
      </c>
      <c r="L14" s="13" t="s">
        <v>28</v>
      </c>
      <c r="M14" s="13" t="s">
        <v>26</v>
      </c>
    </row>
    <row r="15" customFormat="false" ht="15" hidden="false" customHeight="true" outlineLevel="0" collapsed="false">
      <c r="A15" s="7" t="s">
        <v>39</v>
      </c>
      <c r="B15" s="7" t="s">
        <v>40</v>
      </c>
      <c r="C15" s="8" t="n">
        <v>15.19</v>
      </c>
      <c r="D15" s="8" t="n">
        <v>8.5</v>
      </c>
      <c r="E15" s="9" t="n">
        <f aca="false">C15+D15</f>
        <v>23.69</v>
      </c>
      <c r="F15" s="10" t="n">
        <f aca="false">G15*$B$3+0.2</f>
        <v>11.22255</v>
      </c>
      <c r="G15" s="8" t="n">
        <v>44.99</v>
      </c>
      <c r="H15" s="11" t="n">
        <f aca="false">G15-E15-F15</f>
        <v>10.07745</v>
      </c>
      <c r="I15" s="12" t="n">
        <f aca="false">IF(G15&gt;0,H15/G15,0)</f>
        <v>0.223993109579907</v>
      </c>
      <c r="J15" s="7" t="s">
        <v>41</v>
      </c>
      <c r="K15" s="7" t="n">
        <v>0.31</v>
      </c>
      <c r="L15" s="7" t="s">
        <v>28</v>
      </c>
      <c r="M15" s="7" t="s">
        <v>21</v>
      </c>
    </row>
    <row r="16" customFormat="false" ht="15" hidden="false" customHeight="true" outlineLevel="0" collapsed="false">
      <c r="A16" s="13" t="s">
        <v>39</v>
      </c>
      <c r="B16" s="13" t="s">
        <v>42</v>
      </c>
      <c r="C16" s="14" t="n">
        <v>8.49</v>
      </c>
      <c r="D16" s="14" t="n">
        <v>8</v>
      </c>
      <c r="E16" s="15" t="n">
        <f aca="false">C16+D16</f>
        <v>16.49</v>
      </c>
      <c r="F16" s="16" t="n">
        <f aca="false">G16*$B$3+0.2</f>
        <v>8.77255</v>
      </c>
      <c r="G16" s="14" t="n">
        <v>34.99</v>
      </c>
      <c r="H16" s="17" t="n">
        <f aca="false">G16-E16-F16</f>
        <v>9.72745</v>
      </c>
      <c r="I16" s="18" t="n">
        <f aca="false">IF(G16&gt;0,H16/G16,0)</f>
        <v>0.278006573306659</v>
      </c>
      <c r="J16" s="13" t="s">
        <v>19</v>
      </c>
      <c r="K16" s="13" t="n">
        <v>0.323</v>
      </c>
      <c r="L16" s="13" t="s">
        <v>23</v>
      </c>
      <c r="M16" s="13" t="s">
        <v>31</v>
      </c>
    </row>
    <row r="17" customFormat="false" ht="15" hidden="false" customHeight="true" outlineLevel="0" collapsed="false">
      <c r="A17" s="7" t="s">
        <v>43</v>
      </c>
      <c r="B17" s="7" t="s">
        <v>44</v>
      </c>
      <c r="C17" s="8" t="n">
        <v>5.19</v>
      </c>
      <c r="D17" s="8" t="n">
        <v>6.5</v>
      </c>
      <c r="E17" s="9" t="n">
        <f aca="false">C17+D17</f>
        <v>11.69</v>
      </c>
      <c r="F17" s="10" t="n">
        <f aca="false">G17*$B$3+0.2</f>
        <v>6.32255</v>
      </c>
      <c r="G17" s="8" t="n">
        <v>24.99</v>
      </c>
      <c r="H17" s="11" t="n">
        <f aca="false">G17-E17-F17</f>
        <v>6.97745</v>
      </c>
      <c r="I17" s="12" t="n">
        <f aca="false">IF(G17&gt;0,H17/G17,0)</f>
        <v>0.279209683873549</v>
      </c>
      <c r="J17" s="7" t="s">
        <v>19</v>
      </c>
      <c r="K17" s="7" t="n">
        <v>0.14</v>
      </c>
      <c r="L17" s="7" t="s">
        <v>23</v>
      </c>
      <c r="M17" s="7" t="s">
        <v>21</v>
      </c>
    </row>
    <row r="18" customFormat="false" ht="15" hidden="false" customHeight="true" outlineLevel="0" collapsed="false">
      <c r="A18" s="13" t="s">
        <v>43</v>
      </c>
      <c r="B18" s="13" t="s">
        <v>45</v>
      </c>
      <c r="C18" s="14" t="n">
        <v>4.19</v>
      </c>
      <c r="D18" s="14" t="n">
        <v>6</v>
      </c>
      <c r="E18" s="15" t="n">
        <f aca="false">C18+D18</f>
        <v>10.19</v>
      </c>
      <c r="F18" s="16" t="n">
        <f aca="false">G18*$B$3+0.2</f>
        <v>5.83255</v>
      </c>
      <c r="G18" s="14" t="n">
        <v>22.99</v>
      </c>
      <c r="H18" s="17" t="n">
        <f aca="false">G18-E18-F18</f>
        <v>6.96745</v>
      </c>
      <c r="I18" s="18" t="n">
        <f aca="false">IF(G18&gt;0,H18/G18,0)</f>
        <v>0.303064375815572</v>
      </c>
      <c r="J18" s="13" t="s">
        <v>19</v>
      </c>
      <c r="K18" s="13" t="n">
        <v>0.127</v>
      </c>
      <c r="L18" s="13" t="s">
        <v>28</v>
      </c>
      <c r="M18" s="13" t="s">
        <v>26</v>
      </c>
    </row>
    <row r="19" customFormat="false" ht="15" hidden="false" customHeight="true" outlineLevel="0" collapsed="false">
      <c r="A19" s="7" t="s">
        <v>43</v>
      </c>
      <c r="B19" s="7" t="s">
        <v>46</v>
      </c>
      <c r="C19" s="8" t="n">
        <v>3.79</v>
      </c>
      <c r="D19" s="8" t="n">
        <v>6</v>
      </c>
      <c r="E19" s="9" t="n">
        <f aca="false">C19+D19</f>
        <v>9.79</v>
      </c>
      <c r="F19" s="10" t="n">
        <f aca="false">G19*$B$3+0.2</f>
        <v>5.09755</v>
      </c>
      <c r="G19" s="8" t="n">
        <v>19.99</v>
      </c>
      <c r="H19" s="11" t="n">
        <f aca="false">G19-E19-F19</f>
        <v>5.10245</v>
      </c>
      <c r="I19" s="12" t="n">
        <f aca="false">IF(G19&gt;0,H19/G19,0)</f>
        <v>0.255250125062531</v>
      </c>
      <c r="J19" s="7" t="s">
        <v>19</v>
      </c>
      <c r="K19" s="7" t="n">
        <v>0.14</v>
      </c>
      <c r="L19" s="7" t="s">
        <v>47</v>
      </c>
      <c r="M19" s="7" t="s">
        <v>26</v>
      </c>
    </row>
    <row r="20" customFormat="false" ht="15" hidden="false" customHeight="true" outlineLevel="0" collapsed="false">
      <c r="A20" s="13" t="s">
        <v>43</v>
      </c>
      <c r="B20" s="13" t="s">
        <v>48</v>
      </c>
      <c r="C20" s="14" t="n">
        <v>5.79</v>
      </c>
      <c r="D20" s="14" t="n">
        <v>6</v>
      </c>
      <c r="E20" s="15" t="n">
        <f aca="false">C20+D20</f>
        <v>11.79</v>
      </c>
      <c r="F20" s="16" t="n">
        <f aca="false">G20*$B$3+0.2</f>
        <v>6.32255</v>
      </c>
      <c r="G20" s="14" t="n">
        <v>24.99</v>
      </c>
      <c r="H20" s="17" t="n">
        <f aca="false">G20-E20-F20</f>
        <v>6.87745</v>
      </c>
      <c r="I20" s="18" t="n">
        <f aca="false">IF(G20&gt;0,H20/G20,0)</f>
        <v>0.275208083233293</v>
      </c>
      <c r="J20" s="13" t="s">
        <v>19</v>
      </c>
      <c r="K20" s="13" t="n">
        <v>0.06</v>
      </c>
      <c r="L20" s="13" t="s">
        <v>49</v>
      </c>
      <c r="M20" s="13" t="s">
        <v>26</v>
      </c>
    </row>
    <row r="21" customFormat="false" ht="15" hidden="false" customHeight="true" outlineLevel="0" collapsed="false">
      <c r="A21" s="7" t="s">
        <v>43</v>
      </c>
      <c r="B21" s="7" t="s">
        <v>50</v>
      </c>
      <c r="C21" s="8" t="n">
        <v>4.29</v>
      </c>
      <c r="D21" s="8" t="n">
        <v>6</v>
      </c>
      <c r="E21" s="9" t="n">
        <f aca="false">C21+D21</f>
        <v>10.29</v>
      </c>
      <c r="F21" s="10" t="n">
        <f aca="false">G21*$B$3+0.2</f>
        <v>5.83255</v>
      </c>
      <c r="G21" s="8" t="n">
        <v>22.99</v>
      </c>
      <c r="H21" s="11" t="n">
        <f aca="false">G21-E21-F21</f>
        <v>6.86745</v>
      </c>
      <c r="I21" s="12" t="n">
        <f aca="false">IF(G21&gt;0,H21/G21,0)</f>
        <v>0.298714658547194</v>
      </c>
      <c r="J21" s="7" t="s">
        <v>51</v>
      </c>
      <c r="K21" s="7" t="n">
        <v>0.107</v>
      </c>
      <c r="L21" s="7" t="s">
        <v>47</v>
      </c>
      <c r="M21" s="7" t="s">
        <v>26</v>
      </c>
    </row>
    <row r="22" customFormat="false" ht="15" hidden="false" customHeight="true" outlineLevel="0" collapsed="false">
      <c r="A22" s="13" t="s">
        <v>43</v>
      </c>
      <c r="B22" s="13" t="s">
        <v>52</v>
      </c>
      <c r="C22" s="14" t="n">
        <v>6.09</v>
      </c>
      <c r="D22" s="14" t="n">
        <v>6.5</v>
      </c>
      <c r="E22" s="15" t="n">
        <f aca="false">C22+D22</f>
        <v>12.59</v>
      </c>
      <c r="F22" s="16" t="n">
        <f aca="false">G22*$B$3+0.2</f>
        <v>6.32255</v>
      </c>
      <c r="G22" s="14" t="n">
        <v>24.99</v>
      </c>
      <c r="H22" s="17" t="n">
        <f aca="false">G22-E22-F22</f>
        <v>6.07745</v>
      </c>
      <c r="I22" s="18" t="n">
        <f aca="false">IF(G22&gt;0,H22/G22,0)</f>
        <v>0.243195278111244</v>
      </c>
      <c r="J22" s="13" t="s">
        <v>53</v>
      </c>
      <c r="K22" s="13" t="n">
        <v>0.129</v>
      </c>
      <c r="L22" s="13" t="s">
        <v>54</v>
      </c>
      <c r="M22" s="13" t="s">
        <v>26</v>
      </c>
    </row>
    <row r="23" customFormat="false" ht="15" hidden="false" customHeight="true" outlineLevel="0" collapsed="false">
      <c r="A23" s="7" t="s">
        <v>43</v>
      </c>
      <c r="B23" s="7" t="s">
        <v>55</v>
      </c>
      <c r="C23" s="8" t="n">
        <v>5.05</v>
      </c>
      <c r="D23" s="8" t="n">
        <v>6.5</v>
      </c>
      <c r="E23" s="9" t="n">
        <f aca="false">C23+D23</f>
        <v>11.55</v>
      </c>
      <c r="F23" s="10" t="n">
        <f aca="false">G23*$B$3+0.2</f>
        <v>6.32255</v>
      </c>
      <c r="G23" s="8" t="n">
        <v>24.99</v>
      </c>
      <c r="H23" s="11" t="n">
        <f aca="false">G23-E23-F23</f>
        <v>7.11745</v>
      </c>
      <c r="I23" s="12" t="n">
        <f aca="false">IF(G23&gt;0,H23/G23,0)</f>
        <v>0.284811924769908</v>
      </c>
      <c r="J23" s="7" t="s">
        <v>19</v>
      </c>
      <c r="K23" s="7" t="n">
        <v>0.11</v>
      </c>
      <c r="L23" s="7" t="s">
        <v>47</v>
      </c>
      <c r="M23" s="7" t="s">
        <v>21</v>
      </c>
    </row>
    <row r="24" customFormat="false" ht="15" hidden="false" customHeight="true" outlineLevel="0" collapsed="false">
      <c r="A24" s="13" t="s">
        <v>56</v>
      </c>
      <c r="B24" s="13" t="s">
        <v>57</v>
      </c>
      <c r="C24" s="14" t="n">
        <v>8.46</v>
      </c>
      <c r="D24" s="14" t="n">
        <v>7.5</v>
      </c>
      <c r="E24" s="15" t="n">
        <f aca="false">C24+D24</f>
        <v>15.96</v>
      </c>
      <c r="F24" s="16" t="n">
        <f aca="false">G24*$B$3+0.2</f>
        <v>8.77255</v>
      </c>
      <c r="G24" s="14" t="n">
        <v>34.99</v>
      </c>
      <c r="H24" s="17" t="n">
        <f aca="false">G24-E24-F24</f>
        <v>10.25745</v>
      </c>
      <c r="I24" s="18" t="n">
        <f aca="false">IF(G24&gt;0,H24/G24,0)</f>
        <v>0.293153758216633</v>
      </c>
      <c r="J24" s="13" t="s">
        <v>41</v>
      </c>
      <c r="K24" s="13" t="n">
        <v>0.218</v>
      </c>
      <c r="L24" s="13" t="s">
        <v>47</v>
      </c>
      <c r="M24" s="13" t="s">
        <v>21</v>
      </c>
    </row>
    <row r="25" customFormat="false" ht="15" hidden="false" customHeight="true" outlineLevel="0" collapsed="false">
      <c r="A25" s="7" t="s">
        <v>56</v>
      </c>
      <c r="B25" s="7" t="s">
        <v>58</v>
      </c>
      <c r="C25" s="8" t="n">
        <v>5.29</v>
      </c>
      <c r="D25" s="8" t="n">
        <v>6.5</v>
      </c>
      <c r="E25" s="9" t="n">
        <f aca="false">C25+D25</f>
        <v>11.79</v>
      </c>
      <c r="F25" s="10" t="n">
        <f aca="false">G25*$B$3+0.2</f>
        <v>6.32255</v>
      </c>
      <c r="G25" s="8" t="n">
        <v>24.99</v>
      </c>
      <c r="H25" s="11" t="n">
        <f aca="false">G25-E25-F25</f>
        <v>6.87745</v>
      </c>
      <c r="I25" s="12" t="n">
        <f aca="false">IF(G25&gt;0,H25/G25,0)</f>
        <v>0.275208083233293</v>
      </c>
      <c r="J25" s="7" t="s">
        <v>59</v>
      </c>
      <c r="K25" s="7" t="n">
        <v>0.075</v>
      </c>
      <c r="L25" s="7" t="s">
        <v>60</v>
      </c>
      <c r="M25" s="7" t="s">
        <v>26</v>
      </c>
    </row>
    <row r="26" customFormat="false" ht="15" hidden="false" customHeight="true" outlineLevel="0" collapsed="false">
      <c r="A26" s="13" t="s">
        <v>61</v>
      </c>
      <c r="B26" s="13" t="s">
        <v>62</v>
      </c>
      <c r="C26" s="14" t="n">
        <v>8.59</v>
      </c>
      <c r="D26" s="14" t="n">
        <v>8.5</v>
      </c>
      <c r="E26" s="15" t="n">
        <f aca="false">C26+D26</f>
        <v>17.09</v>
      </c>
      <c r="F26" s="16" t="n">
        <f aca="false">G26*$B$3+0.2</f>
        <v>9.99755</v>
      </c>
      <c r="G26" s="14" t="n">
        <v>39.99</v>
      </c>
      <c r="H26" s="17" t="n">
        <f aca="false">G26-E26-F26</f>
        <v>12.90245</v>
      </c>
      <c r="I26" s="18" t="n">
        <f aca="false">IF(G26&gt;0,H26/G26,0)</f>
        <v>0.322641910477619</v>
      </c>
      <c r="J26" s="13" t="s">
        <v>19</v>
      </c>
      <c r="K26" s="13" t="n">
        <v>0.56</v>
      </c>
      <c r="L26" s="13" t="s">
        <v>28</v>
      </c>
      <c r="M26" s="13" t="s">
        <v>31</v>
      </c>
    </row>
    <row r="27" customFormat="false" ht="15" hidden="false" customHeight="true" outlineLevel="0" collapsed="false">
      <c r="A27" s="7" t="s">
        <v>61</v>
      </c>
      <c r="B27" s="7" t="s">
        <v>63</v>
      </c>
      <c r="C27" s="8" t="n">
        <v>11.89</v>
      </c>
      <c r="D27" s="8" t="n">
        <v>9</v>
      </c>
      <c r="E27" s="9" t="n">
        <f aca="false">C27+D27</f>
        <v>20.89</v>
      </c>
      <c r="F27" s="10" t="n">
        <f aca="false">G27*$B$3+0.2</f>
        <v>11.22255</v>
      </c>
      <c r="G27" s="8" t="n">
        <v>44.99</v>
      </c>
      <c r="H27" s="11" t="n">
        <f aca="false">G27-E27-F27</f>
        <v>12.87745</v>
      </c>
      <c r="I27" s="12" t="n">
        <f aca="false">IF(G27&gt;0,H27/G27,0)</f>
        <v>0.286229162036008</v>
      </c>
      <c r="J27" s="7" t="s">
        <v>19</v>
      </c>
      <c r="K27" s="7" t="n">
        <v>0.524</v>
      </c>
      <c r="L27" s="7" t="s">
        <v>25</v>
      </c>
      <c r="M27" s="7" t="s">
        <v>64</v>
      </c>
    </row>
    <row r="28" customFormat="false" ht="15" hidden="false" customHeight="true" outlineLevel="0" collapsed="false">
      <c r="A28" s="13" t="s">
        <v>61</v>
      </c>
      <c r="B28" s="13" t="s">
        <v>65</v>
      </c>
      <c r="C28" s="14" t="n">
        <v>15.39</v>
      </c>
      <c r="D28" s="14" t="n">
        <v>10.95</v>
      </c>
      <c r="E28" s="15" t="n">
        <f aca="false">C28+D28</f>
        <v>26.34</v>
      </c>
      <c r="F28" s="16" t="n">
        <f aca="false">G28*$B$3+0.2</f>
        <v>12.44755</v>
      </c>
      <c r="G28" s="14" t="n">
        <v>49.99</v>
      </c>
      <c r="H28" s="17" t="n">
        <f aca="false">G28-E28-F28</f>
        <v>11.20245</v>
      </c>
      <c r="I28" s="18" t="n">
        <f aca="false">IF(G28&gt;0,H28/G28,0)</f>
        <v>0.224093818763753</v>
      </c>
      <c r="J28" s="13" t="s">
        <v>41</v>
      </c>
      <c r="K28" s="13" t="n">
        <v>0.438</v>
      </c>
      <c r="L28" s="13" t="s">
        <v>25</v>
      </c>
      <c r="M28" s="13" t="s">
        <v>64</v>
      </c>
    </row>
    <row r="29" customFormat="false" ht="15" hidden="false" customHeight="true" outlineLevel="0" collapsed="false">
      <c r="A29" s="7" t="s">
        <v>66</v>
      </c>
      <c r="B29" s="7" t="s">
        <v>67</v>
      </c>
      <c r="C29" s="8" t="n">
        <v>11.09</v>
      </c>
      <c r="D29" s="8" t="n">
        <v>8.5</v>
      </c>
      <c r="E29" s="9" t="n">
        <f aca="false">C29+D29</f>
        <v>19.59</v>
      </c>
      <c r="F29" s="10" t="n">
        <f aca="false">G29*$B$3+0.2</f>
        <v>9.99755</v>
      </c>
      <c r="G29" s="8" t="n">
        <v>39.99</v>
      </c>
      <c r="H29" s="11" t="n">
        <f aca="false">G29-E29-F29</f>
        <v>10.40245</v>
      </c>
      <c r="I29" s="12" t="n">
        <f aca="false">IF(G29&gt;0,H29/G29,0)</f>
        <v>0.260126281570393</v>
      </c>
      <c r="J29" s="7" t="s">
        <v>19</v>
      </c>
      <c r="K29" s="7" t="n">
        <v>0.442</v>
      </c>
      <c r="L29" s="7" t="s">
        <v>34</v>
      </c>
      <c r="M29" s="7" t="s">
        <v>68</v>
      </c>
    </row>
    <row r="30" customFormat="false" ht="15" hidden="false" customHeight="true" outlineLevel="0" collapsed="false">
      <c r="A30" s="13" t="s">
        <v>66</v>
      </c>
      <c r="B30" s="13" t="s">
        <v>69</v>
      </c>
      <c r="C30" s="14" t="n">
        <v>10.29</v>
      </c>
      <c r="D30" s="14" t="n">
        <v>8.5</v>
      </c>
      <c r="E30" s="15" t="n">
        <f aca="false">C30+D30</f>
        <v>18.79</v>
      </c>
      <c r="F30" s="16" t="n">
        <f aca="false">G30*$B$3+0.2</f>
        <v>9.99755</v>
      </c>
      <c r="G30" s="14" t="n">
        <v>39.99</v>
      </c>
      <c r="H30" s="17" t="n">
        <f aca="false">G30-E30-F30</f>
        <v>11.20245</v>
      </c>
      <c r="I30" s="18" t="n">
        <f aca="false">IF(G30&gt;0,H30/G30,0)</f>
        <v>0.280131282820705</v>
      </c>
      <c r="J30" s="13" t="s">
        <v>19</v>
      </c>
      <c r="K30" s="13" t="n">
        <v>0.364</v>
      </c>
      <c r="L30" s="13" t="s">
        <v>25</v>
      </c>
      <c r="M30" s="13" t="s">
        <v>68</v>
      </c>
    </row>
    <row r="31" customFormat="false" ht="15" hidden="false" customHeight="true" outlineLevel="0" collapsed="false">
      <c r="A31" s="7" t="s">
        <v>66</v>
      </c>
      <c r="B31" s="7" t="s">
        <v>70</v>
      </c>
      <c r="C31" s="8" t="n">
        <v>8.59</v>
      </c>
      <c r="D31" s="8" t="n">
        <v>8</v>
      </c>
      <c r="E31" s="9" t="n">
        <f aca="false">C31+D31</f>
        <v>16.59</v>
      </c>
      <c r="F31" s="10" t="n">
        <f aca="false">G31*$B$3+0.2</f>
        <v>8.77255</v>
      </c>
      <c r="G31" s="8" t="n">
        <v>34.99</v>
      </c>
      <c r="H31" s="11" t="n">
        <f aca="false">G31-E31-F31</f>
        <v>9.62745</v>
      </c>
      <c r="I31" s="12" t="n">
        <f aca="false">IF(G31&gt;0,H31/G31,0)</f>
        <v>0.275148613889683</v>
      </c>
      <c r="J31" s="7" t="s">
        <v>53</v>
      </c>
      <c r="K31" s="7" t="n">
        <v>0.251</v>
      </c>
      <c r="L31" s="7" t="s">
        <v>71</v>
      </c>
      <c r="M31" s="7" t="s">
        <v>31</v>
      </c>
    </row>
    <row r="32" customFormat="false" ht="15" hidden="false" customHeight="true" outlineLevel="0" collapsed="false">
      <c r="A32" s="13" t="s">
        <v>72</v>
      </c>
      <c r="B32" s="13" t="s">
        <v>73</v>
      </c>
      <c r="C32" s="14" t="n">
        <v>18.49</v>
      </c>
      <c r="D32" s="14" t="n">
        <v>9.5</v>
      </c>
      <c r="E32" s="15" t="n">
        <f aca="false">C32+D32</f>
        <v>27.99</v>
      </c>
      <c r="F32" s="16" t="n">
        <f aca="false">G32*$B$3+0.2</f>
        <v>13.67255</v>
      </c>
      <c r="G32" s="14" t="n">
        <v>54.99</v>
      </c>
      <c r="H32" s="17" t="n">
        <f aca="false">G32-E32-F32</f>
        <v>13.32745</v>
      </c>
      <c r="I32" s="18" t="n">
        <f aca="false">IF(G32&gt;0,H32/G32,0)</f>
        <v>0.242361338425168</v>
      </c>
      <c r="J32" s="13" t="s">
        <v>74</v>
      </c>
      <c r="K32" s="13" t="n">
        <v>0.362</v>
      </c>
      <c r="L32" s="13" t="s">
        <v>25</v>
      </c>
      <c r="M32" s="13" t="s">
        <v>31</v>
      </c>
    </row>
    <row r="33" customFormat="false" ht="15" hidden="false" customHeight="true" outlineLevel="0" collapsed="false">
      <c r="A33" s="7" t="s">
        <v>72</v>
      </c>
      <c r="B33" s="7" t="s">
        <v>75</v>
      </c>
      <c r="C33" s="8" t="n">
        <v>11.19</v>
      </c>
      <c r="D33" s="8" t="n">
        <v>8.5</v>
      </c>
      <c r="E33" s="9" t="n">
        <f aca="false">C33+D33</f>
        <v>19.69</v>
      </c>
      <c r="F33" s="10" t="n">
        <f aca="false">G33*$B$3+0.2</f>
        <v>9.99755</v>
      </c>
      <c r="G33" s="8" t="n">
        <v>39.99</v>
      </c>
      <c r="H33" s="11" t="n">
        <f aca="false">G33-E33-F33</f>
        <v>10.30245</v>
      </c>
      <c r="I33" s="12" t="n">
        <f aca="false">IF(G33&gt;0,H33/G33,0)</f>
        <v>0.257625656414104</v>
      </c>
      <c r="J33" s="7" t="s">
        <v>59</v>
      </c>
      <c r="K33" s="7" t="n">
        <v>0.427</v>
      </c>
      <c r="L33" s="7" t="s">
        <v>23</v>
      </c>
      <c r="M33" s="7" t="s">
        <v>31</v>
      </c>
    </row>
    <row r="34" customFormat="false" ht="15" hidden="false" customHeight="true" outlineLevel="0" collapsed="false">
      <c r="A34" s="13" t="s">
        <v>72</v>
      </c>
      <c r="B34" s="13" t="s">
        <v>76</v>
      </c>
      <c r="C34" s="14" t="n">
        <v>11.19</v>
      </c>
      <c r="D34" s="14" t="n">
        <v>8.5</v>
      </c>
      <c r="E34" s="15" t="n">
        <f aca="false">C34+D34</f>
        <v>19.69</v>
      </c>
      <c r="F34" s="16" t="n">
        <f aca="false">G34*$B$3+0.2</f>
        <v>9.99755</v>
      </c>
      <c r="G34" s="14" t="n">
        <v>39.99</v>
      </c>
      <c r="H34" s="17" t="n">
        <f aca="false">G34-E34-F34</f>
        <v>10.30245</v>
      </c>
      <c r="I34" s="18" t="n">
        <f aca="false">IF(G34&gt;0,H34/G34,0)</f>
        <v>0.257625656414104</v>
      </c>
      <c r="J34" s="13" t="s">
        <v>74</v>
      </c>
      <c r="K34" s="13" t="n">
        <v>0.25</v>
      </c>
      <c r="L34" s="13" t="s">
        <v>60</v>
      </c>
      <c r="M34" s="13" t="s">
        <v>21</v>
      </c>
    </row>
    <row r="35" customFormat="false" ht="15" hidden="false" customHeight="true" outlineLevel="0" collapsed="false">
      <c r="A35" s="7" t="s">
        <v>72</v>
      </c>
      <c r="B35" s="7" t="s">
        <v>77</v>
      </c>
      <c r="C35" s="8" t="n">
        <v>16.99</v>
      </c>
      <c r="D35" s="8" t="n">
        <v>9</v>
      </c>
      <c r="E35" s="9" t="n">
        <f aca="false">C35+D35</f>
        <v>25.99</v>
      </c>
      <c r="F35" s="10" t="n">
        <f aca="false">G35*$B$3+0.2</f>
        <v>12.44755</v>
      </c>
      <c r="G35" s="8" t="n">
        <v>49.99</v>
      </c>
      <c r="H35" s="11" t="n">
        <f aca="false">G35-E35-F35</f>
        <v>11.55245</v>
      </c>
      <c r="I35" s="12" t="n">
        <f aca="false">IF(G35&gt;0,H35/G35,0)</f>
        <v>0.231095219043809</v>
      </c>
      <c r="J35" s="7" t="s">
        <v>74</v>
      </c>
      <c r="K35" s="7" t="n">
        <v>0.312</v>
      </c>
      <c r="L35" s="7" t="s">
        <v>25</v>
      </c>
      <c r="M35" s="7" t="s">
        <v>31</v>
      </c>
    </row>
    <row r="36" customFormat="false" ht="15" hidden="false" customHeight="true" outlineLevel="0" collapsed="false">
      <c r="A36" s="13" t="s">
        <v>78</v>
      </c>
      <c r="B36" s="13" t="s">
        <v>79</v>
      </c>
      <c r="C36" s="14" t="n">
        <v>12.59</v>
      </c>
      <c r="D36" s="14" t="n">
        <v>8.5</v>
      </c>
      <c r="E36" s="15" t="n">
        <f aca="false">C36+D36</f>
        <v>21.09</v>
      </c>
      <c r="F36" s="16" t="n">
        <f aca="false">G36*$B$3+0.2</f>
        <v>11.22255</v>
      </c>
      <c r="G36" s="14" t="n">
        <v>44.99</v>
      </c>
      <c r="H36" s="17" t="n">
        <f aca="false">G36-E36-F36</f>
        <v>12.67745</v>
      </c>
      <c r="I36" s="18" t="n">
        <f aca="false">IF(G36&gt;0,H36/G36,0)</f>
        <v>0.281783729717715</v>
      </c>
      <c r="J36" s="13" t="s">
        <v>74</v>
      </c>
      <c r="K36" s="13" t="n">
        <v>0.374</v>
      </c>
      <c r="L36" s="13" t="s">
        <v>60</v>
      </c>
      <c r="M36" s="13" t="s">
        <v>31</v>
      </c>
    </row>
    <row r="37" customFormat="false" ht="15" hidden="false" customHeight="true" outlineLevel="0" collapsed="false">
      <c r="A37" s="7" t="s">
        <v>80</v>
      </c>
      <c r="B37" s="7" t="s">
        <v>81</v>
      </c>
      <c r="C37" s="8" t="n">
        <v>10.99</v>
      </c>
      <c r="D37" s="8" t="n">
        <v>8.5</v>
      </c>
      <c r="E37" s="9" t="n">
        <f aca="false">C37+D37</f>
        <v>19.49</v>
      </c>
      <c r="F37" s="10" t="n">
        <f aca="false">G37*$B$3+0.2</f>
        <v>9.99755</v>
      </c>
      <c r="G37" s="8" t="n">
        <v>39.99</v>
      </c>
      <c r="H37" s="11" t="n">
        <f aca="false">G37-E37-F37</f>
        <v>10.50245</v>
      </c>
      <c r="I37" s="12" t="n">
        <f aca="false">IF(G37&gt;0,H37/G37,0)</f>
        <v>0.262626906726682</v>
      </c>
      <c r="J37" s="7" t="s">
        <v>19</v>
      </c>
      <c r="K37" s="7" t="n">
        <v>0.42</v>
      </c>
      <c r="L37" s="7" t="s">
        <v>82</v>
      </c>
      <c r="M37" s="7" t="s">
        <v>21</v>
      </c>
    </row>
    <row r="38" customFormat="false" ht="15" hidden="false" customHeight="true" outlineLevel="0" collapsed="false">
      <c r="A38" s="13" t="s">
        <v>83</v>
      </c>
      <c r="B38" s="13" t="s">
        <v>84</v>
      </c>
      <c r="C38" s="14" t="n">
        <v>8.49</v>
      </c>
      <c r="D38" s="14" t="n">
        <v>7.5</v>
      </c>
      <c r="E38" s="15" t="n">
        <f aca="false">C38+D38</f>
        <v>15.99</v>
      </c>
      <c r="F38" s="16" t="n">
        <f aca="false">G38*$B$3+0.2</f>
        <v>7.54755</v>
      </c>
      <c r="G38" s="14" t="n">
        <v>29.99</v>
      </c>
      <c r="H38" s="17" t="n">
        <f aca="false">G38-E38-F38</f>
        <v>6.45245</v>
      </c>
      <c r="I38" s="18" t="n">
        <f aca="false">IF(G38&gt;0,H38/G38,0)</f>
        <v>0.215153384461487</v>
      </c>
      <c r="J38" s="13" t="s">
        <v>59</v>
      </c>
      <c r="K38" s="13" t="n">
        <v>0.225</v>
      </c>
      <c r="L38" s="13" t="s">
        <v>28</v>
      </c>
      <c r="M38" s="13" t="s">
        <v>31</v>
      </c>
    </row>
    <row r="39" customFormat="false" ht="15" hidden="false" customHeight="true" outlineLevel="0" collapsed="false">
      <c r="A39" s="7" t="s">
        <v>85</v>
      </c>
      <c r="B39" s="7" t="s">
        <v>86</v>
      </c>
      <c r="C39" s="8" t="n">
        <v>17.79</v>
      </c>
      <c r="D39" s="8" t="n">
        <v>9.5</v>
      </c>
      <c r="E39" s="9" t="n">
        <f aca="false">C39+D39</f>
        <v>27.29</v>
      </c>
      <c r="F39" s="10" t="n">
        <f aca="false">G39*$B$3+0.2</f>
        <v>13.67255</v>
      </c>
      <c r="G39" s="8" t="n">
        <v>54.99</v>
      </c>
      <c r="H39" s="11" t="n">
        <f aca="false">G39-E39-F39</f>
        <v>14.02745</v>
      </c>
      <c r="I39" s="12" t="n">
        <f aca="false">IF(G39&gt;0,H39/G39,0)</f>
        <v>0.255090925622841</v>
      </c>
      <c r="J39" s="7" t="s">
        <v>59</v>
      </c>
      <c r="K39" s="7" t="n">
        <v>0.56</v>
      </c>
      <c r="L39" s="7" t="s">
        <v>25</v>
      </c>
      <c r="M39" s="7" t="s">
        <v>68</v>
      </c>
    </row>
    <row r="40" customFormat="false" ht="15" hidden="false" customHeight="true" outlineLevel="0" collapsed="false">
      <c r="A40" s="13" t="s">
        <v>87</v>
      </c>
      <c r="B40" s="13" t="s">
        <v>88</v>
      </c>
      <c r="C40" s="14" t="n">
        <v>9.88</v>
      </c>
      <c r="D40" s="14" t="n">
        <v>7.5</v>
      </c>
      <c r="E40" s="15" t="n">
        <f aca="false">C40+D40</f>
        <v>17.38</v>
      </c>
      <c r="F40" s="16" t="n">
        <f aca="false">G40*$B$3+0.2</f>
        <v>8.77255</v>
      </c>
      <c r="G40" s="14" t="n">
        <v>34.99</v>
      </c>
      <c r="H40" s="17" t="n">
        <f aca="false">G40-E40-F40</f>
        <v>8.83745</v>
      </c>
      <c r="I40" s="18" t="n">
        <f aca="false">IF(G40&gt;0,H40/G40,0)</f>
        <v>0.25257073449557</v>
      </c>
      <c r="J40" s="13" t="s">
        <v>19</v>
      </c>
      <c r="K40" s="13" t="n">
        <v>0.22</v>
      </c>
      <c r="L40" s="13" t="s">
        <v>28</v>
      </c>
      <c r="M40" s="13" t="s">
        <v>31</v>
      </c>
    </row>
    <row r="41" customFormat="false" ht="15" hidden="false" customHeight="true" outlineLevel="0" collapsed="false">
      <c r="A41" s="7" t="s">
        <v>87</v>
      </c>
      <c r="B41" s="7" t="s">
        <v>89</v>
      </c>
      <c r="C41" s="8" t="n">
        <v>9.23</v>
      </c>
      <c r="D41" s="8" t="n">
        <v>7.5</v>
      </c>
      <c r="E41" s="9" t="n">
        <f aca="false">C41+D41</f>
        <v>16.73</v>
      </c>
      <c r="F41" s="10" t="n">
        <f aca="false">G41*$B$3+0.2</f>
        <v>8.77255</v>
      </c>
      <c r="G41" s="8" t="n">
        <v>34.99</v>
      </c>
      <c r="H41" s="11" t="n">
        <f aca="false">G41-E41-F41</f>
        <v>9.48745</v>
      </c>
      <c r="I41" s="12" t="n">
        <f aca="false">IF(G41&gt;0,H41/G41,0)</f>
        <v>0.271147470705916</v>
      </c>
      <c r="J41" s="7" t="s">
        <v>19</v>
      </c>
      <c r="K41" s="7" t="n">
        <v>0.25</v>
      </c>
      <c r="L41" s="7" t="s">
        <v>47</v>
      </c>
      <c r="M41" s="7" t="s">
        <v>68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36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3" customFormat="false" ht="26.25" hidden="false" customHeight="true" outlineLevel="0" collapsed="false">
      <c r="A3" s="6" t="s">
        <v>91</v>
      </c>
      <c r="B3" s="6" t="s">
        <v>92</v>
      </c>
      <c r="C3" s="6" t="s">
        <v>93</v>
      </c>
      <c r="D3" s="6" t="s">
        <v>94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true" outlineLevel="0" collapsed="false">
      <c r="A4" s="7" t="s">
        <v>100</v>
      </c>
      <c r="B4" s="19" t="n">
        <v>33100</v>
      </c>
      <c r="C4" s="10" t="n">
        <v>0.34</v>
      </c>
      <c r="D4" s="20" t="n">
        <v>1</v>
      </c>
      <c r="E4" s="21" t="n">
        <v>49500</v>
      </c>
      <c r="F4" s="21" t="n">
        <v>33100</v>
      </c>
      <c r="G4" s="22" t="n">
        <v>12100</v>
      </c>
      <c r="H4" s="7" t="s">
        <v>101</v>
      </c>
      <c r="I4" s="23" t="n">
        <f aca="false">IF(D4&gt;0,(B4+MAX(E4,F4))/D4/1000,B4/1000)</f>
        <v>82.6</v>
      </c>
    </row>
    <row r="5" customFormat="false" ht="15" hidden="false" customHeight="true" outlineLevel="0" collapsed="false">
      <c r="A5" s="13" t="s">
        <v>102</v>
      </c>
      <c r="B5" s="19" t="n">
        <v>6600</v>
      </c>
      <c r="C5" s="16" t="n">
        <v>0.28</v>
      </c>
      <c r="D5" s="24" t="n">
        <v>1</v>
      </c>
      <c r="E5" s="21" t="n">
        <v>8100</v>
      </c>
      <c r="F5" s="21" t="n">
        <v>6600</v>
      </c>
      <c r="G5" s="25" t="n">
        <v>4400</v>
      </c>
      <c r="H5" s="13" t="s">
        <v>103</v>
      </c>
      <c r="I5" s="26" t="n">
        <f aca="false">IF(D5&gt;0,(B5+MAX(E5,F5))/D5/1000,B5/1000)</f>
        <v>14.7</v>
      </c>
    </row>
    <row r="6" customFormat="false" ht="15" hidden="false" customHeight="true" outlineLevel="0" collapsed="false">
      <c r="A6" s="7" t="s">
        <v>104</v>
      </c>
      <c r="B6" s="19" t="n">
        <v>5400</v>
      </c>
      <c r="C6" s="10" t="n">
        <v>0.39</v>
      </c>
      <c r="D6" s="20" t="n">
        <v>1</v>
      </c>
      <c r="E6" s="21" t="n">
        <v>3600</v>
      </c>
      <c r="F6" s="27" t="n">
        <v>1900</v>
      </c>
      <c r="G6" s="22" t="n">
        <v>12100</v>
      </c>
      <c r="H6" s="7" t="s">
        <v>105</v>
      </c>
      <c r="I6" s="23" t="n">
        <f aca="false">IF(D6&gt;0,(B6+MAX(E6,F6))/D6/1000,B6/1000)</f>
        <v>9</v>
      </c>
    </row>
    <row r="7" customFormat="false" ht="15" hidden="false" customHeight="true" outlineLevel="0" collapsed="false">
      <c r="A7" s="13" t="s">
        <v>106</v>
      </c>
      <c r="B7" s="19" t="n">
        <v>5400</v>
      </c>
      <c r="C7" s="16" t="n">
        <v>0.37</v>
      </c>
      <c r="D7" s="24" t="n">
        <v>1</v>
      </c>
      <c r="E7" s="27" t="n">
        <v>2900</v>
      </c>
      <c r="F7" s="27" t="n">
        <v>2400</v>
      </c>
      <c r="G7" s="25" t="n">
        <v>22200</v>
      </c>
      <c r="H7" s="13" t="s">
        <v>107</v>
      </c>
      <c r="I7" s="26" t="n">
        <f aca="false">IF(D7&gt;0,(B7+MAX(E7,F7))/D7/1000,B7/1000)</f>
        <v>8.3</v>
      </c>
    </row>
    <row r="8" customFormat="false" ht="15" hidden="false" customHeight="true" outlineLevel="0" collapsed="false">
      <c r="A8" s="7" t="s">
        <v>108</v>
      </c>
      <c r="B8" s="19" t="n">
        <v>5400</v>
      </c>
      <c r="C8" s="10" t="n">
        <v>0.71</v>
      </c>
      <c r="D8" s="20" t="n">
        <v>1</v>
      </c>
      <c r="E8" s="27" t="n">
        <v>2400</v>
      </c>
      <c r="F8" s="27" t="n">
        <v>2400</v>
      </c>
      <c r="G8" s="22" t="n">
        <v>12100</v>
      </c>
      <c r="H8" s="7" t="s">
        <v>109</v>
      </c>
      <c r="I8" s="23" t="n">
        <f aca="false">IF(D8&gt;0,(B8+MAX(E8,F8))/D8/1000,B8/1000)</f>
        <v>7.8</v>
      </c>
    </row>
    <row r="9" customFormat="false" ht="15" hidden="false" customHeight="true" outlineLevel="0" collapsed="false">
      <c r="A9" s="13" t="s">
        <v>110</v>
      </c>
      <c r="B9" s="19" t="n">
        <v>3600</v>
      </c>
      <c r="C9" s="16" t="n">
        <v>0.43</v>
      </c>
      <c r="D9" s="24" t="n">
        <v>0.99</v>
      </c>
      <c r="E9" s="21" t="n">
        <v>4400</v>
      </c>
      <c r="F9" s="21" t="n">
        <v>4400</v>
      </c>
      <c r="G9" s="25" t="n">
        <v>1600</v>
      </c>
      <c r="H9" s="13" t="s">
        <v>111</v>
      </c>
      <c r="I9" s="26" t="n">
        <f aca="false">IF(D9&gt;0,(B9+MAX(E9,F9))/D9/1000,B9/1000)</f>
        <v>8.08080808080808</v>
      </c>
    </row>
    <row r="10" customFormat="false" ht="15" hidden="false" customHeight="true" outlineLevel="0" collapsed="false">
      <c r="A10" s="7" t="s">
        <v>112</v>
      </c>
      <c r="B10" s="19" t="n">
        <v>3600</v>
      </c>
      <c r="C10" s="10" t="n">
        <v>0.37</v>
      </c>
      <c r="D10" s="20" t="n">
        <v>1</v>
      </c>
      <c r="E10" s="21" t="n">
        <v>3600</v>
      </c>
      <c r="F10" s="21" t="n">
        <v>12100</v>
      </c>
      <c r="G10" s="22" t="n">
        <v>880</v>
      </c>
      <c r="H10" s="7" t="s">
        <v>113</v>
      </c>
      <c r="I10" s="23" t="n">
        <f aca="false">IF(D10&gt;0,(B10+MAX(E10,F10))/D10/1000,B10/1000)</f>
        <v>15.7</v>
      </c>
    </row>
    <row r="11" customFormat="false" ht="15" hidden="false" customHeight="true" outlineLevel="0" collapsed="false">
      <c r="A11" s="13" t="s">
        <v>114</v>
      </c>
      <c r="B11" s="19" t="n">
        <v>2900</v>
      </c>
      <c r="C11" s="16" t="n">
        <v>0.44</v>
      </c>
      <c r="D11" s="24" t="n">
        <v>1</v>
      </c>
      <c r="E11" s="21" t="n">
        <v>3600</v>
      </c>
      <c r="F11" s="21" t="n">
        <v>3600</v>
      </c>
      <c r="G11" s="25" t="n">
        <v>1600</v>
      </c>
      <c r="H11" s="13" t="s">
        <v>115</v>
      </c>
      <c r="I11" s="26" t="n">
        <f aca="false">IF(D11&gt;0,(B11+MAX(E11,F11))/D11/1000,B11/1000)</f>
        <v>6.5</v>
      </c>
    </row>
    <row r="12" customFormat="false" ht="15" hidden="false" customHeight="true" outlineLevel="0" collapsed="false">
      <c r="A12" s="7" t="s">
        <v>116</v>
      </c>
      <c r="B12" s="19" t="n">
        <v>2900</v>
      </c>
      <c r="C12" s="10" t="n">
        <v>0.38</v>
      </c>
      <c r="D12" s="20" t="n">
        <v>1</v>
      </c>
      <c r="E12" s="21" t="n">
        <v>5400</v>
      </c>
      <c r="F12" s="21" t="n">
        <v>3600</v>
      </c>
      <c r="G12" s="22" t="n">
        <v>720</v>
      </c>
      <c r="H12" s="7" t="s">
        <v>117</v>
      </c>
      <c r="I12" s="23" t="n">
        <f aca="false">IF(D12&gt;0,(B12+MAX(E12,F12))/D12/1000,B12/1000)</f>
        <v>8.3</v>
      </c>
    </row>
    <row r="13" customFormat="false" ht="15" hidden="false" customHeight="true" outlineLevel="0" collapsed="false">
      <c r="A13" s="13" t="s">
        <v>118</v>
      </c>
      <c r="B13" s="19" t="n">
        <v>2900</v>
      </c>
      <c r="C13" s="16" t="n">
        <v>0.45</v>
      </c>
      <c r="D13" s="24" t="n">
        <v>1</v>
      </c>
      <c r="E13" s="27" t="n">
        <v>2900</v>
      </c>
      <c r="F13" s="27" t="n">
        <v>2400</v>
      </c>
      <c r="G13" s="25" t="n">
        <v>3600</v>
      </c>
      <c r="H13" s="13" t="s">
        <v>119</v>
      </c>
      <c r="I13" s="26" t="n">
        <f aca="false">IF(D13&gt;0,(B13+MAX(E13,F13))/D13/1000,B13/1000)</f>
        <v>5.8</v>
      </c>
    </row>
    <row r="14" customFormat="false" ht="15" hidden="false" customHeight="true" outlineLevel="0" collapsed="false">
      <c r="A14" s="7" t="s">
        <v>120</v>
      </c>
      <c r="B14" s="19" t="n">
        <v>2900</v>
      </c>
      <c r="C14" s="10" t="n">
        <v>0.33</v>
      </c>
      <c r="D14" s="20" t="n">
        <v>1</v>
      </c>
      <c r="E14" s="21" t="n">
        <v>4400</v>
      </c>
      <c r="F14" s="27" t="n">
        <v>2900</v>
      </c>
      <c r="G14" s="22" t="n">
        <v>1300</v>
      </c>
      <c r="H14" s="7" t="s">
        <v>121</v>
      </c>
      <c r="I14" s="23" t="n">
        <f aca="false">IF(D14&gt;0,(B14+MAX(E14,F14))/D14/1000,B14/1000)</f>
        <v>7.3</v>
      </c>
    </row>
    <row r="15" customFormat="false" ht="15" hidden="false" customHeight="true" outlineLevel="0" collapsed="false">
      <c r="A15" s="13" t="s">
        <v>122</v>
      </c>
      <c r="B15" s="19" t="n">
        <v>2900</v>
      </c>
      <c r="C15" s="16" t="n">
        <v>0.45</v>
      </c>
      <c r="D15" s="24" t="n">
        <v>1</v>
      </c>
      <c r="E15" s="21" t="n">
        <v>4400</v>
      </c>
      <c r="F15" s="21" t="n">
        <v>6600</v>
      </c>
      <c r="G15" s="25" t="n">
        <v>590</v>
      </c>
      <c r="H15" s="13" t="s">
        <v>123</v>
      </c>
      <c r="I15" s="26" t="n">
        <f aca="false">IF(D15&gt;0,(B15+MAX(E15,F15))/D15/1000,B15/1000)</f>
        <v>9.5</v>
      </c>
    </row>
    <row r="16" customFormat="false" ht="15" hidden="false" customHeight="true" outlineLevel="0" collapsed="false">
      <c r="A16" s="7" t="s">
        <v>124</v>
      </c>
      <c r="B16" s="19" t="n">
        <v>2900</v>
      </c>
      <c r="C16" s="10" t="n">
        <v>0.5</v>
      </c>
      <c r="D16" s="20" t="n">
        <v>1</v>
      </c>
      <c r="E16" s="27" t="n">
        <v>2400</v>
      </c>
      <c r="F16" s="27" t="n">
        <v>2400</v>
      </c>
      <c r="G16" s="22" t="n">
        <v>2900</v>
      </c>
      <c r="H16" s="7" t="s">
        <v>125</v>
      </c>
      <c r="I16" s="23" t="n">
        <f aca="false">IF(D16&gt;0,(B16+MAX(E16,F16))/D16/1000,B16/1000)</f>
        <v>5.3</v>
      </c>
    </row>
    <row r="17" customFormat="false" ht="15" hidden="false" customHeight="true" outlineLevel="0" collapsed="false">
      <c r="A17" s="13" t="s">
        <v>126</v>
      </c>
      <c r="B17" s="28" t="n">
        <v>1900</v>
      </c>
      <c r="C17" s="16" t="n">
        <v>0.39</v>
      </c>
      <c r="D17" s="24" t="n">
        <v>0.92</v>
      </c>
      <c r="E17" s="27" t="n">
        <v>1900</v>
      </c>
      <c r="F17" s="27" t="n">
        <v>1900</v>
      </c>
      <c r="G17" s="25" t="n">
        <v>1000</v>
      </c>
      <c r="H17" s="13" t="s">
        <v>127</v>
      </c>
      <c r="I17" s="26" t="n">
        <f aca="false">IF(D17&gt;0,(B17+MAX(E17,F17))/D17/1000,B17/1000)</f>
        <v>4.1304347826087</v>
      </c>
    </row>
    <row r="18" customFormat="false" ht="15" hidden="false" customHeight="true" outlineLevel="0" collapsed="false">
      <c r="A18" s="7" t="s">
        <v>128</v>
      </c>
      <c r="B18" s="28" t="n">
        <v>1300</v>
      </c>
      <c r="C18" s="10" t="n">
        <v>0.43</v>
      </c>
      <c r="D18" s="20" t="n">
        <v>1</v>
      </c>
      <c r="E18" s="27" t="n">
        <v>1900</v>
      </c>
      <c r="F18" s="27" t="n">
        <v>1300</v>
      </c>
      <c r="G18" s="22" t="n">
        <v>260</v>
      </c>
      <c r="H18" s="7" t="s">
        <v>57</v>
      </c>
      <c r="I18" s="23" t="n">
        <f aca="false">IF(D18&gt;0,(B18+MAX(E18,F18))/D18/1000,B18/1000)</f>
        <v>3.2</v>
      </c>
    </row>
    <row r="19" customFormat="false" ht="15" hidden="false" customHeight="true" outlineLevel="0" collapsed="false">
      <c r="A19" s="13" t="s">
        <v>129</v>
      </c>
      <c r="B19" s="28" t="n">
        <v>1300</v>
      </c>
      <c r="C19" s="16" t="n">
        <v>0.45</v>
      </c>
      <c r="D19" s="24" t="n">
        <v>1</v>
      </c>
      <c r="E19" s="25" t="n">
        <v>720</v>
      </c>
      <c r="F19" s="27" t="n">
        <v>1000</v>
      </c>
      <c r="G19" s="25" t="n">
        <v>2900</v>
      </c>
      <c r="H19" s="13" t="s">
        <v>130</v>
      </c>
      <c r="I19" s="26" t="n">
        <f aca="false">IF(D19&gt;0,(B19+MAX(E19,F19))/D19/1000,B19/1000)</f>
        <v>2.3</v>
      </c>
    </row>
    <row r="20" customFormat="false" ht="15" hidden="false" customHeight="true" outlineLevel="0" collapsed="false">
      <c r="A20" s="7" t="s">
        <v>131</v>
      </c>
      <c r="B20" s="28" t="n">
        <v>880</v>
      </c>
      <c r="C20" s="10" t="n">
        <v>0.43</v>
      </c>
      <c r="D20" s="20" t="n">
        <v>0.99</v>
      </c>
      <c r="E20" s="22" t="n">
        <v>720</v>
      </c>
      <c r="F20" s="22" t="n">
        <v>720</v>
      </c>
      <c r="G20" s="22" t="n">
        <v>880</v>
      </c>
      <c r="H20" s="7" t="s">
        <v>132</v>
      </c>
      <c r="I20" s="23" t="n">
        <f aca="false">IF(D20&gt;0,(B20+MAX(E20,F20))/D20/1000,B20/1000)</f>
        <v>1.61616161616162</v>
      </c>
    </row>
    <row r="21" customFormat="false" ht="15" hidden="false" customHeight="true" outlineLevel="0" collapsed="false">
      <c r="A21" s="13" t="s">
        <v>133</v>
      </c>
      <c r="B21" s="28" t="n">
        <v>590</v>
      </c>
      <c r="C21" s="16" t="n">
        <v>0.41</v>
      </c>
      <c r="D21" s="24" t="n">
        <v>1</v>
      </c>
      <c r="E21" s="25" t="n">
        <v>590</v>
      </c>
      <c r="F21" s="25" t="n">
        <v>320</v>
      </c>
      <c r="G21" s="25" t="n">
        <v>880</v>
      </c>
      <c r="H21" s="13" t="s">
        <v>105</v>
      </c>
      <c r="I21" s="26" t="n">
        <f aca="false">IF(D21&gt;0,(B21+MAX(E21,F21))/D21/1000,B21/1000)</f>
        <v>1.18</v>
      </c>
    </row>
    <row r="22" customFormat="false" ht="15" hidden="false" customHeight="true" outlineLevel="0" collapsed="false">
      <c r="A22" s="7" t="s">
        <v>134</v>
      </c>
      <c r="B22" s="29" t="n">
        <v>480</v>
      </c>
      <c r="C22" s="10" t="n">
        <v>0.22</v>
      </c>
      <c r="D22" s="20" t="n">
        <v>0.98</v>
      </c>
      <c r="E22" s="22" t="n">
        <v>480</v>
      </c>
      <c r="F22" s="22" t="n">
        <v>480</v>
      </c>
      <c r="G22" s="22" t="n">
        <v>260</v>
      </c>
      <c r="H22" s="7" t="s">
        <v>135</v>
      </c>
      <c r="I22" s="23" t="n">
        <f aca="false">IF(D22&gt;0,(B22+MAX(E22,F22))/D22/1000,B22/1000)</f>
        <v>0.979591836734694</v>
      </c>
    </row>
    <row r="23" customFormat="false" ht="15" hidden="false" customHeight="true" outlineLevel="0" collapsed="false">
      <c r="A23" s="13" t="s">
        <v>136</v>
      </c>
      <c r="B23" s="30" t="n">
        <v>390</v>
      </c>
      <c r="C23" s="16" t="n">
        <v>0.52</v>
      </c>
      <c r="D23" s="24" t="n">
        <v>1</v>
      </c>
      <c r="E23" s="25" t="n">
        <v>390</v>
      </c>
      <c r="F23" s="25" t="n">
        <v>390</v>
      </c>
      <c r="G23" s="25" t="n">
        <v>590</v>
      </c>
      <c r="H23" s="13" t="s">
        <v>137</v>
      </c>
      <c r="I23" s="26" t="n">
        <f aca="false">IF(D23&gt;0,(B23+MAX(E23,F23))/D23/1000,B23/1000)</f>
        <v>0.78</v>
      </c>
    </row>
    <row r="24" customFormat="false" ht="15" hidden="false" customHeight="true" outlineLevel="0" collapsed="false">
      <c r="A24" s="7" t="s">
        <v>138</v>
      </c>
      <c r="B24" s="29" t="n">
        <v>390</v>
      </c>
      <c r="C24" s="10" t="n">
        <v>0.43</v>
      </c>
      <c r="D24" s="20" t="n">
        <v>0.99</v>
      </c>
      <c r="E24" s="22" t="n">
        <v>720</v>
      </c>
      <c r="F24" s="22" t="n">
        <v>390</v>
      </c>
      <c r="G24" s="22" t="n">
        <v>260</v>
      </c>
      <c r="H24" s="7" t="s">
        <v>32</v>
      </c>
      <c r="I24" s="23" t="n">
        <f aca="false">IF(D24&gt;0,(B24+MAX(E24,F24))/D24/1000,B24/1000)</f>
        <v>1.12121212121212</v>
      </c>
    </row>
    <row r="25" customFormat="false" ht="15" hidden="false" customHeight="true" outlineLevel="0" collapsed="false">
      <c r="A25" s="13" t="s">
        <v>139</v>
      </c>
      <c r="B25" s="30" t="n">
        <v>320</v>
      </c>
      <c r="C25" s="16" t="n">
        <v>0.3</v>
      </c>
      <c r="D25" s="24" t="n">
        <v>1</v>
      </c>
      <c r="E25" s="25" t="n">
        <v>320</v>
      </c>
      <c r="F25" s="25" t="n">
        <v>320</v>
      </c>
      <c r="G25" s="25" t="n">
        <v>170</v>
      </c>
      <c r="H25" s="13" t="s">
        <v>140</v>
      </c>
      <c r="I25" s="26" t="n">
        <f aca="false">IF(D25&gt;0,(B25+MAX(E25,F25))/D25/1000,B25/1000)</f>
        <v>0.64</v>
      </c>
    </row>
    <row r="26" customFormat="false" ht="15" hidden="false" customHeight="true" outlineLevel="0" collapsed="false">
      <c r="A26" s="7" t="s">
        <v>141</v>
      </c>
      <c r="B26" s="29" t="n">
        <v>260</v>
      </c>
      <c r="C26" s="10" t="n">
        <v>0.4</v>
      </c>
      <c r="D26" s="20" t="n">
        <v>1</v>
      </c>
      <c r="E26" s="22" t="n">
        <v>140</v>
      </c>
      <c r="F26" s="22" t="n">
        <v>110</v>
      </c>
      <c r="G26" s="22" t="n">
        <v>480</v>
      </c>
      <c r="H26" s="7" t="s">
        <v>137</v>
      </c>
      <c r="I26" s="23" t="n">
        <f aca="false">IF(D26&gt;0,(B26+MAX(E26,F26))/D26/1000,B26/1000)</f>
        <v>0.4</v>
      </c>
    </row>
    <row r="27" customFormat="false" ht="15" hidden="false" customHeight="true" outlineLevel="0" collapsed="false">
      <c r="A27" s="13" t="s">
        <v>142</v>
      </c>
      <c r="B27" s="30" t="n">
        <v>260</v>
      </c>
      <c r="C27" s="16" t="n">
        <v>0.28</v>
      </c>
      <c r="D27" s="24" t="n">
        <v>1</v>
      </c>
      <c r="E27" s="25" t="n">
        <v>390</v>
      </c>
      <c r="F27" s="25" t="n">
        <v>390</v>
      </c>
      <c r="G27" s="25" t="n">
        <v>140</v>
      </c>
      <c r="H27" s="13" t="s">
        <v>35</v>
      </c>
      <c r="I27" s="26" t="n">
        <f aca="false">IF(D27&gt;0,(B27+MAX(E27,F27))/D27/1000,B27/1000)</f>
        <v>0.65</v>
      </c>
    </row>
    <row r="28" customFormat="false" ht="15" hidden="false" customHeight="true" outlineLevel="0" collapsed="false">
      <c r="A28" s="7" t="s">
        <v>143</v>
      </c>
      <c r="B28" s="29" t="n">
        <v>210</v>
      </c>
      <c r="C28" s="10" t="n">
        <v>0.46</v>
      </c>
      <c r="D28" s="20" t="n">
        <v>1</v>
      </c>
      <c r="E28" s="22" t="n">
        <v>210</v>
      </c>
      <c r="F28" s="22" t="n">
        <v>90</v>
      </c>
      <c r="G28" s="22" t="n">
        <v>320</v>
      </c>
      <c r="H28" s="7" t="s">
        <v>105</v>
      </c>
      <c r="I28" s="23" t="n">
        <f aca="false">IF(D28&gt;0,(B28+MAX(E28,F28))/D28/1000,B28/1000)</f>
        <v>0.42</v>
      </c>
    </row>
    <row r="29" customFormat="false" ht="15" hidden="false" customHeight="true" outlineLevel="0" collapsed="false">
      <c r="A29" s="13" t="s">
        <v>144</v>
      </c>
      <c r="B29" s="30" t="n">
        <v>210</v>
      </c>
      <c r="C29" s="16" t="n">
        <v>0.44</v>
      </c>
      <c r="D29" s="24" t="n">
        <v>1</v>
      </c>
      <c r="E29" s="25" t="n">
        <v>70</v>
      </c>
      <c r="F29" s="25" t="n">
        <v>50</v>
      </c>
      <c r="G29" s="25" t="n">
        <v>480</v>
      </c>
      <c r="H29" s="13" t="s">
        <v>137</v>
      </c>
      <c r="I29" s="26" t="n">
        <f aca="false">IF(D29&gt;0,(B29+MAX(E29,F29))/D29/1000,B29/1000)</f>
        <v>0.28</v>
      </c>
    </row>
    <row r="30" customFormat="false" ht="15" hidden="false" customHeight="true" outlineLevel="0" collapsed="false">
      <c r="A30" s="7" t="s">
        <v>145</v>
      </c>
      <c r="B30" s="29" t="n">
        <v>140</v>
      </c>
      <c r="C30" s="10" t="n">
        <v>0.42</v>
      </c>
      <c r="D30" s="20" t="n">
        <v>1</v>
      </c>
      <c r="E30" s="22" t="n">
        <v>170</v>
      </c>
      <c r="F30" s="22" t="n">
        <v>110</v>
      </c>
      <c r="G30" s="22" t="n">
        <v>90</v>
      </c>
      <c r="H30" s="7" t="s">
        <v>146</v>
      </c>
      <c r="I30" s="23" t="n">
        <f aca="false">IF(D30&gt;0,(B30+MAX(E30,F30))/D30/1000,B30/1000)</f>
        <v>0.31</v>
      </c>
    </row>
    <row r="31" customFormat="false" ht="15" hidden="false" customHeight="true" outlineLevel="0" collapsed="false">
      <c r="A31" s="13" t="s">
        <v>147</v>
      </c>
      <c r="B31" s="30" t="n">
        <v>110</v>
      </c>
      <c r="C31" s="16" t="n">
        <v>0.38</v>
      </c>
      <c r="D31" s="24" t="n">
        <v>0.98</v>
      </c>
      <c r="E31" s="25" t="n">
        <v>140</v>
      </c>
      <c r="F31" s="25" t="n">
        <v>110</v>
      </c>
      <c r="G31" s="25" t="n">
        <v>50</v>
      </c>
      <c r="H31" s="13" t="s">
        <v>148</v>
      </c>
      <c r="I31" s="26" t="n">
        <f aca="false">IF(D31&gt;0,(B31+MAX(E31,F31))/D31/1000,B31/1000)</f>
        <v>0.255102040816327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9" min="7" style="1" width="10"/>
    <col collapsed="false" customWidth="true" hidden="false" outlineLevel="0" max="10" min="10" style="1" width="9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26.25" hidden="false" customHeight="true" outlineLevel="0" collapsed="false">
      <c r="A3" s="6" t="s">
        <v>150</v>
      </c>
      <c r="B3" s="6" t="s">
        <v>151</v>
      </c>
      <c r="C3" s="6" t="s">
        <v>152</v>
      </c>
      <c r="D3" s="6" t="s">
        <v>153</v>
      </c>
      <c r="E3" s="6" t="s">
        <v>154</v>
      </c>
      <c r="F3" s="6" t="s">
        <v>155</v>
      </c>
      <c r="G3" s="6" t="s">
        <v>156</v>
      </c>
      <c r="H3" s="6" t="s">
        <v>157</v>
      </c>
      <c r="I3" s="6" t="s">
        <v>158</v>
      </c>
      <c r="J3" s="6" t="s">
        <v>12</v>
      </c>
      <c r="K3" s="6" t="s">
        <v>159</v>
      </c>
    </row>
    <row r="4" customFormat="false" ht="15" hidden="false" customHeight="true" outlineLevel="0" collapsed="false">
      <c r="A4" s="7" t="n">
        <v>1</v>
      </c>
      <c r="B4" s="7" t="s">
        <v>160</v>
      </c>
      <c r="C4" s="7" t="s">
        <v>32</v>
      </c>
      <c r="D4" s="7" t="s">
        <v>161</v>
      </c>
      <c r="E4" s="8" t="n">
        <v>11.59</v>
      </c>
      <c r="F4" s="8" t="n">
        <v>8.5</v>
      </c>
      <c r="G4" s="9" t="n">
        <f aca="false">E4+F4</f>
        <v>20.09</v>
      </c>
      <c r="H4" s="8" t="n">
        <v>44.99</v>
      </c>
      <c r="I4" s="11" t="n">
        <f aca="false">H4-G4-(H4*0.245+0.2)</f>
        <v>13.67745</v>
      </c>
      <c r="J4" s="12" t="n">
        <f aca="false">IF(H4&gt;0,I4/H4,0)</f>
        <v>0.30401089130918</v>
      </c>
      <c r="K4" s="21" t="n">
        <v>33100</v>
      </c>
    </row>
    <row r="5" customFormat="false" ht="15" hidden="false" customHeight="true" outlineLevel="0" collapsed="false">
      <c r="A5" s="13" t="n">
        <v>2</v>
      </c>
      <c r="B5" s="13" t="s">
        <v>160</v>
      </c>
      <c r="C5" s="13" t="s">
        <v>18</v>
      </c>
      <c r="D5" s="13" t="s">
        <v>162</v>
      </c>
      <c r="E5" s="14" t="n">
        <v>11.69</v>
      </c>
      <c r="F5" s="14" t="n">
        <v>8.5</v>
      </c>
      <c r="G5" s="15" t="n">
        <f aca="false">E5+F5</f>
        <v>20.19</v>
      </c>
      <c r="H5" s="14" t="n">
        <v>39.99</v>
      </c>
      <c r="I5" s="17" t="n">
        <f aca="false">H5-G5-(H5*0.245+0.2)</f>
        <v>9.80245</v>
      </c>
      <c r="J5" s="18" t="n">
        <f aca="false">IF(H5&gt;0,I5/H5,0)</f>
        <v>0.245122530632658</v>
      </c>
      <c r="K5" s="21" t="n">
        <v>6600</v>
      </c>
    </row>
    <row r="6" customFormat="false" ht="15" hidden="false" customHeight="true" outlineLevel="0" collapsed="false">
      <c r="A6" s="7" t="n">
        <v>3</v>
      </c>
      <c r="B6" s="7" t="s">
        <v>163</v>
      </c>
      <c r="C6" s="7" t="s">
        <v>115</v>
      </c>
      <c r="D6" s="7" t="s">
        <v>164</v>
      </c>
      <c r="E6" s="8" t="n">
        <v>8.49</v>
      </c>
      <c r="F6" s="8" t="n">
        <v>8</v>
      </c>
      <c r="G6" s="9" t="n">
        <f aca="false">E6+F6</f>
        <v>16.49</v>
      </c>
      <c r="H6" s="8" t="n">
        <v>34.99</v>
      </c>
      <c r="I6" s="11" t="n">
        <f aca="false">H6-G6-(H6*0.245+0.2)</f>
        <v>9.72745</v>
      </c>
      <c r="J6" s="12" t="n">
        <f aca="false">IF(H6&gt;0,I6/H6,0)</f>
        <v>0.278006573306659</v>
      </c>
      <c r="K6" s="27" t="n">
        <v>2900</v>
      </c>
    </row>
    <row r="7" customFormat="false" ht="15" hidden="false" customHeight="true" outlineLevel="0" collapsed="false">
      <c r="A7" s="13" t="n">
        <v>4</v>
      </c>
      <c r="B7" s="13" t="s">
        <v>160</v>
      </c>
      <c r="C7" s="13" t="s">
        <v>24</v>
      </c>
      <c r="D7" s="13" t="s">
        <v>165</v>
      </c>
      <c r="E7" s="14" t="n">
        <v>6.4</v>
      </c>
      <c r="F7" s="14" t="n">
        <v>7.5</v>
      </c>
      <c r="G7" s="15" t="n">
        <f aca="false">E7+F7</f>
        <v>13.9</v>
      </c>
      <c r="H7" s="14" t="n">
        <v>29.99</v>
      </c>
      <c r="I7" s="17" t="n">
        <f aca="false">H7-G7-(H7*0.245+0.2)</f>
        <v>8.54245</v>
      </c>
      <c r="J7" s="18" t="n">
        <f aca="false">IF(H7&gt;0,I7/H7,0)</f>
        <v>0.284843281093698</v>
      </c>
      <c r="K7" s="27" t="n">
        <v>2900</v>
      </c>
    </row>
    <row r="8" customFormat="false" ht="15" hidden="false" customHeight="true" outlineLevel="0" collapsed="false">
      <c r="A8" s="7" t="n">
        <v>5</v>
      </c>
      <c r="B8" s="7" t="s">
        <v>117</v>
      </c>
      <c r="C8" s="7" t="s">
        <v>117</v>
      </c>
      <c r="D8" s="7" t="s">
        <v>166</v>
      </c>
      <c r="E8" s="8" t="n">
        <v>10.99</v>
      </c>
      <c r="F8" s="8" t="n">
        <v>8.5</v>
      </c>
      <c r="G8" s="9" t="n">
        <f aca="false">E8+F8</f>
        <v>19.49</v>
      </c>
      <c r="H8" s="8" t="n">
        <v>39.99</v>
      </c>
      <c r="I8" s="11" t="n">
        <f aca="false">H8-G8-(H8*0.245+0.2)</f>
        <v>10.50245</v>
      </c>
      <c r="J8" s="12" t="n">
        <f aca="false">IF(H8&gt;0,I8/H8,0)</f>
        <v>0.262626906726682</v>
      </c>
      <c r="K8" s="27" t="n">
        <v>2900</v>
      </c>
    </row>
    <row r="9" customFormat="false" ht="15" hidden="false" customHeight="true" outlineLevel="0" collapsed="false">
      <c r="A9" s="13" t="n">
        <v>6</v>
      </c>
      <c r="B9" s="13" t="s">
        <v>167</v>
      </c>
      <c r="C9" s="13" t="s">
        <v>75</v>
      </c>
      <c r="D9" s="13" t="s">
        <v>168</v>
      </c>
      <c r="E9" s="14" t="n">
        <v>11.19</v>
      </c>
      <c r="F9" s="14" t="n">
        <v>8.5</v>
      </c>
      <c r="G9" s="15" t="n">
        <f aca="false">E9+F9</f>
        <v>19.69</v>
      </c>
      <c r="H9" s="14" t="n">
        <v>39.99</v>
      </c>
      <c r="I9" s="17" t="n">
        <f aca="false">H9-G9-(H9*0.245+0.2)</f>
        <v>10.30245</v>
      </c>
      <c r="J9" s="18" t="n">
        <f aca="false">IF(H9&gt;0,I9/H9,0)</f>
        <v>0.257625656414104</v>
      </c>
      <c r="K9" s="21" t="n">
        <v>5400</v>
      </c>
    </row>
    <row r="10" customFormat="false" ht="15" hidden="false" customHeight="true" outlineLevel="0" collapsed="false">
      <c r="A10" s="7" t="n">
        <v>7</v>
      </c>
      <c r="B10" s="7" t="s">
        <v>169</v>
      </c>
      <c r="C10" s="7" t="s">
        <v>125</v>
      </c>
      <c r="D10" s="7" t="s">
        <v>170</v>
      </c>
      <c r="E10" s="8" t="n">
        <v>12.59</v>
      </c>
      <c r="F10" s="8" t="n">
        <v>8.5</v>
      </c>
      <c r="G10" s="9" t="n">
        <f aca="false">E10+F10</f>
        <v>21.09</v>
      </c>
      <c r="H10" s="8" t="n">
        <v>44.99</v>
      </c>
      <c r="I10" s="11" t="n">
        <f aca="false">H10-G10-(H10*0.245+0.2)</f>
        <v>12.67745</v>
      </c>
      <c r="J10" s="12" t="n">
        <f aca="false">IF(H10&gt;0,I10/H10,0)</f>
        <v>0.281783729717715</v>
      </c>
      <c r="K10" s="27" t="n">
        <v>2900</v>
      </c>
    </row>
    <row r="11" customFormat="false" ht="15" hidden="false" customHeight="true" outlineLevel="0" collapsed="false">
      <c r="A11" s="13" t="n">
        <v>8</v>
      </c>
      <c r="B11" s="13" t="s">
        <v>171</v>
      </c>
      <c r="C11" s="13" t="s">
        <v>172</v>
      </c>
      <c r="D11" s="13" t="s">
        <v>173</v>
      </c>
      <c r="E11" s="14" t="n">
        <v>5.19</v>
      </c>
      <c r="F11" s="14" t="n">
        <v>6.5</v>
      </c>
      <c r="G11" s="15" t="n">
        <f aca="false">E11+F11</f>
        <v>11.69</v>
      </c>
      <c r="H11" s="14" t="n">
        <v>24.99</v>
      </c>
      <c r="I11" s="17" t="n">
        <f aca="false">H11-G11-(H11*0.245+0.2)</f>
        <v>6.97745</v>
      </c>
      <c r="J11" s="18" t="n">
        <f aca="false">IF(H11&gt;0,I11/H11,0)</f>
        <v>0.279209683873549</v>
      </c>
      <c r="K11" s="21" t="n">
        <v>5400</v>
      </c>
    </row>
    <row r="12" customFormat="false" ht="15" hidden="false" customHeight="true" outlineLevel="0" collapsed="false">
      <c r="A12" s="7" t="n">
        <v>9</v>
      </c>
      <c r="B12" s="7" t="s">
        <v>56</v>
      </c>
      <c r="C12" s="7" t="s">
        <v>57</v>
      </c>
      <c r="D12" s="7" t="s">
        <v>166</v>
      </c>
      <c r="E12" s="8" t="n">
        <v>8.46</v>
      </c>
      <c r="F12" s="8" t="n">
        <v>7.5</v>
      </c>
      <c r="G12" s="9" t="n">
        <f aca="false">E12+F12</f>
        <v>15.96</v>
      </c>
      <c r="H12" s="8" t="n">
        <v>34.99</v>
      </c>
      <c r="I12" s="11" t="n">
        <f aca="false">H12-G12-(H12*0.245+0.2)</f>
        <v>10.25745</v>
      </c>
      <c r="J12" s="12" t="n">
        <f aca="false">IF(H12&gt;0,I12/H12,0)</f>
        <v>0.293153758216633</v>
      </c>
      <c r="K12" s="22" t="n">
        <v>1300</v>
      </c>
    </row>
    <row r="13" customFormat="false" ht="15" hidden="false" customHeight="true" outlineLevel="0" collapsed="false">
      <c r="A13" s="13" t="n">
        <v>10</v>
      </c>
      <c r="B13" s="13" t="s">
        <v>174</v>
      </c>
      <c r="C13" s="13" t="s">
        <v>137</v>
      </c>
      <c r="D13" s="13" t="s">
        <v>175</v>
      </c>
      <c r="E13" s="14" t="n">
        <v>8.59</v>
      </c>
      <c r="F13" s="14" t="n">
        <v>8.5</v>
      </c>
      <c r="G13" s="15" t="n">
        <f aca="false">E13+F13</f>
        <v>17.09</v>
      </c>
      <c r="H13" s="14" t="n">
        <v>39.99</v>
      </c>
      <c r="I13" s="17" t="n">
        <f aca="false">H13-G13-(H13*0.245+0.2)</f>
        <v>12.90245</v>
      </c>
      <c r="J13" s="18" t="n">
        <f aca="false">IF(H13&gt;0,I13/H13,0)</f>
        <v>0.322641910477619</v>
      </c>
      <c r="K13" s="21" t="n">
        <v>5400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17.25" hidden="false" customHeight="true" outlineLevel="0" collapsed="false">
      <c r="A1" s="2" t="s">
        <v>176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1" t="s">
        <v>177</v>
      </c>
      <c r="B3" s="32"/>
      <c r="C3" s="32"/>
    </row>
    <row r="4" customFormat="false" ht="15" hidden="false" customHeight="true" outlineLevel="0" collapsed="false">
      <c r="A4" s="33" t="s">
        <v>178</v>
      </c>
      <c r="B4" s="34" t="n">
        <v>0.65</v>
      </c>
    </row>
    <row r="5" customFormat="false" ht="15" hidden="false" customHeight="true" outlineLevel="0" collapsed="false">
      <c r="A5" s="33" t="s">
        <v>179</v>
      </c>
      <c r="B5" s="34" t="n">
        <v>4.5</v>
      </c>
    </row>
    <row r="6" customFormat="false" ht="15" hidden="false" customHeight="true" outlineLevel="0" collapsed="false">
      <c r="A6" s="33" t="s">
        <v>180</v>
      </c>
      <c r="B6" s="4" t="n">
        <v>0.015</v>
      </c>
    </row>
    <row r="7" customFormat="false" ht="15" hidden="false" customHeight="true" outlineLevel="0" collapsed="false">
      <c r="A7" s="33" t="s">
        <v>181</v>
      </c>
      <c r="B7" s="4" t="n">
        <v>0.025</v>
      </c>
    </row>
    <row r="8" customFormat="false" ht="15" hidden="false" customHeight="true" outlineLevel="0" collapsed="false">
      <c r="A8" s="33" t="s">
        <v>182</v>
      </c>
      <c r="B8" s="35" t="n">
        <v>6.2</v>
      </c>
    </row>
    <row r="9" customFormat="false" ht="15" hidden="false" customHeight="true" outlineLevel="0" collapsed="false">
      <c r="A9" s="36"/>
    </row>
    <row r="10" customFormat="false" ht="15" hidden="false" customHeight="true" outlineLevel="0" collapsed="false">
      <c r="A10" s="31" t="s">
        <v>183</v>
      </c>
      <c r="B10" s="32"/>
      <c r="C10" s="32"/>
    </row>
    <row r="11" customFormat="false" ht="15" hidden="false" customHeight="true" outlineLevel="0" collapsed="false">
      <c r="A11" s="33" t="s">
        <v>184</v>
      </c>
      <c r="B11" s="34" t="n">
        <v>39.99</v>
      </c>
    </row>
    <row r="12" customFormat="false" ht="15" hidden="false" customHeight="true" outlineLevel="0" collapsed="false">
      <c r="A12" s="33" t="s">
        <v>185</v>
      </c>
      <c r="B12" s="34" t="n">
        <v>19.5</v>
      </c>
    </row>
    <row r="13" customFormat="false" ht="15" hidden="false" customHeight="true" outlineLevel="0" collapsed="false">
      <c r="A13" s="33" t="s">
        <v>186</v>
      </c>
      <c r="B13" s="37" t="n">
        <f aca="false">B11*0.245+0.2</f>
        <v>9.99755</v>
      </c>
    </row>
    <row r="14" customFormat="false" ht="15" hidden="false" customHeight="true" outlineLevel="0" collapsed="false">
      <c r="A14" s="33" t="s">
        <v>187</v>
      </c>
      <c r="B14" s="38" t="n">
        <f aca="false">B11-B12-B13</f>
        <v>10.49245</v>
      </c>
    </row>
    <row r="15" customFormat="false" ht="15" hidden="false" customHeight="true" outlineLevel="0" collapsed="false">
      <c r="A15" s="36"/>
    </row>
    <row r="16" customFormat="false" ht="15" hidden="false" customHeight="true" outlineLevel="0" collapsed="false">
      <c r="A16" s="31" t="s">
        <v>188</v>
      </c>
      <c r="B16" s="32"/>
      <c r="C16" s="32"/>
    </row>
    <row r="17" customFormat="false" ht="15" hidden="false" customHeight="true" outlineLevel="0" collapsed="false">
      <c r="A17" s="33" t="s">
        <v>189</v>
      </c>
      <c r="B17" s="34" t="n">
        <v>300</v>
      </c>
    </row>
    <row r="18" customFormat="false" ht="15" hidden="false" customHeight="true" outlineLevel="0" collapsed="false">
      <c r="A18" s="33" t="s">
        <v>190</v>
      </c>
      <c r="B18" s="39" t="n">
        <f aca="false">IF(B4&gt;0,B17/B4,0)</f>
        <v>461.538461538462</v>
      </c>
    </row>
    <row r="19" customFormat="false" ht="15" hidden="false" customHeight="true" outlineLevel="0" collapsed="false">
      <c r="A19" s="33" t="s">
        <v>191</v>
      </c>
      <c r="B19" s="40" t="n">
        <f aca="false">B18*B7</f>
        <v>11.5384615384615</v>
      </c>
    </row>
    <row r="20" customFormat="false" ht="15" hidden="false" customHeight="true" outlineLevel="0" collapsed="false">
      <c r="A20" s="33" t="s">
        <v>192</v>
      </c>
      <c r="B20" s="37" t="n">
        <f aca="false">B19*B11</f>
        <v>461.423076923077</v>
      </c>
    </row>
    <row r="21" customFormat="false" ht="15" hidden="false" customHeight="true" outlineLevel="0" collapsed="false">
      <c r="A21" s="33" t="s">
        <v>193</v>
      </c>
      <c r="B21" s="37" t="n">
        <f aca="false">B19*B12</f>
        <v>225</v>
      </c>
    </row>
    <row r="22" customFormat="false" ht="15" hidden="false" customHeight="true" outlineLevel="0" collapsed="false">
      <c r="A22" s="33" t="s">
        <v>194</v>
      </c>
      <c r="B22" s="37" t="n">
        <f aca="false">B20*0.245+B19*0.2</f>
        <v>115.356346153846</v>
      </c>
    </row>
    <row r="23" customFormat="false" ht="15" hidden="false" customHeight="true" outlineLevel="0" collapsed="false">
      <c r="A23" s="33" t="s">
        <v>195</v>
      </c>
      <c r="B23" s="38" t="n">
        <f aca="false">B20-B21-B22</f>
        <v>121.066730769231</v>
      </c>
    </row>
    <row r="24" customFormat="false" ht="15" hidden="false" customHeight="true" outlineLevel="0" collapsed="false">
      <c r="A24" s="33" t="s">
        <v>196</v>
      </c>
      <c r="B24" s="41" t="n">
        <f aca="false">IF(B17&gt;0,B20/B17,0)</f>
        <v>1.53807692307692</v>
      </c>
    </row>
    <row r="25" customFormat="false" ht="17.25" hidden="false" customHeight="true" outlineLevel="0" collapsed="false">
      <c r="A25" s="33" t="s">
        <v>197</v>
      </c>
      <c r="B25" s="42" t="n">
        <f aca="false">B23-B17</f>
        <v>-178.933269230769</v>
      </c>
      <c r="C25" s="5" t="s">
        <v>198</v>
      </c>
    </row>
    <row r="28" customFormat="false" ht="15" hidden="false" customHeight="false" outlineLevel="0" collapsed="false">
      <c r="A28" s="43" t="s">
        <v>199</v>
      </c>
      <c r="B28" s="44"/>
      <c r="C28" s="44"/>
    </row>
    <row r="29" customFormat="false" ht="15" hidden="false" customHeight="false" outlineLevel="0" collapsed="false">
      <c r="A29" s="45" t="s">
        <v>200</v>
      </c>
      <c r="B29" s="46" t="n">
        <f aca="false">IF(B17&gt;0,B17/(B17/B4*B11-B17/B4*B12-B17/B4*B11*0.245-B17/B4*0.2),0)</f>
        <v>0.0619493064060348</v>
      </c>
      <c r="C29" s="47" t="s">
        <v>201</v>
      </c>
    </row>
    <row r="30" customFormat="false" ht="15" hidden="false" customHeight="false" outlineLevel="0" collapsed="false">
      <c r="A30" s="45" t="s">
        <v>202</v>
      </c>
      <c r="B30" s="48" t="n">
        <f aca="false">B7*(B11-B12-B11*0.245-0.2)</f>
        <v>0.26231125</v>
      </c>
      <c r="C30" s="47" t="s">
        <v>203</v>
      </c>
    </row>
    <row r="33" customFormat="false" ht="15" hidden="false" customHeight="false" outlineLevel="0" collapsed="false">
      <c r="A33" s="43" t="s">
        <v>204</v>
      </c>
      <c r="B33" s="44"/>
      <c r="C33" s="44"/>
      <c r="D33" s="44"/>
      <c r="E33" s="44"/>
      <c r="F33" s="44"/>
    </row>
    <row r="34" customFormat="false" ht="26.85" hidden="false" customHeight="false" outlineLevel="0" collapsed="false">
      <c r="A34" s="49" t="s">
        <v>205</v>
      </c>
      <c r="B34" s="49" t="s">
        <v>206</v>
      </c>
      <c r="C34" s="49" t="s">
        <v>207</v>
      </c>
      <c r="D34" s="49" t="s">
        <v>208</v>
      </c>
      <c r="E34" s="49" t="s">
        <v>209</v>
      </c>
      <c r="F34" s="49" t="s">
        <v>210</v>
      </c>
    </row>
    <row r="35" customFormat="false" ht="17.35" hidden="false" customHeight="false" outlineLevel="0" collapsed="false">
      <c r="A35" s="45" t="s">
        <v>211</v>
      </c>
      <c r="B35" s="50" t="n">
        <v>39.99</v>
      </c>
      <c r="C35" s="51" t="n">
        <v>0.025</v>
      </c>
      <c r="D35" s="52" t="n">
        <v>11.5</v>
      </c>
      <c r="E35" s="53" t="n">
        <v>461.42</v>
      </c>
      <c r="F35" s="54" t="n">
        <v>-178.93</v>
      </c>
    </row>
    <row r="36" customFormat="false" ht="17.35" hidden="false" customHeight="false" outlineLevel="0" collapsed="false">
      <c r="A36" s="45" t="s">
        <v>212</v>
      </c>
      <c r="B36" s="50" t="n">
        <v>39.99</v>
      </c>
      <c r="C36" s="51" t="n">
        <v>0.035</v>
      </c>
      <c r="D36" s="52" t="n">
        <v>16.2</v>
      </c>
      <c r="E36" s="53" t="n">
        <v>645.99</v>
      </c>
      <c r="F36" s="54" t="n">
        <v>-130.51</v>
      </c>
    </row>
    <row r="37" customFormat="false" ht="17.35" hidden="false" customHeight="false" outlineLevel="0" collapsed="false">
      <c r="A37" s="45" t="s">
        <v>213</v>
      </c>
      <c r="B37" s="50" t="n">
        <v>39.99</v>
      </c>
      <c r="C37" s="51" t="n">
        <v>0.05</v>
      </c>
      <c r="D37" s="52" t="n">
        <v>23.1</v>
      </c>
      <c r="E37" s="53" t="n">
        <v>922.85</v>
      </c>
      <c r="F37" s="54" t="n">
        <v>-57.87</v>
      </c>
    </row>
    <row r="38" customFormat="false" ht="17.35" hidden="false" customHeight="false" outlineLevel="0" collapsed="false">
      <c r="A38" s="45" t="s">
        <v>214</v>
      </c>
      <c r="B38" s="50" t="n">
        <v>49.99</v>
      </c>
      <c r="C38" s="51" t="n">
        <v>0.025</v>
      </c>
      <c r="D38" s="52" t="n">
        <v>11.5</v>
      </c>
      <c r="E38" s="53" t="n">
        <v>576.81</v>
      </c>
      <c r="F38" s="54" t="n">
        <v>-91.82</v>
      </c>
    </row>
    <row r="39" customFormat="false" ht="17.35" hidden="false" customHeight="false" outlineLevel="0" collapsed="false">
      <c r="A39" s="45" t="s">
        <v>215</v>
      </c>
      <c r="B39" s="50" t="n">
        <v>44.99</v>
      </c>
      <c r="C39" s="51" t="n">
        <v>0.04</v>
      </c>
      <c r="D39" s="52" t="n">
        <v>30.8</v>
      </c>
      <c r="E39" s="53" t="n">
        <v>1384.31</v>
      </c>
      <c r="F39" s="54" t="n">
        <v>-61</v>
      </c>
    </row>
    <row r="41" customFormat="false" ht="15" hidden="false" customHeight="false" outlineLevel="0" collapsed="false">
      <c r="A41" s="43" t="s">
        <v>216</v>
      </c>
      <c r="B41" s="44"/>
      <c r="C41" s="44"/>
      <c r="D41" s="44"/>
      <c r="E41" s="44"/>
      <c r="F41" s="44"/>
    </row>
    <row r="42" customFormat="false" ht="15" hidden="false" customHeight="false" outlineLevel="0" collapsed="false">
      <c r="A42" s="55" t="s">
        <v>217</v>
      </c>
      <c r="B42" s="55"/>
      <c r="C42" s="55"/>
      <c r="D42" s="55"/>
      <c r="E42" s="55"/>
      <c r="F42" s="55"/>
    </row>
    <row r="43" customFormat="false" ht="15" hidden="false" customHeight="false" outlineLevel="0" collapsed="false">
      <c r="A43" s="56" t="s">
        <v>218</v>
      </c>
      <c r="B43" s="56"/>
      <c r="C43" s="56"/>
      <c r="D43" s="56"/>
      <c r="E43" s="56"/>
      <c r="F43" s="56"/>
    </row>
    <row r="44" customFormat="false" ht="15" hidden="false" customHeight="false" outlineLevel="0" collapsed="false">
      <c r="A44" s="56" t="s">
        <v>219</v>
      </c>
      <c r="B44" s="56"/>
      <c r="C44" s="56"/>
      <c r="D44" s="56"/>
      <c r="E44" s="56"/>
      <c r="F44" s="56"/>
    </row>
    <row r="45" customFormat="false" ht="15" hidden="false" customHeight="false" outlineLevel="0" collapsed="false">
      <c r="A45" s="56" t="s">
        <v>220</v>
      </c>
      <c r="B45" s="56"/>
      <c r="C45" s="56"/>
      <c r="D45" s="56"/>
      <c r="E45" s="56"/>
      <c r="F45" s="56"/>
    </row>
  </sheetData>
  <mergeCells count="5">
    <mergeCell ref="A1:F1"/>
    <mergeCell ref="A42:F42"/>
    <mergeCell ref="A43:F43"/>
    <mergeCell ref="A44:F44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7" min="5" style="1" width="28"/>
  </cols>
  <sheetData>
    <row r="1" customFormat="false" ht="17.25" hidden="false" customHeight="true" outlineLevel="0" collapsed="false">
      <c r="A1" s="2" t="s">
        <v>221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6" t="s">
        <v>222</v>
      </c>
      <c r="B3" s="6" t="s">
        <v>223</v>
      </c>
      <c r="C3" s="6" t="s">
        <v>224</v>
      </c>
      <c r="D3" s="6" t="s">
        <v>225</v>
      </c>
      <c r="E3" s="6" t="s">
        <v>226</v>
      </c>
      <c r="F3" s="6" t="s">
        <v>227</v>
      </c>
      <c r="G3" s="6" t="s">
        <v>228</v>
      </c>
    </row>
    <row r="4" customFormat="false" ht="23.25" hidden="false" customHeight="true" outlineLevel="0" collapsed="false">
      <c r="A4" s="57" t="s">
        <v>229</v>
      </c>
      <c r="B4" s="7" t="s">
        <v>230</v>
      </c>
      <c r="C4" s="7" t="s">
        <v>231</v>
      </c>
      <c r="D4" s="7" t="s">
        <v>232</v>
      </c>
      <c r="E4" s="7" t="s">
        <v>233</v>
      </c>
      <c r="F4" s="7" t="s">
        <v>234</v>
      </c>
      <c r="G4" s="7" t="s">
        <v>235</v>
      </c>
    </row>
    <row r="5" customFormat="false" ht="23.25" hidden="false" customHeight="true" outlineLevel="0" collapsed="false">
      <c r="A5" s="58" t="s">
        <v>236</v>
      </c>
      <c r="B5" s="13" t="s">
        <v>237</v>
      </c>
      <c r="C5" s="13" t="s">
        <v>238</v>
      </c>
      <c r="D5" s="13" t="s">
        <v>239</v>
      </c>
      <c r="E5" s="13" t="s">
        <v>240</v>
      </c>
      <c r="F5" s="13" t="s">
        <v>241</v>
      </c>
      <c r="G5" s="13" t="s">
        <v>242</v>
      </c>
    </row>
    <row r="6" customFormat="false" ht="23.25" hidden="false" customHeight="true" outlineLevel="0" collapsed="false">
      <c r="A6" s="59" t="s">
        <v>243</v>
      </c>
      <c r="B6" s="60" t="s">
        <v>244</v>
      </c>
      <c r="C6" s="60" t="s">
        <v>245</v>
      </c>
      <c r="D6" s="60" t="s">
        <v>246</v>
      </c>
      <c r="E6" s="60" t="s">
        <v>247</v>
      </c>
      <c r="F6" s="60" t="s">
        <v>248</v>
      </c>
      <c r="G6" s="60" t="s">
        <v>249</v>
      </c>
    </row>
    <row r="7" customFormat="false" ht="23.25" hidden="false" customHeight="true" outlineLevel="0" collapsed="false">
      <c r="A7" s="59" t="s">
        <v>250</v>
      </c>
      <c r="B7" s="60" t="s">
        <v>251</v>
      </c>
      <c r="C7" s="60" t="s">
        <v>252</v>
      </c>
      <c r="D7" s="60" t="s">
        <v>253</v>
      </c>
      <c r="E7" s="60" t="s">
        <v>254</v>
      </c>
      <c r="F7" s="60" t="s">
        <v>255</v>
      </c>
      <c r="G7" s="60" t="s">
        <v>256</v>
      </c>
    </row>
    <row r="8" customFormat="false" ht="23.25" hidden="false" customHeight="true" outlineLevel="0" collapsed="false">
      <c r="A8" s="57" t="s">
        <v>257</v>
      </c>
      <c r="B8" s="7" t="s">
        <v>26</v>
      </c>
      <c r="C8" s="7" t="s">
        <v>258</v>
      </c>
      <c r="D8" s="7" t="s">
        <v>259</v>
      </c>
      <c r="E8" s="7" t="s">
        <v>260</v>
      </c>
      <c r="F8" s="7" t="s">
        <v>261</v>
      </c>
      <c r="G8" s="7" t="s">
        <v>262</v>
      </c>
    </row>
    <row r="9" customFormat="false" ht="23.25" hidden="false" customHeight="true" outlineLevel="0" collapsed="false">
      <c r="A9" s="58" t="s">
        <v>263</v>
      </c>
      <c r="B9" s="13" t="s">
        <v>264</v>
      </c>
      <c r="C9" s="13" t="s">
        <v>265</v>
      </c>
      <c r="D9" s="13" t="s">
        <v>266</v>
      </c>
      <c r="E9" s="13" t="s">
        <v>267</v>
      </c>
      <c r="F9" s="13" t="s">
        <v>268</v>
      </c>
      <c r="G9" s="13" t="s">
        <v>269</v>
      </c>
    </row>
    <row r="10" customFormat="false" ht="23.25" hidden="false" customHeight="true" outlineLevel="0" collapsed="false">
      <c r="A10" s="57" t="s">
        <v>270</v>
      </c>
      <c r="B10" s="7" t="s">
        <v>271</v>
      </c>
      <c r="C10" s="7" t="s">
        <v>272</v>
      </c>
      <c r="D10" s="7" t="s">
        <v>273</v>
      </c>
      <c r="E10" s="7" t="s">
        <v>274</v>
      </c>
      <c r="F10" s="7" t="s">
        <v>275</v>
      </c>
      <c r="G10" s="7" t="s">
        <v>276</v>
      </c>
    </row>
    <row r="11" customFormat="false" ht="23.25" hidden="false" customHeight="true" outlineLevel="0" collapsed="false">
      <c r="A11" s="61" t="s">
        <v>277</v>
      </c>
      <c r="B11" s="62" t="s">
        <v>278</v>
      </c>
      <c r="C11" s="62" t="s">
        <v>279</v>
      </c>
      <c r="D11" s="62" t="s">
        <v>280</v>
      </c>
      <c r="E11" s="62" t="s">
        <v>281</v>
      </c>
      <c r="F11" s="62" t="s">
        <v>282</v>
      </c>
      <c r="G11" s="62" t="s">
        <v>283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48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284</v>
      </c>
      <c r="B1" s="2"/>
      <c r="C1" s="2"/>
      <c r="D1" s="2"/>
      <c r="E1" s="2"/>
      <c r="F1" s="2"/>
    </row>
    <row r="3" customFormat="false" ht="39" hidden="false" customHeight="true" outlineLevel="0" collapsed="false">
      <c r="A3" s="6" t="s">
        <v>285</v>
      </c>
      <c r="B3" s="6" t="s">
        <v>286</v>
      </c>
      <c r="C3" s="6" t="s">
        <v>287</v>
      </c>
      <c r="D3" s="6" t="s">
        <v>288</v>
      </c>
      <c r="E3" s="6" t="s">
        <v>289</v>
      </c>
      <c r="F3" s="6" t="s">
        <v>290</v>
      </c>
    </row>
    <row r="4" customFormat="false" ht="15" hidden="false" customHeight="true" outlineLevel="0" collapsed="false">
      <c r="A4" s="57" t="s">
        <v>291</v>
      </c>
      <c r="B4" s="7" t="s">
        <v>292</v>
      </c>
      <c r="C4" s="7" t="s">
        <v>293</v>
      </c>
      <c r="D4" s="7" t="s">
        <v>294</v>
      </c>
      <c r="E4" s="7" t="s">
        <v>295</v>
      </c>
      <c r="F4" s="60" t="s">
        <v>296</v>
      </c>
    </row>
    <row r="5" customFormat="false" ht="15" hidden="false" customHeight="true" outlineLevel="0" collapsed="false">
      <c r="A5" s="58" t="s">
        <v>297</v>
      </c>
      <c r="B5" s="13" t="s">
        <v>298</v>
      </c>
      <c r="C5" s="13" t="s">
        <v>299</v>
      </c>
      <c r="D5" s="13" t="s">
        <v>300</v>
      </c>
      <c r="E5" s="13" t="s">
        <v>301</v>
      </c>
      <c r="F5" s="60" t="s">
        <v>296</v>
      </c>
    </row>
    <row r="6" customFormat="false" ht="15" hidden="false" customHeight="true" outlineLevel="0" collapsed="false">
      <c r="A6" s="57" t="s">
        <v>302</v>
      </c>
      <c r="B6" s="7" t="s">
        <v>303</v>
      </c>
      <c r="C6" s="7" t="s">
        <v>304</v>
      </c>
      <c r="D6" s="7" t="s">
        <v>305</v>
      </c>
      <c r="E6" s="7" t="s">
        <v>295</v>
      </c>
      <c r="F6" s="60" t="s">
        <v>296</v>
      </c>
    </row>
    <row r="7" customFormat="false" ht="23.25" hidden="false" customHeight="true" outlineLevel="0" collapsed="false">
      <c r="A7" s="58" t="s">
        <v>306</v>
      </c>
      <c r="B7" s="13" t="s">
        <v>307</v>
      </c>
      <c r="C7" s="13" t="s">
        <v>308</v>
      </c>
      <c r="D7" s="13" t="s">
        <v>300</v>
      </c>
      <c r="E7" s="13" t="s">
        <v>309</v>
      </c>
      <c r="F7" s="63" t="s">
        <v>310</v>
      </c>
    </row>
    <row r="8" customFormat="false" ht="15" hidden="false" customHeight="true" outlineLevel="0" collapsed="false">
      <c r="A8" s="57" t="s">
        <v>311</v>
      </c>
      <c r="B8" s="7" t="s">
        <v>312</v>
      </c>
      <c r="C8" s="7" t="s">
        <v>313</v>
      </c>
      <c r="D8" s="7" t="s">
        <v>314</v>
      </c>
      <c r="E8" s="7" t="s">
        <v>295</v>
      </c>
      <c r="F8" s="63" t="s">
        <v>315</v>
      </c>
    </row>
    <row r="9" customFormat="false" ht="15" hidden="false" customHeight="true" outlineLevel="0" collapsed="false">
      <c r="A9" s="58" t="s">
        <v>316</v>
      </c>
      <c r="B9" s="13" t="s">
        <v>317</v>
      </c>
      <c r="C9" s="13" t="s">
        <v>318</v>
      </c>
      <c r="D9" s="13" t="s">
        <v>319</v>
      </c>
      <c r="E9" s="13" t="s">
        <v>320</v>
      </c>
      <c r="F9" s="7" t="s">
        <v>321</v>
      </c>
    </row>
    <row r="10" customFormat="false" ht="15" hidden="false" customHeight="true" outlineLevel="0" collapsed="false">
      <c r="A10" s="57" t="s">
        <v>322</v>
      </c>
      <c r="B10" s="7" t="s">
        <v>323</v>
      </c>
      <c r="C10" s="7" t="s">
        <v>324</v>
      </c>
      <c r="D10" s="7" t="s">
        <v>325</v>
      </c>
      <c r="E10" s="7" t="s">
        <v>326</v>
      </c>
      <c r="F10" s="7" t="s">
        <v>321</v>
      </c>
    </row>
    <row r="11" customFormat="false" ht="15" hidden="false" customHeight="true" outlineLevel="0" collapsed="false">
      <c r="A11" s="58" t="s">
        <v>327</v>
      </c>
      <c r="B11" s="13" t="s">
        <v>328</v>
      </c>
      <c r="C11" s="13" t="s">
        <v>329</v>
      </c>
      <c r="D11" s="13" t="s">
        <v>31</v>
      </c>
      <c r="E11" s="13" t="s">
        <v>330</v>
      </c>
      <c r="F11" s="7" t="s">
        <v>331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2026-02-24T04:09:46Z</dcterms:created>
  <dc:creator>openpyxl</dc:creator>
  <dc:description/>
  <dc:language>en-US</dc:language>
  <cp:lastModifiedBy/>
  <dcterms:modified xsi:type="dcterms:W3CDTF">2026-02-24T04:10:52Z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