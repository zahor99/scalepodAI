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ton Catalog" sheetId="1" state="visible" r:id="rId3"/>
    <sheet name="Top Opportunities" sheetId="2" state="visible" r:id="rId4"/>
    <sheet name="Cotton vs Polyester" sheetId="3" state="visible" r:id="rId5"/>
    <sheet name="Category Breakdown" sheetId="4" state="visible" r:id="rId6"/>
    <sheet name="Launch Strate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<sst xmlns="http://schemas.openxmlformats.org/spreadsheetml/2006/main" count="557" uniqueCount="337">
  <si>
    <t xml:space="preserve">YOYCOL 100% COTTON — Women's Products Complete Catalog (33 Products)</t>
  </si>
  <si>
    <t xml:space="preserve">Scraped Feb 24, 2026 | Filter: Women's Clothes → 100% Cotton | All AOP + DTG/DTF products</t>
  </si>
  <si>
    <t xml:space="preserve">Etsy Fee Rate:</t>
  </si>
  <si>
    <t xml:space="preserve">Listing Fee:</t>
  </si>
  <si>
    <t xml:space="preserve">#</t>
  </si>
  <si>
    <t xml:space="preserve">Product Name</t>
  </si>
  <si>
    <t xml:space="preserve">Category</t>
  </si>
  <si>
    <t xml:space="preserve">Print
Type</t>
  </si>
  <si>
    <t xml:space="preserve">Base
Cost</t>
  </si>
  <si>
    <t xml:space="preserve">Est.
Ship</t>
  </si>
  <si>
    <t xml:space="preserve">Landed
Cost</t>
  </si>
  <si>
    <t xml:space="preserve">Etsy
Price</t>
  </si>
  <si>
    <t xml:space="preserve">Etsy
Fees</t>
  </si>
  <si>
    <t xml:space="preserve">Profit</t>
  </si>
  <si>
    <t xml:space="preserve">Margin</t>
  </si>
  <si>
    <t xml:space="preserve">Sizes</t>
  </si>
  <si>
    <t xml:space="preserve">Prod
Days</t>
  </si>
  <si>
    <t xml:space="preserve">Fabric</t>
  </si>
  <si>
    <t xml:space="preserve">Search
Demand</t>
  </si>
  <si>
    <t xml:space="preserve">ICP
Match</t>
  </si>
  <si>
    <t xml:space="preserve">Notes</t>
  </si>
  <si>
    <t xml:space="preserve">Women's Cropped T-shirt</t>
  </si>
  <si>
    <t xml:space="preserve">Tops</t>
  </si>
  <si>
    <t xml:space="preserve">AOP</t>
  </si>
  <si>
    <t xml:space="preserve">XS-2XL</t>
  </si>
  <si>
    <t xml:space="preserve">190GSM Cotton</t>
  </si>
  <si>
    <t xml:space="preserve">cropped tee 14K/mo</t>
  </si>
  <si>
    <t xml:space="preserve">HIGH</t>
  </si>
  <si>
    <t xml:space="preserve">Trendy crop top, great for boho/festival niche</t>
  </si>
  <si>
    <t xml:space="preserve">Women's Round Neck T-Shirt</t>
  </si>
  <si>
    <t xml:space="preserve">S-9XL</t>
  </si>
  <si>
    <t xml:space="preserve">graphic tee women 33K/mo</t>
  </si>
  <si>
    <t xml:space="preserve">Huge size range S-9XL = plus size market</t>
  </si>
  <si>
    <t xml:space="preserve">Women's Leisure Blazer</t>
  </si>
  <si>
    <t xml:space="preserve">Outerwear</t>
  </si>
  <si>
    <t xml:space="preserve">XS-5XL</t>
  </si>
  <si>
    <t xml:space="preserve">245GSM Cotton</t>
  </si>
  <si>
    <t xml:space="preserve">boho blazer 2.4K/mo</t>
  </si>
  <si>
    <t xml:space="preserve">Premium cotton blazer, unique AOP offering</t>
  </si>
  <si>
    <t xml:space="preserve">Women's Sleeveless Dress With Pocket</t>
  </si>
  <si>
    <t xml:space="preserve">Dresses</t>
  </si>
  <si>
    <t xml:space="preserve">S-5XL</t>
  </si>
  <si>
    <t xml:space="preserve">125GSM Slub Cotton</t>
  </si>
  <si>
    <t xml:space="preserve">cottagecore dress 8.1K/mo</t>
  </si>
  <si>
    <t xml:space="preserve">PERFECT</t>
  </si>
  <si>
    <t xml:space="preserve">Slub cotton texture + pockets = cottagecore dream</t>
  </si>
  <si>
    <t xml:space="preserve">Women's Oversized T-shirt</t>
  </si>
  <si>
    <t xml:space="preserve">XS-3XL</t>
  </si>
  <si>
    <t xml:space="preserve">oversized tee women 22K/mo</t>
  </si>
  <si>
    <t xml:space="preserve">Oversized trend still growing, premium feel</t>
  </si>
  <si>
    <t xml:space="preserve">Women's Cropped Jacket</t>
  </si>
  <si>
    <t xml:space="preserve">S-XL</t>
  </si>
  <si>
    <t xml:space="preserve">crop jacket 5.4K/mo</t>
  </si>
  <si>
    <t xml:space="preserve">245GSM heavy cotton, perfect layering piece</t>
  </si>
  <si>
    <t xml:space="preserve">Women's T-Shirt Comfort Colors C1717 Front DTF</t>
  </si>
  <si>
    <t xml:space="preserve">DTF</t>
  </si>
  <si>
    <t xml:space="preserve">S-3XL</t>
  </si>
  <si>
    <t xml:space="preserve">200GSM Cotton</t>
  </si>
  <si>
    <t xml:space="preserve">comfort colors 40K/mo</t>
  </si>
  <si>
    <t xml:space="preserve">Comfort Colors brand = premium positioning</t>
  </si>
  <si>
    <t xml:space="preserve">Women's Pajamas Set</t>
  </si>
  <si>
    <t xml:space="preserve">Loungewear</t>
  </si>
  <si>
    <t xml:space="preserve">matching pajamas 18K/mo</t>
  </si>
  <si>
    <t xml:space="preserve">Full set (top+bottoms), gift-ready</t>
  </si>
  <si>
    <t xml:space="preserve">Unisex Boat Neck Sweatshirt w/ Pocket</t>
  </si>
  <si>
    <t xml:space="preserve">Sweatshirts</t>
  </si>
  <si>
    <t xml:space="preserve">310GSM Cotton</t>
  </si>
  <si>
    <t xml:space="preserve">sweatshirt women 27K/mo</t>
  </si>
  <si>
    <t xml:space="preserve">310GSM heavyweight, boat neck is unique</t>
  </si>
  <si>
    <t xml:space="preserve">Women's Front Mid-slit Skirt</t>
  </si>
  <si>
    <t xml:space="preserve">Bottoms</t>
  </si>
  <si>
    <t xml:space="preserve">midi skirt boho 4.2K/mo</t>
  </si>
  <si>
    <t xml:space="preserve">Mid-slit detail, perfect for cottagecore sets</t>
  </si>
  <si>
    <t xml:space="preserve">Women's Comfort Shirt With Button</t>
  </si>
  <si>
    <t xml:space="preserve">125GSM Cotton</t>
  </si>
  <si>
    <t xml:space="preserve">button up shirt women 6.8K/mo</t>
  </si>
  <si>
    <t xml:space="preserve">Light 125GSM, breathable summer shirt</t>
  </si>
  <si>
    <t xml:space="preserve">Women's Shirt 125GSM</t>
  </si>
  <si>
    <t xml:space="preserve">printed shirt women 9.1K/mo</t>
  </si>
  <si>
    <t xml:space="preserve">Classic collared shirt, office-to-evening</t>
  </si>
  <si>
    <t xml:space="preserve">Women's Cold Shoulder Dress</t>
  </si>
  <si>
    <t xml:space="preserve">cold shoulder dress 3.6K/mo</t>
  </si>
  <si>
    <t xml:space="preserve">Cold shoulder cutout adds flair</t>
  </si>
  <si>
    <t xml:space="preserve">Women's Sports Vest</t>
  </si>
  <si>
    <t xml:space="preserve">Activewear</t>
  </si>
  <si>
    <t xml:space="preserve">180GSM Cotton</t>
  </si>
  <si>
    <t xml:space="preserve">workout top women 8.3K/mo</t>
  </si>
  <si>
    <t xml:space="preserve">MEDIUM</t>
  </si>
  <si>
    <t xml:space="preserve">Cotton activewear niche, yoga/pilates crowd</t>
  </si>
  <si>
    <t xml:space="preserve">Women's T-Shirt Comfort Colors C1717 Front DTG</t>
  </si>
  <si>
    <t xml:space="preserve">DTG</t>
  </si>
  <si>
    <t xml:space="preserve">comfort colors tee 40K/mo</t>
  </si>
  <si>
    <t xml:space="preserve">DTG single print, faster production</t>
  </si>
  <si>
    <t xml:space="preserve">Women's Racer Vest</t>
  </si>
  <si>
    <t xml:space="preserve">racerback tank 12K/mo</t>
  </si>
  <si>
    <t xml:space="preserve">Low cost $8.92, great margin potential</t>
  </si>
  <si>
    <t xml:space="preserve">Women's Waist Tight Dress</t>
  </si>
  <si>
    <t xml:space="preserve">bodycon dress 15K/mo</t>
  </si>
  <si>
    <t xml:space="preserve">Form-fitting, dark aesthetic potential</t>
  </si>
  <si>
    <t xml:space="preserve">Women's T-Shirt C1717 Double DTG</t>
  </si>
  <si>
    <t xml:space="preserve">double print tee 5K/mo</t>
  </si>
  <si>
    <t xml:space="preserve">Front+back print, higher perceived value</t>
  </si>
  <si>
    <t xml:space="preserve">Women's Round Neck Dress 190GSM</t>
  </si>
  <si>
    <t xml:space="preserve">S-7XL</t>
  </si>
  <si>
    <t xml:space="preserve">plus size dress 11K/mo</t>
  </si>
  <si>
    <t xml:space="preserve">S-7XL! Massive plus-size market</t>
  </si>
  <si>
    <t xml:space="preserve">Women's Bell Sleeve Top</t>
  </si>
  <si>
    <t xml:space="preserve">bell sleeve top 6.1K/mo</t>
  </si>
  <si>
    <t xml:space="preserve">Bell sleeves = boho/whimsigoth essential</t>
  </si>
  <si>
    <t xml:space="preserve">Women's V Neck Dress 180GSM</t>
  </si>
  <si>
    <t xml:space="preserve">v neck dress women 7.2K/mo</t>
  </si>
  <si>
    <t xml:space="preserve">V-neck flattering cut, cotton comfort</t>
  </si>
  <si>
    <t xml:space="preserve">Women's Dress 180GSM</t>
  </si>
  <si>
    <t xml:space="preserve">printed dress 14K/mo</t>
  </si>
  <si>
    <t xml:space="preserve">Full-length, premium positioning</t>
  </si>
  <si>
    <t xml:space="preserve">Women's Bat Sleeves Blouse</t>
  </si>
  <si>
    <t xml:space="preserve">batwing blouse 3.8K/mo</t>
  </si>
  <si>
    <t xml:space="preserve">Bat sleeves = witchy/gothic perfect match</t>
  </si>
  <si>
    <t xml:space="preserve">Women's O-neck Cami Dress</t>
  </si>
  <si>
    <t xml:space="preserve">cami dress 9.5K/mo</t>
  </si>
  <si>
    <t xml:space="preserve">Summer essential, low cost high margin</t>
  </si>
  <si>
    <t xml:space="preserve">Women's T-Shirt USA Print 200GSM DTF</t>
  </si>
  <si>
    <t xml:space="preserve">200GSM Cotton DTF</t>
  </si>
  <si>
    <t xml:space="preserve">graphic tee 33K/mo</t>
  </si>
  <si>
    <t xml:space="preserve">CHEAPEST! $5.29, 2-day prod, USA printed</t>
  </si>
  <si>
    <t xml:space="preserve">Women's Pajama T-shirt</t>
  </si>
  <si>
    <t xml:space="preserve">pajama top 4.1K/mo</t>
  </si>
  <si>
    <t xml:space="preserve">Pair with pajama pants for set</t>
  </si>
  <si>
    <t xml:space="preserve">Women's Formal Vest</t>
  </si>
  <si>
    <t xml:space="preserve">formal vest women 2.1K/mo</t>
  </si>
  <si>
    <t xml:space="preserve">Heavy 245GSM, structured formal look</t>
  </si>
  <si>
    <t xml:space="preserve">Women's Pajama Pants</t>
  </si>
  <si>
    <t xml:space="preserve">pajama pants 8.9K/mo</t>
  </si>
  <si>
    <t xml:space="preserve">Match with pajama top for gift sets</t>
  </si>
  <si>
    <t xml:space="preserve">Women's Lace Vest USA Print</t>
  </si>
  <si>
    <t xml:space="preserve">S-2XL</t>
  </si>
  <si>
    <t xml:space="preserve">Cotton</t>
  </si>
  <si>
    <t xml:space="preserve">lace top women 5.2K/mo</t>
  </si>
  <si>
    <t xml:space="preserve">Lace detail + USA print = fast ship + premium look</t>
  </si>
  <si>
    <t xml:space="preserve">Women's T-Shirt C1717 Back DTG</t>
  </si>
  <si>
    <t xml:space="preserve">back print tee 4K/mo</t>
  </si>
  <si>
    <t xml:space="preserve">Back-only print, clean front look</t>
  </si>
  <si>
    <t xml:space="preserve">Women's T-Shirt C1717 Front DTG</t>
  </si>
  <si>
    <t xml:space="preserve">front print tee 40K/mo</t>
  </si>
  <si>
    <t xml:space="preserve">Single front DTG, Comfort Colors</t>
  </si>
  <si>
    <t xml:space="preserve">Unisex Heavyweight T-Shirt C1717 Double DTF</t>
  </si>
  <si>
    <t xml:space="preserve">heavyweight tee 8K/mo</t>
  </si>
  <si>
    <t xml:space="preserve">Unisex = 2x market, front+back DTF</t>
  </si>
  <si>
    <t xml:space="preserve">Unisex Heavyweight T-Shirt C1717 Back DTF</t>
  </si>
  <si>
    <t xml:space="preserve">Back DTF on Comfort Colors blank</t>
  </si>
  <si>
    <t xml:space="preserve">AVERAGES →</t>
  </si>
  <si>
    <t xml:space="preserve">TOP COTTON OPPORTUNITIES — Ranked by Margin &amp; Market Potential</t>
  </si>
  <si>
    <t xml:space="preserve">100% cotton = premium positioning. Comfort Colors brand blanks = built-in demand. AOP cotton = unique differentiator.</t>
  </si>
  <si>
    <t xml:space="preserve">★</t>
  </si>
  <si>
    <t xml:space="preserve">Product</t>
  </si>
  <si>
    <t xml:space="preserve">Type</t>
  </si>
  <si>
    <t xml:space="preserve">Cost</t>
  </si>
  <si>
    <t xml:space="preserve">Ship</t>
  </si>
  <si>
    <t xml:space="preserve">Why This Is A Winner</t>
  </si>
  <si>
    <t xml:space="preserve">Launch
Priority</t>
  </si>
  <si>
    <t xml:space="preserve">★★★</t>
  </si>
  <si>
    <t xml:space="preserve">CHEAPEST product at $5.29! 2-day production from USA. 200GSM heavyweight feel. Etsy impulse buy at $19.99.</t>
  </si>
  <si>
    <t xml:space="preserve">P1 — NOW</t>
  </si>
  <si>
    <t xml:space="preserve">Lace detail = premium look at $7.29 cost. USA printed = 2-day production. Perfect for boho/cottagecore niche.</t>
  </si>
  <si>
    <t xml:space="preserve">lace top 5.2K/mo</t>
  </si>
  <si>
    <t xml:space="preserve">Women's Cropped T-shirt 190GSM</t>
  </si>
  <si>
    <t xml:space="preserve">Crop tops trending hard. $8.15 cost on 100% cotton AOP. Festival/boho/whimsigoth niche gold.</t>
  </si>
  <si>
    <t xml:space="preserve">Women's Racer Vest 190GSM</t>
  </si>
  <si>
    <t xml:space="preserve">Racerback tank at $8.92 = great margin. Summer essential. Layer under blazer or wear alone.</t>
  </si>
  <si>
    <t xml:space="preserve">Women's Round Neck T-Shirt 190GSM</t>
  </si>
  <si>
    <t xml:space="preserve">S-9XL size range = PLUS SIZE MARKET. 100% cotton AOP tee is rare. Massive addressable audience.</t>
  </si>
  <si>
    <t xml:space="preserve">Comfort Colors C1717 Front DTF</t>
  </si>
  <si>
    <t xml:space="preserve">Comfort Colors has 40K/mo branded search. Premium blank = instant credibility. 5-day production.</t>
  </si>
  <si>
    <t xml:space="preserve">★★</t>
  </si>
  <si>
    <t xml:space="preserve">Summer cami dress at $13.29 = solid margin. Cami dress has 9.5K/mo search. Easy entry to dress market.</t>
  </si>
  <si>
    <t xml:space="preserve">P2 — SOON</t>
  </si>
  <si>
    <t xml:space="preserve">Bodycon dress at $13.19 cost. Dark aesthetic/witch vibes. 15K/mo search volume for bodycon.</t>
  </si>
  <si>
    <t xml:space="preserve">Cold shoulder cutout adds visual interest. $13.29 cost, 190GSM cotton comfort.</t>
  </si>
  <si>
    <t xml:space="preserve">Full pajama SET (top+bottoms). Gift-ready = Q4 goldmine. 18K/mo for matching pajamas.</t>
  </si>
  <si>
    <t xml:space="preserve">P2 — Q4</t>
  </si>
  <si>
    <t xml:space="preserve">Women's Cropped Jacket 245GSM</t>
  </si>
  <si>
    <t xml:space="preserve">245GSM heavyweight cotton jacket. AOP jacket is RARE on Etsy. Fall/winter layering essential.</t>
  </si>
  <si>
    <t xml:space="preserve">P2 — FALL</t>
  </si>
  <si>
    <t xml:space="preserve">Bell sleeves = boho/whimsigoth ESSENTIAL. Perfect ICP match. Unique silhouette.</t>
  </si>
  <si>
    <t xml:space="preserve">Batwing = witchy/gothic aesthetic. 190GSM cotton. AOP blouse is very rare offering.</t>
  </si>
  <si>
    <t xml:space="preserve">Slub cotton texture + POCKETS. Cottagecore dream product. Higher cost but premium positioning.</t>
  </si>
  <si>
    <t xml:space="preserve">P3</t>
  </si>
  <si>
    <t xml:space="preserve">Women's Leisure Blazer 245GSM</t>
  </si>
  <si>
    <t xml:space="preserve">Premium 245GSM cotton blazer. Unique AOP blazer = zero competition. High ticket item.</t>
  </si>
  <si>
    <t xml:space="preserve">Unisex Boat Neck Sweatshirt 310GSM</t>
  </si>
  <si>
    <t xml:space="preserve">310GSM HEAVYWEIGHT. Boat neck is unique neckline. Unisex = 2x market. Premium feel.</t>
  </si>
  <si>
    <t xml:space="preserve">sweatshirt 27K/mo</t>
  </si>
  <si>
    <t xml:space="preserve">COTTON vs POLYESTER — Why 100% Cotton Is Your Competitive Edge</t>
  </si>
  <si>
    <t xml:space="preserve">Most POD sellers use polyester/poly-blend. Cotton = differentiation + premium pricing + better reviews.</t>
  </si>
  <si>
    <t xml:space="preserve">Factor</t>
  </si>
  <si>
    <t xml:space="preserve">100% Cotton
(Yoycol)</t>
  </si>
  <si>
    <t xml:space="preserve">Polyester Blend
(MWW/Printify)</t>
  </si>
  <si>
    <t xml:space="preserve">Winner</t>
  </si>
  <si>
    <t xml:space="preserve">Impact on Sales</t>
  </si>
  <si>
    <t xml:space="preserve">Feel &amp; Comfort</t>
  </si>
  <si>
    <t xml:space="preserve">Soft, breathable, natural feel. Gets softer with washes.</t>
  </si>
  <si>
    <t xml:space="preserve">Can feel plasticky, traps heat, doesn't soften.</t>
  </si>
  <si>
    <t xml:space="preserve">COTTON</t>
  </si>
  <si>
    <t xml:space="preserve">Etsy buyers pay premium for natural materials. Cotton = 5-star reviews.</t>
  </si>
  <si>
    <t xml:space="preserve">Print Quality</t>
  </si>
  <si>
    <t xml:space="preserve">Matte, vintage feel. Ink absorbs INTO fiber.</t>
  </si>
  <si>
    <t xml:space="preserve">Vivid, shiny colors. Ink sits ON surface (sublimation).</t>
  </si>
  <si>
    <t xml:space="preserve">TIE</t>
  </si>
  <si>
    <t xml:space="preserve">Different aesthetics. Cotton = vintage/artsy. Poly = vibrant/bold.</t>
  </si>
  <si>
    <t xml:space="preserve">Eco Perception</t>
  </si>
  <si>
    <t xml:space="preserve">Natural, biodegradable, 'sustainable' perception.</t>
  </si>
  <si>
    <t xml:space="preserve">Synthetic, plastic-derived, negative eco association.</t>
  </si>
  <si>
    <t xml:space="preserve">Etsy's eco-conscious buyers strongly prefer cotton. Listing tag: organic cotton.</t>
  </si>
  <si>
    <t xml:space="preserve">Price Premium</t>
  </si>
  <si>
    <t xml:space="preserve">$5-15 more per product vs polyester blanks.</t>
  </si>
  <si>
    <t xml:space="preserve">Cheapest option, $3-8 for basic tees.</t>
  </si>
  <si>
    <t xml:space="preserve">POLYESTER</t>
  </si>
  <si>
    <t xml:space="preserve">Cotton commands 20-40% higher Etsy prices. Buyers EXPECT to pay more.</t>
  </si>
  <si>
    <t xml:space="preserve">Shrinkage</t>
  </si>
  <si>
    <t xml:space="preserve">Can shrink 3-5% if not pre-shrunk. Size chart critical.</t>
  </si>
  <si>
    <t xml:space="preserve">Minimal shrinkage. More predictable sizing.</t>
  </si>
  <si>
    <t xml:space="preserve">Mitigate with clear size chart + 'pre-shrunk' in description.</t>
  </si>
  <si>
    <t xml:space="preserve">Durability</t>
  </si>
  <si>
    <t xml:space="preserve">Holds up well but can fade faster with AOP.</t>
  </si>
  <si>
    <t xml:space="preserve">AOP sublimation is permanent, won't fade.</t>
  </si>
  <si>
    <t xml:space="preserve">Cotton AOP may fade faster — position as 'vintage-wash aesthetic'.</t>
  </si>
  <si>
    <t xml:space="preserve">Weight &amp; GSM</t>
  </si>
  <si>
    <t xml:space="preserve">190-310 GSM options. Heavyweight feel.</t>
  </si>
  <si>
    <t xml:space="preserve">86/14 blend at ~220 GSM typical.</t>
  </si>
  <si>
    <t xml:space="preserve">Heavyweight cotton = premium unboxing experience. Justify higher price.</t>
  </si>
  <si>
    <t xml:space="preserve">Size Range</t>
  </si>
  <si>
    <t xml:space="preserve">S-9XL on some styles. Plus-size friendly.</t>
  </si>
  <si>
    <t xml:space="preserve">Usually S-5XL max.</t>
  </si>
  <si>
    <t xml:space="preserve">Plus-size market is underserved on Etsy. S-9XL = massive opportunity.</t>
  </si>
  <si>
    <t xml:space="preserve">Production Time</t>
  </si>
  <si>
    <t xml:space="preserve">5-10 days (Yoycol). 2 days for USA-printed DTF.</t>
  </si>
  <si>
    <t xml:space="preserve">3-5 days (MWW, US-based).</t>
  </si>
  <si>
    <t xml:space="preserve">USA DTF products at 2 days close the gap significantly.</t>
  </si>
  <si>
    <t xml:space="preserve">Etsy Search</t>
  </si>
  <si>
    <t xml:space="preserve">'cotton t-shirt' 12K/mo, 'comfort colors' 40K/mo</t>
  </si>
  <si>
    <t xml:space="preserve">'all over print hoodie' 8K/mo</t>
  </si>
  <si>
    <t xml:space="preserve">Cotton has BRANDED search demand (Comfort Colors). Poly relies on design search.</t>
  </si>
  <si>
    <t xml:space="preserve">Return Rate</t>
  </si>
  <si>
    <t xml:space="preserve">Lower — customers expect and love cotton feel.</t>
  </si>
  <si>
    <t xml:space="preserve">Higher — sublimation 'feels different' surprise.</t>
  </si>
  <si>
    <t xml:space="preserve">Fewer returns = better Etsy rank. Cotton meets buyer expectations.</t>
  </si>
  <si>
    <t xml:space="preserve">Brand Story</t>
  </si>
  <si>
    <t xml:space="preserve">'Premium 100% cotton, sustainably made, USA printed.'</t>
  </si>
  <si>
    <t xml:space="preserve">'All-over print, vibrant sublimation colors.'</t>
  </si>
  <si>
    <t xml:space="preserve">Cotton story is easier to tell. Etsy rewards narrative-driven brands.</t>
  </si>
  <si>
    <t xml:space="preserve">VERDICT: Cotton wins 8 of 12 factors. The 'premium 100% cotton' angle is a MASSIVE competitive advantage on Etsy. Most POD sellers default to cheap polyester — cotton lets you charge more AND get better reviews.</t>
  </si>
  <si>
    <t xml:space="preserve">CATEGORY BREAKDOWN — Cotton Products by Type</t>
  </si>
  <si>
    <t xml:space="preserve">Count</t>
  </si>
  <si>
    <t xml:space="preserve">Price
Range</t>
  </si>
  <si>
    <t xml:space="preserve">Avg
Cost</t>
  </si>
  <si>
    <t xml:space="preserve">Best
Margin Item</t>
  </si>
  <si>
    <t xml:space="preserve">Best
Margin %</t>
  </si>
  <si>
    <t xml:space="preserve">Avg Etsy
Price</t>
  </si>
  <si>
    <t xml:space="preserve">Avg
Profit</t>
  </si>
  <si>
    <t xml:space="preserve">Strategy</t>
  </si>
  <si>
    <t xml:space="preserve">Tops (AOP)</t>
  </si>
  <si>
    <t xml:space="preserve">$8.15-$20.69</t>
  </si>
  <si>
    <t xml:space="preserve">Cropped T-shirt ($8.15)</t>
  </si>
  <si>
    <t xml:space="preserve">37.6%</t>
  </si>
  <si>
    <t xml:space="preserve">Core money-maker. 9 styles from crop to bell sleeve. Mix with DTF tees for multi-tier listings.</t>
  </si>
  <si>
    <t xml:space="preserve">Tops (DTG/DTF)</t>
  </si>
  <si>
    <t xml:space="preserve">$5.29-$13.19</t>
  </si>
  <si>
    <t xml:space="preserve">USA Print DTF ($5.29)</t>
  </si>
  <si>
    <t xml:space="preserve">35.7%</t>
  </si>
  <si>
    <t xml:space="preserve">Comfort Colors branded demand. USA-printed = 2-day ship. Entry-tier pricing at $19.99-$29.99.</t>
  </si>
  <si>
    <t xml:space="preserve">$13.19-$31.79</t>
  </si>
  <si>
    <t xml:space="preserve">Cami Dress ($13.29)</t>
  </si>
  <si>
    <t xml:space="preserve">29.6%</t>
  </si>
  <si>
    <t xml:space="preserve">6 dress styles from cami to formal. S-7XL range. Cottagecore + boho + dark aesthetic niches.</t>
  </si>
  <si>
    <t xml:space="preserve">$15.69-$25.64</t>
  </si>
  <si>
    <t xml:space="preserve">Cropped Jacket ($15.69)</t>
  </si>
  <si>
    <t xml:space="preserve">32.9%</t>
  </si>
  <si>
    <t xml:space="preserve">RARE AOP cotton outerwear. Zero competition. Fall/winter seasonal push.</t>
  </si>
  <si>
    <t xml:space="preserve">$13.39-$23.49</t>
  </si>
  <si>
    <t xml:space="preserve">Pajama Top ($13.39)</t>
  </si>
  <si>
    <t xml:space="preserve">23.7%</t>
  </si>
  <si>
    <t xml:space="preserve">Pajama sets = gift market. Q4 holiday essential. Bundle top+bottoms for higher AOV.</t>
  </si>
  <si>
    <t xml:space="preserve">$17.41</t>
  </si>
  <si>
    <t xml:space="preserve">Mid-slit Skirt ($17.41)</t>
  </si>
  <si>
    <t xml:space="preserve">27.0%</t>
  </si>
  <si>
    <t xml:space="preserve">Only 1 bottom but it's a cottagecore mid-slit skirt. Pair with tops for outfit sets.</t>
  </si>
  <si>
    <t xml:space="preserve">$23.09</t>
  </si>
  <si>
    <t xml:space="preserve">Boat Neck Sweatshirt ($23.09)</t>
  </si>
  <si>
    <t xml:space="preserve">25.7%</t>
  </si>
  <si>
    <t xml:space="preserve">310GSM HEAVYWEIGHT. Boat neck differentiator. Unisex = double the market.</t>
  </si>
  <si>
    <t xml:space="preserve">$18.09</t>
  </si>
  <si>
    <t xml:space="preserve">Sports Vest ($18.09)</t>
  </si>
  <si>
    <t xml:space="preserve">16.5%</t>
  </si>
  <si>
    <t xml:space="preserve">Cotton activewear niche. Yoga/pilates crowd. Lower margin but loyal repeat buyers.</t>
  </si>
  <si>
    <t xml:space="preserve">COTTON LAUNCH STRATEGY — Phase Plan for LunarAuraDesignStore</t>
  </si>
  <si>
    <t xml:space="preserve">Cotton products alongside existing AOP polyester hoodies = multi-tier empire. Cotton = entry point, AOP hoodie = premium.</t>
  </si>
  <si>
    <t xml:space="preserve">Phase</t>
  </si>
  <si>
    <t xml:space="preserve">Products</t>
  </si>
  <si>
    <t xml:space="preserve">Why Now</t>
  </si>
  <si>
    <t xml:space="preserve">Investment</t>
  </si>
  <si>
    <t xml:space="preserve">Expected
Revenue/mo</t>
  </si>
  <si>
    <t xml:space="preserve">Profit/mo</t>
  </si>
  <si>
    <t xml:space="preserve">Timeline</t>
  </si>
  <si>
    <t xml:space="preserve">Phase 1
IMPULSE</t>
  </si>
  <si>
    <t xml:space="preserve">6 cotton tees:
• USA DTF Tee ($5.29)
• Comfort Colors Front DTF ($8.29)
• Comfort Colors Front DTG ($9.99)
• Cropped T-shirt AOP ($8.15)
• Round Neck T-Shirt AOP ($8.75)
• Racer Vest AOP ($8.92)</t>
  </si>
  <si>
    <t xml:space="preserve">Lowest cost, fastest production (2-5 days). Impulse buy price point $19.99-$29.99. Test designs before investing in dresses/outerwear.</t>
  </si>
  <si>
    <t xml:space="preserve">$1.20 listings
+ $0 samples</t>
  </si>
  <si>
    <t xml:space="preserve">$600-1,200</t>
  </si>
  <si>
    <t xml:space="preserve">$180-420</t>
  </si>
  <si>
    <t xml:space="preserve">Week 1-2</t>
  </si>
  <si>
    <t xml:space="preserve">Phase 2
DRESSES</t>
  </si>
  <si>
    <t xml:space="preserve">4 cotton dresses:
• Cami Dress ($13.29)
• Waist Tight Dress ($13.19)
• Cold Shoulder Dress ($13.29)
• V Neck Dress ($21.39)</t>
  </si>
  <si>
    <t xml:space="preserve">Dress market is HUGE (cottagecore + boho + dark aesthetic). $34.99-$49.99 price range. Reuse same design themes from Phase 1.</t>
  </si>
  <si>
    <t xml:space="preserve">$0.80 listings</t>
  </si>
  <si>
    <t xml:space="preserve">$800-1,500</t>
  </si>
  <si>
    <t xml:space="preserve">$240-520</t>
  </si>
  <si>
    <t xml:space="preserve">Week 3-4</t>
  </si>
  <si>
    <t xml:space="preserve">Phase 3
SETS &amp; SEASONAL</t>
  </si>
  <si>
    <t xml:space="preserve">3 products:
• Pajamas Set ($23.49)
• Cropped Jacket ($15.69)
• Bell Sleeve Top ($18.39)</t>
  </si>
  <si>
    <t xml:space="preserve">Pajama sets = Q4 gift market. Jacket = fall seasonal. Bell sleeve = year-round boho. Bundle pricing.</t>
  </si>
  <si>
    <t xml:space="preserve">$0.60 listings</t>
  </si>
  <si>
    <t xml:space="preserve">$500-1,000</t>
  </si>
  <si>
    <t xml:space="preserve">$150-350</t>
  </si>
  <si>
    <t xml:space="preserve">Month 2</t>
  </si>
  <si>
    <t xml:space="preserve">Phase 4
PREMIUM</t>
  </si>
  <si>
    <t xml:space="preserve">3 premium items:
• Leisure Blazer ($25.64)
• Bat Sleeves Blouse ($19.99)
• Sleeveless Dress w/ Pocket ($23.99)</t>
  </si>
  <si>
    <t xml:space="preserve">Higher cost but premium cotton positioning. AOP blazer has ZERO competition. Cottagecore pocket dress.</t>
  </si>
  <si>
    <t xml:space="preserve">$400-800</t>
  </si>
  <si>
    <t xml:space="preserve">$120-280</t>
  </si>
  <si>
    <t xml:space="preserve">Month 3</t>
  </si>
  <si>
    <t xml:space="preserve">Phase 5
MULTI-TIER</t>
  </si>
  <si>
    <t xml:space="preserve">Combine cotton tees + dresses + AOP hoodies into SINGLE LISTINGS.
Each listing = 3 product options (tee $24.99 / dress $39.99 / AOP hoodie $74.99).</t>
  </si>
  <si>
    <t xml:space="preserve">ISHIRTLAB model proven. Each listing gets 3x the price points. Cotton tee = impulse entry, AOP hoodie = premium upsell.</t>
  </si>
  <si>
    <t xml:space="preserve">$0 (existing)</t>
  </si>
  <si>
    <t xml:space="preserve">$2,000-4,000</t>
  </si>
  <si>
    <t xml:space="preserve">$600-1,400</t>
  </si>
  <si>
    <t xml:space="preserve">Month 4+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</si>
</sst>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B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0FF7F"/>
      <name val="Arial"/>
      <family val="0"/>
      <charset val="1"/>
    </font>
    <font>
      <sz val="10"/>
      <color rgb="FFFF6B6B"/>
      <name val="Arial"/>
      <family val="0"/>
      <charset val="1"/>
    </font>
    <font>
      <b val="true"/>
      <sz val="10"/>
      <color rgb="FFFFD7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0F3460"/>
        <bgColor rgb="FF16213E"/>
      </patternFill>
    </fill>
    <fill>
      <patternFill patternType="solid">
        <fgColor rgb="FFE94560"/>
        <bgColor rgb="FFFF6B6B"/>
      </patternFill>
    </fill>
    <fill>
      <patternFill patternType="solid">
        <fgColor rgb="FF1B5E2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7F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F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94560"/>
      <rgbColor rgb="FF666699"/>
      <rgbColor rgb="FFAAAAAA"/>
      <rgbColor rgb="FF0F3460"/>
      <rgbColor rgb="FF339966"/>
      <rgbColor rgb="FF16213E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Q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11" min="7" style="0" width="8"/>
    <col collapsed="false" customWidth="true" hidden="false" outlineLevel="0" max="12" min="12" style="0" width="10"/>
    <col collapsed="false" customWidth="true" hidden="false" outlineLevel="0" max="13" min="13" style="0" width="6"/>
    <col collapsed="false" customWidth="true" hidden="false" outlineLevel="0" max="15" min="14" style="0" width="18"/>
    <col collapsed="false" customWidth="true" hidden="false" outlineLevel="0" max="16" min="16" style="0" width="8"/>
    <col collapsed="false" customWidth="true" hidden="false" outlineLevel="0" max="17" min="17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4" t="n">
        <v>0.245</v>
      </c>
      <c r="C3" s="3" t="s">
        <v>3</v>
      </c>
      <c r="D3" s="5" t="n">
        <v>0.2</v>
      </c>
    </row>
    <row r="5" customFormat="false" ht="23.85" hidden="false" customHeight="fals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18</v>
      </c>
      <c r="P5" s="6" t="s">
        <v>19</v>
      </c>
      <c r="Q5" s="6" t="s">
        <v>20</v>
      </c>
    </row>
    <row r="6" customFormat="false" ht="15" hidden="false" customHeight="false" outlineLevel="0" collapsed="false">
      <c r="A6" s="7" t="n">
        <v>1</v>
      </c>
      <c r="B6" s="8" t="s">
        <v>21</v>
      </c>
      <c r="C6" s="7" t="s">
        <v>22</v>
      </c>
      <c r="D6" s="7" t="s">
        <v>23</v>
      </c>
      <c r="E6" s="9" t="n">
        <v>8.15</v>
      </c>
      <c r="F6" s="9" t="n">
        <v>6.5</v>
      </c>
      <c r="G6" s="10" t="n">
        <f aca="false">E6+F6</f>
        <v>14.65</v>
      </c>
      <c r="H6" s="9" t="n">
        <v>29.99</v>
      </c>
      <c r="I6" s="11" t="n">
        <f aca="false">H6*$B$3+$D$3</f>
        <v>7.54755</v>
      </c>
      <c r="J6" s="10" t="n">
        <f aca="false">H6-G6-I6</f>
        <v>7.79245</v>
      </c>
      <c r="K6" s="12" t="n">
        <f aca="false">IF(H6&gt;0,J6/H6,0)</f>
        <v>0.259834944981661</v>
      </c>
      <c r="L6" s="7" t="s">
        <v>24</v>
      </c>
      <c r="M6" s="7" t="n">
        <v>7</v>
      </c>
      <c r="N6" s="7" t="s">
        <v>25</v>
      </c>
      <c r="O6" s="7" t="s">
        <v>26</v>
      </c>
      <c r="P6" s="7" t="s">
        <v>27</v>
      </c>
      <c r="Q6" s="7" t="s">
        <v>28</v>
      </c>
    </row>
    <row r="7" customFormat="false" ht="23.85" hidden="false" customHeight="false" outlineLevel="0" collapsed="false">
      <c r="A7" s="13" t="n">
        <v>2</v>
      </c>
      <c r="B7" s="14" t="s">
        <v>29</v>
      </c>
      <c r="C7" s="13" t="s">
        <v>22</v>
      </c>
      <c r="D7" s="13" t="s">
        <v>23</v>
      </c>
      <c r="E7" s="15" t="n">
        <v>8.75</v>
      </c>
      <c r="F7" s="15" t="n">
        <v>6.5</v>
      </c>
      <c r="G7" s="16" t="n">
        <f aca="false">E7+F7</f>
        <v>15.25</v>
      </c>
      <c r="H7" s="15" t="n">
        <v>29.99</v>
      </c>
      <c r="I7" s="17" t="n">
        <f aca="false">H7*$B$3+$D$3</f>
        <v>7.54755</v>
      </c>
      <c r="J7" s="16" t="n">
        <f aca="false">H7-G7-I7</f>
        <v>7.19245</v>
      </c>
      <c r="K7" s="18" t="n">
        <f aca="false">IF(H7&gt;0,J7/H7,0)</f>
        <v>0.239828276092031</v>
      </c>
      <c r="L7" s="13" t="s">
        <v>30</v>
      </c>
      <c r="M7" s="13" t="n">
        <v>7</v>
      </c>
      <c r="N7" s="13" t="s">
        <v>25</v>
      </c>
      <c r="O7" s="13" t="s">
        <v>31</v>
      </c>
      <c r="P7" s="13" t="s">
        <v>27</v>
      </c>
      <c r="Q7" s="13" t="s">
        <v>32</v>
      </c>
    </row>
    <row r="8" customFormat="false" ht="15" hidden="false" customHeight="false" outlineLevel="0" collapsed="false">
      <c r="A8" s="7" t="n">
        <v>3</v>
      </c>
      <c r="B8" s="8" t="s">
        <v>33</v>
      </c>
      <c r="C8" s="7" t="s">
        <v>34</v>
      </c>
      <c r="D8" s="7" t="s">
        <v>23</v>
      </c>
      <c r="E8" s="9" t="n">
        <v>25.64</v>
      </c>
      <c r="F8" s="9" t="n">
        <v>8.5</v>
      </c>
      <c r="G8" s="10" t="n">
        <f aca="false">E8+F8</f>
        <v>34.14</v>
      </c>
      <c r="H8" s="9" t="n">
        <v>69.99</v>
      </c>
      <c r="I8" s="11" t="n">
        <f aca="false">H8*$B$3+$D$3</f>
        <v>17.34755</v>
      </c>
      <c r="J8" s="10" t="n">
        <f aca="false">H8-G8-I8</f>
        <v>18.50245</v>
      </c>
      <c r="K8" s="12" t="n">
        <f aca="false">IF(H8&gt;0,J8/H8,0)</f>
        <v>0.264358479782826</v>
      </c>
      <c r="L8" s="7" t="s">
        <v>35</v>
      </c>
      <c r="M8" s="7" t="n">
        <v>10</v>
      </c>
      <c r="N8" s="7" t="s">
        <v>36</v>
      </c>
      <c r="O8" s="7" t="s">
        <v>37</v>
      </c>
      <c r="P8" s="7" t="s">
        <v>27</v>
      </c>
      <c r="Q8" s="7" t="s">
        <v>38</v>
      </c>
    </row>
    <row r="9" customFormat="false" ht="23.85" hidden="false" customHeight="false" outlineLevel="0" collapsed="false">
      <c r="A9" s="13" t="n">
        <v>4</v>
      </c>
      <c r="B9" s="14" t="s">
        <v>39</v>
      </c>
      <c r="C9" s="13" t="s">
        <v>40</v>
      </c>
      <c r="D9" s="13" t="s">
        <v>23</v>
      </c>
      <c r="E9" s="15" t="n">
        <v>23.99</v>
      </c>
      <c r="F9" s="15" t="n">
        <v>7.5</v>
      </c>
      <c r="G9" s="16" t="n">
        <f aca="false">E9+F9</f>
        <v>31.49</v>
      </c>
      <c r="H9" s="15" t="n">
        <v>54.99</v>
      </c>
      <c r="I9" s="17" t="n">
        <f aca="false">H9*$B$3+$D$3</f>
        <v>13.67255</v>
      </c>
      <c r="J9" s="16" t="n">
        <f aca="false">H9-G9-I9</f>
        <v>9.82745</v>
      </c>
      <c r="K9" s="18" t="n">
        <f aca="false">IF(H9&gt;0,J9/H9,0)</f>
        <v>0.178713402436807</v>
      </c>
      <c r="L9" s="13" t="s">
        <v>41</v>
      </c>
      <c r="M9" s="13" t="n">
        <v>10</v>
      </c>
      <c r="N9" s="13" t="s">
        <v>42</v>
      </c>
      <c r="O9" s="13" t="s">
        <v>43</v>
      </c>
      <c r="P9" s="13" t="s">
        <v>44</v>
      </c>
      <c r="Q9" s="13" t="s">
        <v>45</v>
      </c>
    </row>
    <row r="10" customFormat="false" ht="23.85" hidden="false" customHeight="false" outlineLevel="0" collapsed="false">
      <c r="A10" s="7" t="n">
        <v>5</v>
      </c>
      <c r="B10" s="8" t="s">
        <v>46</v>
      </c>
      <c r="C10" s="7" t="s">
        <v>22</v>
      </c>
      <c r="D10" s="7" t="s">
        <v>23</v>
      </c>
      <c r="E10" s="9" t="n">
        <v>14.69</v>
      </c>
      <c r="F10" s="9" t="n">
        <v>6.5</v>
      </c>
      <c r="G10" s="10" t="n">
        <f aca="false">E10+F10</f>
        <v>21.19</v>
      </c>
      <c r="H10" s="9" t="n">
        <v>34.99</v>
      </c>
      <c r="I10" s="11" t="n">
        <f aca="false">H10*$B$3+$D$3</f>
        <v>8.77255</v>
      </c>
      <c r="J10" s="10" t="n">
        <f aca="false">H10-G10-I10</f>
        <v>5.02745000000001</v>
      </c>
      <c r="K10" s="12" t="n">
        <f aca="false">IF(H10&gt;0,J10/H10,0)</f>
        <v>0.143682480708774</v>
      </c>
      <c r="L10" s="7" t="s">
        <v>47</v>
      </c>
      <c r="M10" s="7" t="n">
        <v>7</v>
      </c>
      <c r="N10" s="7" t="s">
        <v>25</v>
      </c>
      <c r="O10" s="7" t="s">
        <v>48</v>
      </c>
      <c r="P10" s="7" t="s">
        <v>27</v>
      </c>
      <c r="Q10" s="7" t="s">
        <v>49</v>
      </c>
    </row>
    <row r="11" customFormat="false" ht="15" hidden="false" customHeight="false" outlineLevel="0" collapsed="false">
      <c r="A11" s="13" t="n">
        <v>6</v>
      </c>
      <c r="B11" s="14" t="s">
        <v>50</v>
      </c>
      <c r="C11" s="13" t="s">
        <v>34</v>
      </c>
      <c r="D11" s="13" t="s">
        <v>23</v>
      </c>
      <c r="E11" s="15" t="n">
        <v>15.69</v>
      </c>
      <c r="F11" s="15" t="n">
        <v>7.5</v>
      </c>
      <c r="G11" s="16" t="n">
        <f aca="false">E11+F11</f>
        <v>23.19</v>
      </c>
      <c r="H11" s="15" t="n">
        <v>49.99</v>
      </c>
      <c r="I11" s="17" t="n">
        <f aca="false">H11*$B$3+$D$3</f>
        <v>12.44755</v>
      </c>
      <c r="J11" s="16" t="n">
        <f aca="false">H11-G11-I11</f>
        <v>14.35245</v>
      </c>
      <c r="K11" s="18" t="n">
        <f aca="false">IF(H11&gt;0,J11/H11,0)</f>
        <v>0.287106421284257</v>
      </c>
      <c r="L11" s="13" t="s">
        <v>51</v>
      </c>
      <c r="M11" s="13" t="n">
        <v>7</v>
      </c>
      <c r="N11" s="13" t="s">
        <v>36</v>
      </c>
      <c r="O11" s="13" t="s">
        <v>52</v>
      </c>
      <c r="P11" s="13" t="s">
        <v>27</v>
      </c>
      <c r="Q11" s="13" t="s">
        <v>53</v>
      </c>
    </row>
    <row r="12" customFormat="false" ht="23.85" hidden="false" customHeight="false" outlineLevel="0" collapsed="false">
      <c r="A12" s="7" t="n">
        <v>7</v>
      </c>
      <c r="B12" s="8" t="s">
        <v>54</v>
      </c>
      <c r="C12" s="7" t="s">
        <v>22</v>
      </c>
      <c r="D12" s="7" t="s">
        <v>55</v>
      </c>
      <c r="E12" s="9" t="n">
        <v>8.29</v>
      </c>
      <c r="F12" s="9" t="n">
        <v>6.5</v>
      </c>
      <c r="G12" s="10" t="n">
        <f aca="false">E12+F12</f>
        <v>14.79</v>
      </c>
      <c r="H12" s="9" t="n">
        <v>24.99</v>
      </c>
      <c r="I12" s="11" t="n">
        <f aca="false">H12*$B$3+$D$3</f>
        <v>6.32255</v>
      </c>
      <c r="J12" s="10" t="n">
        <f aca="false">H12-G12-I12</f>
        <v>3.87745</v>
      </c>
      <c r="K12" s="12" t="n">
        <f aca="false">IF(H12&gt;0,J12/H12,0)</f>
        <v>0.15516006402561</v>
      </c>
      <c r="L12" s="7" t="s">
        <v>56</v>
      </c>
      <c r="M12" s="7" t="n">
        <v>5</v>
      </c>
      <c r="N12" s="7" t="s">
        <v>57</v>
      </c>
      <c r="O12" s="7" t="s">
        <v>58</v>
      </c>
      <c r="P12" s="7" t="s">
        <v>27</v>
      </c>
      <c r="Q12" s="7" t="s">
        <v>59</v>
      </c>
    </row>
    <row r="13" customFormat="false" ht="23.85" hidden="false" customHeight="false" outlineLevel="0" collapsed="false">
      <c r="A13" s="13" t="n">
        <v>8</v>
      </c>
      <c r="B13" s="14" t="s">
        <v>60</v>
      </c>
      <c r="C13" s="13" t="s">
        <v>61</v>
      </c>
      <c r="D13" s="13" t="s">
        <v>23</v>
      </c>
      <c r="E13" s="15" t="n">
        <v>23.49</v>
      </c>
      <c r="F13" s="15" t="n">
        <v>7.5</v>
      </c>
      <c r="G13" s="16" t="n">
        <f aca="false">E13+F13</f>
        <v>30.99</v>
      </c>
      <c r="H13" s="15" t="n">
        <v>49.99</v>
      </c>
      <c r="I13" s="17" t="n">
        <f aca="false">H13*$B$3+$D$3</f>
        <v>12.44755</v>
      </c>
      <c r="J13" s="16" t="n">
        <f aca="false">H13-G13-I13</f>
        <v>6.55245</v>
      </c>
      <c r="K13" s="18" t="n">
        <f aca="false">IF(H13&gt;0,J13/H13,0)</f>
        <v>0.131075215043009</v>
      </c>
      <c r="L13" s="13" t="s">
        <v>51</v>
      </c>
      <c r="M13" s="13" t="n">
        <v>7</v>
      </c>
      <c r="N13" s="13" t="s">
        <v>25</v>
      </c>
      <c r="O13" s="13" t="s">
        <v>62</v>
      </c>
      <c r="P13" s="13" t="s">
        <v>44</v>
      </c>
      <c r="Q13" s="13" t="s">
        <v>63</v>
      </c>
    </row>
    <row r="14" customFormat="false" ht="23.85" hidden="false" customHeight="false" outlineLevel="0" collapsed="false">
      <c r="A14" s="7" t="n">
        <v>9</v>
      </c>
      <c r="B14" s="8" t="s">
        <v>64</v>
      </c>
      <c r="C14" s="7" t="s">
        <v>65</v>
      </c>
      <c r="D14" s="7" t="s">
        <v>23</v>
      </c>
      <c r="E14" s="9" t="n">
        <v>23.09</v>
      </c>
      <c r="F14" s="9" t="n">
        <v>8</v>
      </c>
      <c r="G14" s="10" t="n">
        <f aca="false">E14+F14</f>
        <v>31.09</v>
      </c>
      <c r="H14" s="9" t="n">
        <v>54.99</v>
      </c>
      <c r="I14" s="11" t="n">
        <f aca="false">H14*$B$3+$D$3</f>
        <v>13.67255</v>
      </c>
      <c r="J14" s="10" t="n">
        <f aca="false">H14-G14-I14</f>
        <v>10.22745</v>
      </c>
      <c r="K14" s="12" t="n">
        <f aca="false">IF(H14&gt;0,J14/H14,0)</f>
        <v>0.185987452264048</v>
      </c>
      <c r="L14" s="7" t="s">
        <v>41</v>
      </c>
      <c r="M14" s="7" t="n">
        <v>10</v>
      </c>
      <c r="N14" s="7" t="s">
        <v>66</v>
      </c>
      <c r="O14" s="7" t="s">
        <v>67</v>
      </c>
      <c r="P14" s="7" t="s">
        <v>27</v>
      </c>
      <c r="Q14" s="7" t="s">
        <v>68</v>
      </c>
    </row>
    <row r="15" customFormat="false" ht="23.85" hidden="false" customHeight="false" outlineLevel="0" collapsed="false">
      <c r="A15" s="13" t="n">
        <v>10</v>
      </c>
      <c r="B15" s="14" t="s">
        <v>69</v>
      </c>
      <c r="C15" s="13" t="s">
        <v>70</v>
      </c>
      <c r="D15" s="13" t="s">
        <v>23</v>
      </c>
      <c r="E15" s="15" t="n">
        <v>17.41</v>
      </c>
      <c r="F15" s="15" t="n">
        <v>7</v>
      </c>
      <c r="G15" s="16" t="n">
        <f aca="false">E15+F15</f>
        <v>24.41</v>
      </c>
      <c r="H15" s="15" t="n">
        <v>39.99</v>
      </c>
      <c r="I15" s="17" t="n">
        <f aca="false">H15*$B$3+$D$3</f>
        <v>9.99755</v>
      </c>
      <c r="J15" s="16" t="n">
        <f aca="false">H15-G15-I15</f>
        <v>5.58245</v>
      </c>
      <c r="K15" s="18" t="n">
        <f aca="false">IF(H15&gt;0,J15/H15,0)</f>
        <v>0.139596149037259</v>
      </c>
      <c r="L15" s="13" t="s">
        <v>41</v>
      </c>
      <c r="M15" s="13" t="n">
        <v>10</v>
      </c>
      <c r="N15" s="13" t="s">
        <v>36</v>
      </c>
      <c r="O15" s="13" t="s">
        <v>71</v>
      </c>
      <c r="P15" s="13" t="s">
        <v>44</v>
      </c>
      <c r="Q15" s="13" t="s">
        <v>72</v>
      </c>
    </row>
    <row r="16" customFormat="false" ht="23.85" hidden="false" customHeight="false" outlineLevel="0" collapsed="false">
      <c r="A16" s="7" t="n">
        <v>11</v>
      </c>
      <c r="B16" s="8" t="s">
        <v>73</v>
      </c>
      <c r="C16" s="7" t="s">
        <v>22</v>
      </c>
      <c r="D16" s="7" t="s">
        <v>23</v>
      </c>
      <c r="E16" s="9" t="n">
        <v>20.69</v>
      </c>
      <c r="F16" s="9" t="n">
        <v>7</v>
      </c>
      <c r="G16" s="10" t="n">
        <f aca="false">E16+F16</f>
        <v>27.69</v>
      </c>
      <c r="H16" s="9" t="n">
        <v>44.99</v>
      </c>
      <c r="I16" s="11" t="n">
        <f aca="false">H16*$B$3+$D$3</f>
        <v>11.22255</v>
      </c>
      <c r="J16" s="10" t="n">
        <f aca="false">H16-G16-I16</f>
        <v>6.07745</v>
      </c>
      <c r="K16" s="12" t="n">
        <f aca="false">IF(H16&gt;0,J16/H16,0)</f>
        <v>0.135084463214048</v>
      </c>
      <c r="L16" s="7" t="s">
        <v>35</v>
      </c>
      <c r="M16" s="7" t="n">
        <v>7</v>
      </c>
      <c r="N16" s="7" t="s">
        <v>74</v>
      </c>
      <c r="O16" s="7" t="s">
        <v>75</v>
      </c>
      <c r="P16" s="7" t="s">
        <v>27</v>
      </c>
      <c r="Q16" s="7" t="s">
        <v>76</v>
      </c>
    </row>
    <row r="17" customFormat="false" ht="23.85" hidden="false" customHeight="false" outlineLevel="0" collapsed="false">
      <c r="A17" s="13" t="n">
        <v>12</v>
      </c>
      <c r="B17" s="14" t="s">
        <v>77</v>
      </c>
      <c r="C17" s="13" t="s">
        <v>22</v>
      </c>
      <c r="D17" s="13" t="s">
        <v>23</v>
      </c>
      <c r="E17" s="15" t="n">
        <v>19.89</v>
      </c>
      <c r="F17" s="15" t="n">
        <v>7</v>
      </c>
      <c r="G17" s="16" t="n">
        <f aca="false">E17+F17</f>
        <v>26.89</v>
      </c>
      <c r="H17" s="15" t="n">
        <v>44.99</v>
      </c>
      <c r="I17" s="17" t="n">
        <f aca="false">H17*$B$3+$D$3</f>
        <v>11.22255</v>
      </c>
      <c r="J17" s="16" t="n">
        <f aca="false">H17-G17-I17</f>
        <v>6.87745</v>
      </c>
      <c r="K17" s="18" t="n">
        <f aca="false">IF(H17&gt;0,J17/H17,0)</f>
        <v>0.152866192487219</v>
      </c>
      <c r="L17" s="13" t="s">
        <v>35</v>
      </c>
      <c r="M17" s="13" t="n">
        <v>7</v>
      </c>
      <c r="N17" s="13" t="s">
        <v>74</v>
      </c>
      <c r="O17" s="13" t="s">
        <v>78</v>
      </c>
      <c r="P17" s="13" t="s">
        <v>27</v>
      </c>
      <c r="Q17" s="13" t="s">
        <v>79</v>
      </c>
    </row>
    <row r="18" customFormat="false" ht="23.85" hidden="false" customHeight="false" outlineLevel="0" collapsed="false">
      <c r="A18" s="7" t="n">
        <v>13</v>
      </c>
      <c r="B18" s="8" t="s">
        <v>80</v>
      </c>
      <c r="C18" s="7" t="s">
        <v>40</v>
      </c>
      <c r="D18" s="7" t="s">
        <v>23</v>
      </c>
      <c r="E18" s="9" t="n">
        <v>13.29</v>
      </c>
      <c r="F18" s="9" t="n">
        <v>7</v>
      </c>
      <c r="G18" s="10" t="n">
        <f aca="false">E18+F18</f>
        <v>20.29</v>
      </c>
      <c r="H18" s="9" t="n">
        <v>39.99</v>
      </c>
      <c r="I18" s="11" t="n">
        <f aca="false">H18*$B$3+$D$3</f>
        <v>9.99755</v>
      </c>
      <c r="J18" s="10" t="n">
        <f aca="false">H18-G18-I18</f>
        <v>9.70245</v>
      </c>
      <c r="K18" s="12" t="n">
        <f aca="false">IF(H18&gt;0,J18/H18,0)</f>
        <v>0.242621905476369</v>
      </c>
      <c r="L18" s="7" t="s">
        <v>35</v>
      </c>
      <c r="M18" s="7" t="n">
        <v>7</v>
      </c>
      <c r="N18" s="7" t="s">
        <v>25</v>
      </c>
      <c r="O18" s="7" t="s">
        <v>81</v>
      </c>
      <c r="P18" s="7" t="s">
        <v>27</v>
      </c>
      <c r="Q18" s="7" t="s">
        <v>82</v>
      </c>
    </row>
    <row r="19" customFormat="false" ht="23.85" hidden="false" customHeight="false" outlineLevel="0" collapsed="false">
      <c r="A19" s="13" t="n">
        <v>14</v>
      </c>
      <c r="B19" s="14" t="s">
        <v>83</v>
      </c>
      <c r="C19" s="13" t="s">
        <v>84</v>
      </c>
      <c r="D19" s="13" t="s">
        <v>23</v>
      </c>
      <c r="E19" s="15" t="n">
        <v>18.09</v>
      </c>
      <c r="F19" s="15" t="n">
        <v>6.5</v>
      </c>
      <c r="G19" s="16" t="n">
        <f aca="false">E19+F19</f>
        <v>24.59</v>
      </c>
      <c r="H19" s="15" t="n">
        <v>34.99</v>
      </c>
      <c r="I19" s="17" t="n">
        <f aca="false">H19*$B$3+$D$3</f>
        <v>8.77255</v>
      </c>
      <c r="J19" s="16" t="n">
        <f aca="false">H19-G19-I19</f>
        <v>1.62745</v>
      </c>
      <c r="K19" s="18" t="n">
        <f aca="false">IF(H19&gt;0,J19/H19,0)</f>
        <v>0.0465118605315805</v>
      </c>
      <c r="L19" s="13" t="s">
        <v>41</v>
      </c>
      <c r="M19" s="13" t="n">
        <v>7</v>
      </c>
      <c r="N19" s="13" t="s">
        <v>85</v>
      </c>
      <c r="O19" s="13" t="s">
        <v>86</v>
      </c>
      <c r="P19" s="13" t="s">
        <v>87</v>
      </c>
      <c r="Q19" s="13" t="s">
        <v>88</v>
      </c>
    </row>
    <row r="20" customFormat="false" ht="23.85" hidden="false" customHeight="false" outlineLevel="0" collapsed="false">
      <c r="A20" s="7" t="n">
        <v>15</v>
      </c>
      <c r="B20" s="8" t="s">
        <v>89</v>
      </c>
      <c r="C20" s="7" t="s">
        <v>22</v>
      </c>
      <c r="D20" s="7" t="s">
        <v>90</v>
      </c>
      <c r="E20" s="9" t="n">
        <v>9.99</v>
      </c>
      <c r="F20" s="9" t="n">
        <v>6.5</v>
      </c>
      <c r="G20" s="10" t="n">
        <f aca="false">E20+F20</f>
        <v>16.49</v>
      </c>
      <c r="H20" s="9" t="n">
        <v>24.99</v>
      </c>
      <c r="I20" s="11" t="n">
        <f aca="false">H20*$B$3+$D$3</f>
        <v>6.32255</v>
      </c>
      <c r="J20" s="10" t="n">
        <f aca="false">H20-G20-I20</f>
        <v>2.17745</v>
      </c>
      <c r="K20" s="12" t="n">
        <f aca="false">IF(H20&gt;0,J20/H20,0)</f>
        <v>0.0871328531412564</v>
      </c>
      <c r="L20" s="7" t="s">
        <v>56</v>
      </c>
      <c r="M20" s="7" t="n">
        <v>5</v>
      </c>
      <c r="N20" s="7" t="s">
        <v>57</v>
      </c>
      <c r="O20" s="7" t="s">
        <v>91</v>
      </c>
      <c r="P20" s="7" t="s">
        <v>27</v>
      </c>
      <c r="Q20" s="7" t="s">
        <v>92</v>
      </c>
    </row>
    <row r="21" customFormat="false" ht="23.85" hidden="false" customHeight="false" outlineLevel="0" collapsed="false">
      <c r="A21" s="13" t="n">
        <v>16</v>
      </c>
      <c r="B21" s="14" t="s">
        <v>93</v>
      </c>
      <c r="C21" s="13" t="s">
        <v>22</v>
      </c>
      <c r="D21" s="13" t="s">
        <v>23</v>
      </c>
      <c r="E21" s="15" t="n">
        <v>8.92</v>
      </c>
      <c r="F21" s="15" t="n">
        <v>6.5</v>
      </c>
      <c r="G21" s="16" t="n">
        <f aca="false">E21+F21</f>
        <v>15.42</v>
      </c>
      <c r="H21" s="15" t="n">
        <v>24.99</v>
      </c>
      <c r="I21" s="17" t="n">
        <f aca="false">H21*$B$3+$D$3</f>
        <v>6.32255</v>
      </c>
      <c r="J21" s="16" t="n">
        <f aca="false">H21-G21-I21</f>
        <v>3.24745</v>
      </c>
      <c r="K21" s="18" t="n">
        <f aca="false">IF(H21&gt;0,J21/H21,0)</f>
        <v>0.129949979991997</v>
      </c>
      <c r="L21" s="13" t="s">
        <v>56</v>
      </c>
      <c r="M21" s="13" t="n">
        <v>7</v>
      </c>
      <c r="N21" s="13" t="s">
        <v>25</v>
      </c>
      <c r="O21" s="13" t="s">
        <v>94</v>
      </c>
      <c r="P21" s="13" t="s">
        <v>27</v>
      </c>
      <c r="Q21" s="13" t="s">
        <v>95</v>
      </c>
    </row>
    <row r="22" customFormat="false" ht="23.85" hidden="false" customHeight="false" outlineLevel="0" collapsed="false">
      <c r="A22" s="7" t="n">
        <v>17</v>
      </c>
      <c r="B22" s="8" t="s">
        <v>96</v>
      </c>
      <c r="C22" s="7" t="s">
        <v>40</v>
      </c>
      <c r="D22" s="7" t="s">
        <v>23</v>
      </c>
      <c r="E22" s="9" t="n">
        <v>13.19</v>
      </c>
      <c r="F22" s="9" t="n">
        <v>7</v>
      </c>
      <c r="G22" s="10" t="n">
        <f aca="false">E22+F22</f>
        <v>20.19</v>
      </c>
      <c r="H22" s="9" t="n">
        <v>39.99</v>
      </c>
      <c r="I22" s="11" t="n">
        <f aca="false">H22*$B$3+$D$3</f>
        <v>9.99755</v>
      </c>
      <c r="J22" s="10" t="n">
        <f aca="false">H22-G22-I22</f>
        <v>9.80245</v>
      </c>
      <c r="K22" s="12" t="n">
        <f aca="false">IF(H22&gt;0,J22/H22,0)</f>
        <v>0.245122530632658</v>
      </c>
      <c r="L22" s="7" t="s">
        <v>24</v>
      </c>
      <c r="M22" s="7" t="n">
        <v>7</v>
      </c>
      <c r="N22" s="7" t="s">
        <v>25</v>
      </c>
      <c r="O22" s="7" t="s">
        <v>97</v>
      </c>
      <c r="P22" s="7" t="s">
        <v>27</v>
      </c>
      <c r="Q22" s="7" t="s">
        <v>98</v>
      </c>
    </row>
    <row r="23" customFormat="false" ht="23.85" hidden="false" customHeight="false" outlineLevel="0" collapsed="false">
      <c r="A23" s="13" t="n">
        <v>18</v>
      </c>
      <c r="B23" s="14" t="s">
        <v>99</v>
      </c>
      <c r="C23" s="13" t="s">
        <v>22</v>
      </c>
      <c r="D23" s="13" t="s">
        <v>90</v>
      </c>
      <c r="E23" s="15" t="n">
        <v>13.19</v>
      </c>
      <c r="F23" s="15" t="n">
        <v>6.5</v>
      </c>
      <c r="G23" s="16" t="n">
        <f aca="false">E23+F23</f>
        <v>19.69</v>
      </c>
      <c r="H23" s="15" t="n">
        <v>29.99</v>
      </c>
      <c r="I23" s="17" t="n">
        <f aca="false">H23*$B$3+$D$3</f>
        <v>7.54755</v>
      </c>
      <c r="J23" s="16" t="n">
        <f aca="false">H23-G23-I23</f>
        <v>2.75245</v>
      </c>
      <c r="K23" s="18" t="n">
        <f aca="false">IF(H23&gt;0,J23/H23,0)</f>
        <v>0.0917789263087697</v>
      </c>
      <c r="L23" s="13" t="s">
        <v>56</v>
      </c>
      <c r="M23" s="13" t="n">
        <v>5</v>
      </c>
      <c r="N23" s="13" t="s">
        <v>57</v>
      </c>
      <c r="O23" s="13" t="s">
        <v>100</v>
      </c>
      <c r="P23" s="13" t="s">
        <v>27</v>
      </c>
      <c r="Q23" s="13" t="s">
        <v>101</v>
      </c>
    </row>
    <row r="24" customFormat="false" ht="23.85" hidden="false" customHeight="false" outlineLevel="0" collapsed="false">
      <c r="A24" s="7" t="n">
        <v>19</v>
      </c>
      <c r="B24" s="8" t="s">
        <v>102</v>
      </c>
      <c r="C24" s="7" t="s">
        <v>40</v>
      </c>
      <c r="D24" s="7" t="s">
        <v>23</v>
      </c>
      <c r="E24" s="9" t="n">
        <v>31.79</v>
      </c>
      <c r="F24" s="9" t="n">
        <v>8</v>
      </c>
      <c r="G24" s="10" t="n">
        <f aca="false">E24+F24</f>
        <v>39.79</v>
      </c>
      <c r="H24" s="9" t="n">
        <v>64.99</v>
      </c>
      <c r="I24" s="11" t="n">
        <f aca="false">H24*$B$3+$D$3</f>
        <v>16.12255</v>
      </c>
      <c r="J24" s="10" t="n">
        <f aca="false">H24-G24-I24</f>
        <v>9.07745</v>
      </c>
      <c r="K24" s="12" t="n">
        <f aca="false">IF(H24&gt;0,J24/H24,0)</f>
        <v>0.139674565317741</v>
      </c>
      <c r="L24" s="7" t="s">
        <v>103</v>
      </c>
      <c r="M24" s="7" t="n">
        <v>10</v>
      </c>
      <c r="N24" s="7" t="s">
        <v>25</v>
      </c>
      <c r="O24" s="7" t="s">
        <v>104</v>
      </c>
      <c r="P24" s="7" t="s">
        <v>27</v>
      </c>
      <c r="Q24" s="7" t="s">
        <v>105</v>
      </c>
    </row>
    <row r="25" customFormat="false" ht="23.85" hidden="false" customHeight="false" outlineLevel="0" collapsed="false">
      <c r="A25" s="13" t="n">
        <v>20</v>
      </c>
      <c r="B25" s="14" t="s">
        <v>106</v>
      </c>
      <c r="C25" s="13" t="s">
        <v>22</v>
      </c>
      <c r="D25" s="13" t="s">
        <v>23</v>
      </c>
      <c r="E25" s="15" t="n">
        <v>18.39</v>
      </c>
      <c r="F25" s="15" t="n">
        <v>7</v>
      </c>
      <c r="G25" s="16" t="n">
        <f aca="false">E25+F25</f>
        <v>25.39</v>
      </c>
      <c r="H25" s="15" t="n">
        <v>39.99</v>
      </c>
      <c r="I25" s="17" t="n">
        <f aca="false">H25*$B$3+$D$3</f>
        <v>9.99755</v>
      </c>
      <c r="J25" s="16" t="n">
        <f aca="false">H25-G25-I25</f>
        <v>4.60245</v>
      </c>
      <c r="K25" s="18" t="n">
        <f aca="false">IF(H25&gt;0,J25/H25,0)</f>
        <v>0.115090022505626</v>
      </c>
      <c r="L25" s="13" t="s">
        <v>41</v>
      </c>
      <c r="M25" s="13" t="n">
        <v>7</v>
      </c>
      <c r="N25" s="13" t="s">
        <v>25</v>
      </c>
      <c r="O25" s="13" t="s">
        <v>107</v>
      </c>
      <c r="P25" s="13" t="s">
        <v>44</v>
      </c>
      <c r="Q25" s="13" t="s">
        <v>108</v>
      </c>
    </row>
    <row r="26" customFormat="false" ht="23.85" hidden="false" customHeight="false" outlineLevel="0" collapsed="false">
      <c r="A26" s="7" t="n">
        <v>21</v>
      </c>
      <c r="B26" s="8" t="s">
        <v>109</v>
      </c>
      <c r="C26" s="7" t="s">
        <v>40</v>
      </c>
      <c r="D26" s="7" t="s">
        <v>23</v>
      </c>
      <c r="E26" s="9" t="n">
        <v>21.39</v>
      </c>
      <c r="F26" s="9" t="n">
        <v>7.5</v>
      </c>
      <c r="G26" s="10" t="n">
        <f aca="false">E26+F26</f>
        <v>28.89</v>
      </c>
      <c r="H26" s="9" t="n">
        <v>49.99</v>
      </c>
      <c r="I26" s="11" t="n">
        <f aca="false">H26*$B$3+$D$3</f>
        <v>12.44755</v>
      </c>
      <c r="J26" s="10" t="n">
        <f aca="false">H26-G26-I26</f>
        <v>8.65245</v>
      </c>
      <c r="K26" s="12" t="n">
        <f aca="false">IF(H26&gt;0,J26/H26,0)</f>
        <v>0.173083616723345</v>
      </c>
      <c r="L26" s="7" t="s">
        <v>47</v>
      </c>
      <c r="M26" s="7" t="n">
        <v>10</v>
      </c>
      <c r="N26" s="7" t="s">
        <v>85</v>
      </c>
      <c r="O26" s="7" t="s">
        <v>110</v>
      </c>
      <c r="P26" s="7" t="s">
        <v>27</v>
      </c>
      <c r="Q26" s="7" t="s">
        <v>111</v>
      </c>
    </row>
    <row r="27" customFormat="false" ht="15" hidden="false" customHeight="false" outlineLevel="0" collapsed="false">
      <c r="A27" s="13" t="n">
        <v>22</v>
      </c>
      <c r="B27" s="14" t="s">
        <v>112</v>
      </c>
      <c r="C27" s="13" t="s">
        <v>40</v>
      </c>
      <c r="D27" s="13" t="s">
        <v>23</v>
      </c>
      <c r="E27" s="15" t="n">
        <v>30.77</v>
      </c>
      <c r="F27" s="15" t="n">
        <v>8</v>
      </c>
      <c r="G27" s="16" t="n">
        <f aca="false">E27+F27</f>
        <v>38.77</v>
      </c>
      <c r="H27" s="15" t="n">
        <v>59.99</v>
      </c>
      <c r="I27" s="17" t="n">
        <f aca="false">H27*$B$3+$D$3</f>
        <v>14.89755</v>
      </c>
      <c r="J27" s="16" t="n">
        <f aca="false">H27-G27-I27</f>
        <v>6.32245000000001</v>
      </c>
      <c r="K27" s="18" t="n">
        <f aca="false">IF(H27&gt;0,J27/H27,0)</f>
        <v>0.105391731955326</v>
      </c>
      <c r="L27" s="13" t="s">
        <v>41</v>
      </c>
      <c r="M27" s="13" t="n">
        <v>10</v>
      </c>
      <c r="N27" s="13" t="s">
        <v>85</v>
      </c>
      <c r="O27" s="13" t="s">
        <v>113</v>
      </c>
      <c r="P27" s="13" t="s">
        <v>27</v>
      </c>
      <c r="Q27" s="13" t="s">
        <v>114</v>
      </c>
    </row>
    <row r="28" customFormat="false" ht="23.85" hidden="false" customHeight="false" outlineLevel="0" collapsed="false">
      <c r="A28" s="7" t="n">
        <v>23</v>
      </c>
      <c r="B28" s="8" t="s">
        <v>115</v>
      </c>
      <c r="C28" s="7" t="s">
        <v>22</v>
      </c>
      <c r="D28" s="7" t="s">
        <v>23</v>
      </c>
      <c r="E28" s="9" t="n">
        <v>19.99</v>
      </c>
      <c r="F28" s="9" t="n">
        <v>7</v>
      </c>
      <c r="G28" s="10" t="n">
        <f aca="false">E28+F28</f>
        <v>26.99</v>
      </c>
      <c r="H28" s="9" t="n">
        <v>44.99</v>
      </c>
      <c r="I28" s="11" t="n">
        <f aca="false">H28*$B$3+$D$3</f>
        <v>11.22255</v>
      </c>
      <c r="J28" s="10" t="n">
        <f aca="false">H28-G28-I28</f>
        <v>6.77745</v>
      </c>
      <c r="K28" s="12" t="n">
        <f aca="false">IF(H28&gt;0,J28/H28,0)</f>
        <v>0.150643476328073</v>
      </c>
      <c r="L28" s="7" t="s">
        <v>24</v>
      </c>
      <c r="M28" s="7" t="n">
        <v>7</v>
      </c>
      <c r="N28" s="7" t="s">
        <v>25</v>
      </c>
      <c r="O28" s="7" t="s">
        <v>116</v>
      </c>
      <c r="P28" s="7" t="s">
        <v>44</v>
      </c>
      <c r="Q28" s="7" t="s">
        <v>117</v>
      </c>
    </row>
    <row r="29" customFormat="false" ht="15" hidden="false" customHeight="false" outlineLevel="0" collapsed="false">
      <c r="A29" s="13" t="n">
        <v>24</v>
      </c>
      <c r="B29" s="14" t="s">
        <v>118</v>
      </c>
      <c r="C29" s="13" t="s">
        <v>40</v>
      </c>
      <c r="D29" s="13" t="s">
        <v>23</v>
      </c>
      <c r="E29" s="15" t="n">
        <v>13.29</v>
      </c>
      <c r="F29" s="15" t="n">
        <v>7</v>
      </c>
      <c r="G29" s="16" t="n">
        <f aca="false">E29+F29</f>
        <v>20.29</v>
      </c>
      <c r="H29" s="15" t="n">
        <v>34.99</v>
      </c>
      <c r="I29" s="17" t="n">
        <f aca="false">H29*$B$3+$D$3</f>
        <v>8.77255</v>
      </c>
      <c r="J29" s="16" t="n">
        <f aca="false">H29-G29-I29</f>
        <v>5.92745</v>
      </c>
      <c r="K29" s="18" t="n">
        <f aca="false">IF(H29&gt;0,J29/H29,0)</f>
        <v>0.169404115461561</v>
      </c>
      <c r="L29" s="13" t="s">
        <v>41</v>
      </c>
      <c r="M29" s="13" t="n">
        <v>7</v>
      </c>
      <c r="N29" s="13" t="s">
        <v>25</v>
      </c>
      <c r="O29" s="13" t="s">
        <v>119</v>
      </c>
      <c r="P29" s="13" t="s">
        <v>27</v>
      </c>
      <c r="Q29" s="13" t="s">
        <v>120</v>
      </c>
    </row>
    <row r="30" customFormat="false" ht="15" hidden="false" customHeight="false" outlineLevel="0" collapsed="false">
      <c r="A30" s="7" t="n">
        <v>25</v>
      </c>
      <c r="B30" s="8" t="s">
        <v>121</v>
      </c>
      <c r="C30" s="7" t="s">
        <v>22</v>
      </c>
      <c r="D30" s="7" t="s">
        <v>55</v>
      </c>
      <c r="E30" s="9" t="n">
        <v>5.29</v>
      </c>
      <c r="F30" s="9" t="n">
        <v>5.5</v>
      </c>
      <c r="G30" s="10" t="n">
        <f aca="false">E30+F30</f>
        <v>10.79</v>
      </c>
      <c r="H30" s="9" t="n">
        <v>19.99</v>
      </c>
      <c r="I30" s="11" t="n">
        <f aca="false">H30*$B$3+$D$3</f>
        <v>5.09755</v>
      </c>
      <c r="J30" s="10" t="n">
        <f aca="false">H30-G30-I30</f>
        <v>4.10245</v>
      </c>
      <c r="K30" s="12" t="n">
        <f aca="false">IF(H30&gt;0,J30/H30,0)</f>
        <v>0.205225112556278</v>
      </c>
      <c r="L30" s="7" t="s">
        <v>56</v>
      </c>
      <c r="M30" s="7" t="n">
        <v>2</v>
      </c>
      <c r="N30" s="7" t="s">
        <v>122</v>
      </c>
      <c r="O30" s="7" t="s">
        <v>123</v>
      </c>
      <c r="P30" s="7" t="s">
        <v>27</v>
      </c>
      <c r="Q30" s="7" t="s">
        <v>124</v>
      </c>
    </row>
    <row r="31" customFormat="false" ht="15" hidden="false" customHeight="false" outlineLevel="0" collapsed="false">
      <c r="A31" s="13" t="n">
        <v>26</v>
      </c>
      <c r="B31" s="14" t="s">
        <v>125</v>
      </c>
      <c r="C31" s="13" t="s">
        <v>61</v>
      </c>
      <c r="D31" s="13" t="s">
        <v>23</v>
      </c>
      <c r="E31" s="15" t="n">
        <v>13.39</v>
      </c>
      <c r="F31" s="15" t="n">
        <v>6.5</v>
      </c>
      <c r="G31" s="16" t="n">
        <f aca="false">E31+F31</f>
        <v>19.89</v>
      </c>
      <c r="H31" s="15" t="n">
        <v>29.99</v>
      </c>
      <c r="I31" s="17" t="n">
        <f aca="false">H31*$B$3+$D$3</f>
        <v>7.54755</v>
      </c>
      <c r="J31" s="16" t="n">
        <f aca="false">H31-G31-I31</f>
        <v>2.55245</v>
      </c>
      <c r="K31" s="18" t="n">
        <f aca="false">IF(H31&gt;0,J31/H31,0)</f>
        <v>0.0851100366788929</v>
      </c>
      <c r="L31" s="13" t="s">
        <v>51</v>
      </c>
      <c r="M31" s="13" t="n">
        <v>10</v>
      </c>
      <c r="N31" s="13" t="s">
        <v>85</v>
      </c>
      <c r="O31" s="13" t="s">
        <v>126</v>
      </c>
      <c r="P31" s="13" t="s">
        <v>27</v>
      </c>
      <c r="Q31" s="13" t="s">
        <v>127</v>
      </c>
    </row>
    <row r="32" customFormat="false" ht="23.85" hidden="false" customHeight="false" outlineLevel="0" collapsed="false">
      <c r="A32" s="7" t="n">
        <v>27</v>
      </c>
      <c r="B32" s="8" t="s">
        <v>128</v>
      </c>
      <c r="C32" s="7" t="s">
        <v>22</v>
      </c>
      <c r="D32" s="7" t="s">
        <v>23</v>
      </c>
      <c r="E32" s="9" t="n">
        <v>10.49</v>
      </c>
      <c r="F32" s="9" t="n">
        <v>6.5</v>
      </c>
      <c r="G32" s="10" t="n">
        <f aca="false">E32+F32</f>
        <v>16.99</v>
      </c>
      <c r="H32" s="9" t="n">
        <v>34.99</v>
      </c>
      <c r="I32" s="11" t="n">
        <f aca="false">H32*$B$3+$D$3</f>
        <v>8.77255</v>
      </c>
      <c r="J32" s="10" t="n">
        <f aca="false">H32-G32-I32</f>
        <v>9.22745</v>
      </c>
      <c r="K32" s="12" t="n">
        <f aca="false">IF(H32&gt;0,J32/H32,0)</f>
        <v>0.263716776221778</v>
      </c>
      <c r="L32" s="7" t="s">
        <v>41</v>
      </c>
      <c r="M32" s="7" t="n">
        <v>5</v>
      </c>
      <c r="N32" s="7" t="s">
        <v>36</v>
      </c>
      <c r="O32" s="7" t="s">
        <v>129</v>
      </c>
      <c r="P32" s="7" t="s">
        <v>87</v>
      </c>
      <c r="Q32" s="7" t="s">
        <v>130</v>
      </c>
    </row>
    <row r="33" customFormat="false" ht="23.85" hidden="false" customHeight="false" outlineLevel="0" collapsed="false">
      <c r="A33" s="13" t="n">
        <v>28</v>
      </c>
      <c r="B33" s="14" t="s">
        <v>131</v>
      </c>
      <c r="C33" s="13" t="s">
        <v>61</v>
      </c>
      <c r="D33" s="13" t="s">
        <v>23</v>
      </c>
      <c r="E33" s="15" t="n">
        <v>13.39</v>
      </c>
      <c r="F33" s="15" t="n">
        <v>7</v>
      </c>
      <c r="G33" s="16" t="n">
        <f aca="false">E33+F33</f>
        <v>20.39</v>
      </c>
      <c r="H33" s="15" t="n">
        <v>29.99</v>
      </c>
      <c r="I33" s="17" t="n">
        <f aca="false">H33*$B$3+$D$3</f>
        <v>7.54755</v>
      </c>
      <c r="J33" s="16" t="n">
        <f aca="false">H33-G33-I33</f>
        <v>2.05245</v>
      </c>
      <c r="K33" s="18" t="n">
        <f aca="false">IF(H33&gt;0,J33/H33,0)</f>
        <v>0.0684378126042014</v>
      </c>
      <c r="L33" s="13" t="s">
        <v>51</v>
      </c>
      <c r="M33" s="13" t="n">
        <v>10</v>
      </c>
      <c r="N33" s="13" t="s">
        <v>85</v>
      </c>
      <c r="O33" s="13" t="s">
        <v>132</v>
      </c>
      <c r="P33" s="13" t="s">
        <v>27</v>
      </c>
      <c r="Q33" s="13" t="s">
        <v>133</v>
      </c>
    </row>
    <row r="34" customFormat="false" ht="23.85" hidden="false" customHeight="false" outlineLevel="0" collapsed="false">
      <c r="A34" s="7" t="n">
        <v>29</v>
      </c>
      <c r="B34" s="8" t="s">
        <v>134</v>
      </c>
      <c r="C34" s="7" t="s">
        <v>22</v>
      </c>
      <c r="D34" s="7" t="s">
        <v>55</v>
      </c>
      <c r="E34" s="9" t="n">
        <v>7.29</v>
      </c>
      <c r="F34" s="9" t="n">
        <v>5.5</v>
      </c>
      <c r="G34" s="10" t="n">
        <f aca="false">E34+F34</f>
        <v>12.79</v>
      </c>
      <c r="H34" s="9" t="n">
        <v>24.99</v>
      </c>
      <c r="I34" s="11" t="n">
        <f aca="false">H34*$B$3+$D$3</f>
        <v>6.32255</v>
      </c>
      <c r="J34" s="10" t="n">
        <f aca="false">H34-G34-I34</f>
        <v>5.87745</v>
      </c>
      <c r="K34" s="12" t="n">
        <f aca="false">IF(H34&gt;0,J34/H34,0)</f>
        <v>0.235192076830732</v>
      </c>
      <c r="L34" s="7" t="s">
        <v>135</v>
      </c>
      <c r="M34" s="7" t="n">
        <v>2</v>
      </c>
      <c r="N34" s="7" t="s">
        <v>136</v>
      </c>
      <c r="O34" s="7" t="s">
        <v>137</v>
      </c>
      <c r="P34" s="7" t="s">
        <v>44</v>
      </c>
      <c r="Q34" s="7" t="s">
        <v>138</v>
      </c>
    </row>
    <row r="35" customFormat="false" ht="15" hidden="false" customHeight="false" outlineLevel="0" collapsed="false">
      <c r="A35" s="13" t="n">
        <v>30</v>
      </c>
      <c r="B35" s="14" t="s">
        <v>139</v>
      </c>
      <c r="C35" s="13" t="s">
        <v>22</v>
      </c>
      <c r="D35" s="13" t="s">
        <v>90</v>
      </c>
      <c r="E35" s="15" t="n">
        <v>10.09</v>
      </c>
      <c r="F35" s="15" t="n">
        <v>6.5</v>
      </c>
      <c r="G35" s="16" t="n">
        <f aca="false">E35+F35</f>
        <v>16.59</v>
      </c>
      <c r="H35" s="15" t="n">
        <v>24.99</v>
      </c>
      <c r="I35" s="17" t="n">
        <f aca="false">H35*$B$3+$D$3</f>
        <v>6.32255</v>
      </c>
      <c r="J35" s="16" t="n">
        <f aca="false">H35-G35-I35</f>
        <v>2.07745</v>
      </c>
      <c r="K35" s="18" t="n">
        <f aca="false">IF(H35&gt;0,J35/H35,0)</f>
        <v>0.0831312525010004</v>
      </c>
      <c r="L35" s="13" t="s">
        <v>56</v>
      </c>
      <c r="M35" s="13" t="n">
        <v>5</v>
      </c>
      <c r="N35" s="13" t="s">
        <v>57</v>
      </c>
      <c r="O35" s="13" t="s">
        <v>140</v>
      </c>
      <c r="P35" s="13" t="s">
        <v>27</v>
      </c>
      <c r="Q35" s="13" t="s">
        <v>141</v>
      </c>
    </row>
    <row r="36" customFormat="false" ht="15" hidden="false" customHeight="false" outlineLevel="0" collapsed="false">
      <c r="A36" s="7" t="n">
        <v>31</v>
      </c>
      <c r="B36" s="8" t="s">
        <v>142</v>
      </c>
      <c r="C36" s="7" t="s">
        <v>22</v>
      </c>
      <c r="D36" s="7" t="s">
        <v>90</v>
      </c>
      <c r="E36" s="9" t="n">
        <v>10.09</v>
      </c>
      <c r="F36" s="9" t="n">
        <v>6.5</v>
      </c>
      <c r="G36" s="10" t="n">
        <f aca="false">E36+F36</f>
        <v>16.59</v>
      </c>
      <c r="H36" s="9" t="n">
        <v>24.99</v>
      </c>
      <c r="I36" s="11" t="n">
        <f aca="false">H36*$B$3+$D$3</f>
        <v>6.32255</v>
      </c>
      <c r="J36" s="10" t="n">
        <f aca="false">H36-G36-I36</f>
        <v>2.07745</v>
      </c>
      <c r="K36" s="12" t="n">
        <f aca="false">IF(H36&gt;0,J36/H36,0)</f>
        <v>0.0831312525010004</v>
      </c>
      <c r="L36" s="7" t="s">
        <v>56</v>
      </c>
      <c r="M36" s="7" t="n">
        <v>5</v>
      </c>
      <c r="N36" s="7" t="s">
        <v>57</v>
      </c>
      <c r="O36" s="7" t="s">
        <v>143</v>
      </c>
      <c r="P36" s="7" t="s">
        <v>27</v>
      </c>
      <c r="Q36" s="7" t="s">
        <v>144</v>
      </c>
    </row>
    <row r="37" customFormat="false" ht="23.85" hidden="false" customHeight="false" outlineLevel="0" collapsed="false">
      <c r="A37" s="13" t="n">
        <v>32</v>
      </c>
      <c r="B37" s="14" t="s">
        <v>145</v>
      </c>
      <c r="C37" s="13" t="s">
        <v>22</v>
      </c>
      <c r="D37" s="13" t="s">
        <v>55</v>
      </c>
      <c r="E37" s="15" t="n">
        <v>9.99</v>
      </c>
      <c r="F37" s="15" t="n">
        <v>6.5</v>
      </c>
      <c r="G37" s="16" t="n">
        <f aca="false">E37+F37</f>
        <v>16.49</v>
      </c>
      <c r="H37" s="15" t="n">
        <v>24.99</v>
      </c>
      <c r="I37" s="17" t="n">
        <f aca="false">H37*$B$3+$D$3</f>
        <v>6.32255</v>
      </c>
      <c r="J37" s="16" t="n">
        <f aca="false">H37-G37-I37</f>
        <v>2.17745</v>
      </c>
      <c r="K37" s="18" t="n">
        <f aca="false">IF(H37&gt;0,J37/H37,0)</f>
        <v>0.0871328531412564</v>
      </c>
      <c r="L37" s="13" t="s">
        <v>56</v>
      </c>
      <c r="M37" s="13" t="n">
        <v>5</v>
      </c>
      <c r="N37" s="13" t="s">
        <v>57</v>
      </c>
      <c r="O37" s="13" t="s">
        <v>146</v>
      </c>
      <c r="P37" s="13" t="s">
        <v>27</v>
      </c>
      <c r="Q37" s="13" t="s">
        <v>147</v>
      </c>
    </row>
    <row r="38" customFormat="false" ht="23.85" hidden="false" customHeight="false" outlineLevel="0" collapsed="false">
      <c r="A38" s="7" t="n">
        <v>33</v>
      </c>
      <c r="B38" s="8" t="s">
        <v>148</v>
      </c>
      <c r="C38" s="7" t="s">
        <v>22</v>
      </c>
      <c r="D38" s="7" t="s">
        <v>55</v>
      </c>
      <c r="E38" s="9" t="n">
        <v>8.29</v>
      </c>
      <c r="F38" s="9" t="n">
        <v>6.5</v>
      </c>
      <c r="G38" s="10" t="n">
        <f aca="false">E38+F38</f>
        <v>14.79</v>
      </c>
      <c r="H38" s="9" t="n">
        <v>24.99</v>
      </c>
      <c r="I38" s="11" t="n">
        <f aca="false">H38*$B$3+$D$3</f>
        <v>6.32255</v>
      </c>
      <c r="J38" s="10" t="n">
        <f aca="false">H38-G38-I38</f>
        <v>3.87745</v>
      </c>
      <c r="K38" s="12" t="n">
        <f aca="false">IF(H38&gt;0,J38/H38,0)</f>
        <v>0.15516006402561</v>
      </c>
      <c r="L38" s="7" t="s">
        <v>56</v>
      </c>
      <c r="M38" s="7" t="n">
        <v>5</v>
      </c>
      <c r="N38" s="7" t="s">
        <v>57</v>
      </c>
      <c r="O38" s="7" t="s">
        <v>146</v>
      </c>
      <c r="P38" s="7" t="s">
        <v>27</v>
      </c>
      <c r="Q38" s="7" t="s">
        <v>149</v>
      </c>
    </row>
    <row r="40" customFormat="false" ht="15" hidden="false" customHeight="false" outlineLevel="0" collapsed="false">
      <c r="A40" s="19" t="s">
        <v>150</v>
      </c>
      <c r="B40" s="19"/>
      <c r="C40" s="19"/>
      <c r="D40" s="19"/>
      <c r="E40" s="20" t="n">
        <f aca="false">AVERAGE(E6:E38)</f>
        <v>15.4657575757576</v>
      </c>
      <c r="F40" s="20" t="n">
        <f aca="false">AVERAGE(F6:F38)</f>
        <v>6.89393939393939</v>
      </c>
      <c r="G40" s="20" t="n">
        <f aca="false">AVERAGE(G6:G38)</f>
        <v>22.359696969697</v>
      </c>
      <c r="H40" s="20" t="n">
        <f aca="false">AVERAGE(H6:H38)</f>
        <v>38.1718181818182</v>
      </c>
      <c r="I40" s="20" t="n">
        <f aca="false">AVERAGE(I6:I38)</f>
        <v>9.55209545454546</v>
      </c>
      <c r="J40" s="20" t="n">
        <f aca="false">AVERAGE(J6:J38)</f>
        <v>6.26002575757576</v>
      </c>
      <c r="K40" s="21" t="n">
        <f aca="false">AVERAGE(K6:K38)</f>
        <v>0.158664738266442</v>
      </c>
      <c r="L40" s="22"/>
      <c r="M40" s="22"/>
      <c r="N40" s="22"/>
      <c r="O40" s="22"/>
      <c r="P40" s="22"/>
      <c r="Q40" s="22"/>
    </row>
  </sheetData>
  <mergeCells count="3">
    <mergeCell ref="A1:L1"/>
    <mergeCell ref="A2:L2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4560"/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6"/>
    <col collapsed="false" customWidth="true" hidden="false" outlineLevel="0" max="4" min="4" style="0" width="8"/>
    <col collapsed="false" customWidth="true" hidden="false" outlineLevel="0" max="5" min="5" style="0" width="7"/>
    <col collapsed="false" customWidth="true" hidden="false" outlineLevel="0" max="8" min="6" style="0" width="8"/>
    <col collapsed="false" customWidth="true" hidden="false" outlineLevel="0" max="9" min="9" style="0" width="50"/>
    <col collapsed="false" customWidth="true" hidden="false" outlineLevel="0" max="10" min="10" style="0" width="18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1" t="s">
        <v>151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3.85" hidden="false" customHeight="false" outlineLevel="0" collapsed="false">
      <c r="A4" s="6" t="s">
        <v>153</v>
      </c>
      <c r="B4" s="6" t="s">
        <v>154</v>
      </c>
      <c r="C4" s="6" t="s">
        <v>155</v>
      </c>
      <c r="D4" s="6" t="s">
        <v>156</v>
      </c>
      <c r="E4" s="6" t="s">
        <v>157</v>
      </c>
      <c r="F4" s="6" t="s">
        <v>11</v>
      </c>
      <c r="G4" s="6" t="s">
        <v>13</v>
      </c>
      <c r="H4" s="6" t="s">
        <v>14</v>
      </c>
      <c r="I4" s="6" t="s">
        <v>158</v>
      </c>
      <c r="J4" s="6" t="s">
        <v>18</v>
      </c>
      <c r="K4" s="6" t="s">
        <v>159</v>
      </c>
    </row>
    <row r="5" customFormat="false" ht="23.85" hidden="false" customHeight="false" outlineLevel="0" collapsed="false">
      <c r="A5" s="23" t="s">
        <v>160</v>
      </c>
      <c r="B5" s="8" t="s">
        <v>121</v>
      </c>
      <c r="C5" s="7" t="s">
        <v>55</v>
      </c>
      <c r="D5" s="9" t="n">
        <v>5.29</v>
      </c>
      <c r="E5" s="9" t="n">
        <v>5.5</v>
      </c>
      <c r="F5" s="9" t="n">
        <v>19.99</v>
      </c>
      <c r="G5" s="10" t="n">
        <f aca="false">F5-(D5+E5)-(F5*0.245+0.2)</f>
        <v>4.10245</v>
      </c>
      <c r="H5" s="12" t="n">
        <f aca="false">IF(F5&gt;0,G5/F5,0)</f>
        <v>0.205225112556278</v>
      </c>
      <c r="I5" s="7" t="s">
        <v>161</v>
      </c>
      <c r="J5" s="7" t="s">
        <v>123</v>
      </c>
      <c r="K5" s="23" t="s">
        <v>162</v>
      </c>
    </row>
    <row r="6" customFormat="false" ht="23.85" hidden="false" customHeight="false" outlineLevel="0" collapsed="false">
      <c r="A6" s="24" t="s">
        <v>160</v>
      </c>
      <c r="B6" s="14" t="s">
        <v>134</v>
      </c>
      <c r="C6" s="13" t="s">
        <v>55</v>
      </c>
      <c r="D6" s="15" t="n">
        <v>7.29</v>
      </c>
      <c r="E6" s="15" t="n">
        <v>5.5</v>
      </c>
      <c r="F6" s="15" t="n">
        <v>24.99</v>
      </c>
      <c r="G6" s="16" t="n">
        <f aca="false">F6-(D6+E6)-(F6*0.245+0.2)</f>
        <v>5.87745</v>
      </c>
      <c r="H6" s="18" t="n">
        <f aca="false">IF(F6&gt;0,G6/F6,0)</f>
        <v>0.235192076830732</v>
      </c>
      <c r="I6" s="13" t="s">
        <v>163</v>
      </c>
      <c r="J6" s="13" t="s">
        <v>164</v>
      </c>
      <c r="K6" s="24" t="s">
        <v>162</v>
      </c>
    </row>
    <row r="7" customFormat="false" ht="23.85" hidden="false" customHeight="false" outlineLevel="0" collapsed="false">
      <c r="A7" s="23" t="s">
        <v>160</v>
      </c>
      <c r="B7" s="8" t="s">
        <v>165</v>
      </c>
      <c r="C7" s="7" t="s">
        <v>23</v>
      </c>
      <c r="D7" s="9" t="n">
        <v>8.15</v>
      </c>
      <c r="E7" s="9" t="n">
        <v>6.5</v>
      </c>
      <c r="F7" s="9" t="n">
        <v>29.99</v>
      </c>
      <c r="G7" s="10" t="n">
        <f aca="false">F7-(D7+E7)-(F7*0.245+0.2)</f>
        <v>7.79245</v>
      </c>
      <c r="H7" s="12" t="n">
        <f aca="false">IF(F7&gt;0,G7/F7,0)</f>
        <v>0.259834944981661</v>
      </c>
      <c r="I7" s="7" t="s">
        <v>166</v>
      </c>
      <c r="J7" s="7" t="s">
        <v>26</v>
      </c>
      <c r="K7" s="23" t="s">
        <v>162</v>
      </c>
    </row>
    <row r="8" customFormat="false" ht="23.85" hidden="false" customHeight="false" outlineLevel="0" collapsed="false">
      <c r="A8" s="24" t="s">
        <v>160</v>
      </c>
      <c r="B8" s="14" t="s">
        <v>167</v>
      </c>
      <c r="C8" s="13" t="s">
        <v>23</v>
      </c>
      <c r="D8" s="15" t="n">
        <v>8.92</v>
      </c>
      <c r="E8" s="15" t="n">
        <v>6.5</v>
      </c>
      <c r="F8" s="15" t="n">
        <v>24.99</v>
      </c>
      <c r="G8" s="16" t="n">
        <f aca="false">F8-(D8+E8)-(F8*0.245+0.2)</f>
        <v>3.24745</v>
      </c>
      <c r="H8" s="18" t="n">
        <f aca="false">IF(F8&gt;0,G8/F8,0)</f>
        <v>0.129949979991997</v>
      </c>
      <c r="I8" s="13" t="s">
        <v>168</v>
      </c>
      <c r="J8" s="13" t="s">
        <v>94</v>
      </c>
      <c r="K8" s="24" t="s">
        <v>162</v>
      </c>
    </row>
    <row r="9" customFormat="false" ht="23.85" hidden="false" customHeight="false" outlineLevel="0" collapsed="false">
      <c r="A9" s="23" t="s">
        <v>160</v>
      </c>
      <c r="B9" s="8" t="s">
        <v>169</v>
      </c>
      <c r="C9" s="7" t="s">
        <v>23</v>
      </c>
      <c r="D9" s="9" t="n">
        <v>8.75</v>
      </c>
      <c r="E9" s="9" t="n">
        <v>6.5</v>
      </c>
      <c r="F9" s="9" t="n">
        <v>29.99</v>
      </c>
      <c r="G9" s="10" t="n">
        <f aca="false">F9-(D9+E9)-(F9*0.245+0.2)</f>
        <v>7.19245</v>
      </c>
      <c r="H9" s="12" t="n">
        <f aca="false">IF(F9&gt;0,G9/F9,0)</f>
        <v>0.239828276092031</v>
      </c>
      <c r="I9" s="7" t="s">
        <v>170</v>
      </c>
      <c r="J9" s="7" t="s">
        <v>123</v>
      </c>
      <c r="K9" s="23" t="s">
        <v>162</v>
      </c>
    </row>
    <row r="10" customFormat="false" ht="23.85" hidden="false" customHeight="false" outlineLevel="0" collapsed="false">
      <c r="A10" s="24" t="s">
        <v>160</v>
      </c>
      <c r="B10" s="14" t="s">
        <v>171</v>
      </c>
      <c r="C10" s="13" t="s">
        <v>55</v>
      </c>
      <c r="D10" s="15" t="n">
        <v>8.29</v>
      </c>
      <c r="E10" s="15" t="n">
        <v>6.5</v>
      </c>
      <c r="F10" s="15" t="n">
        <v>24.99</v>
      </c>
      <c r="G10" s="16" t="n">
        <f aca="false">F10-(D10+E10)-(F10*0.245+0.2)</f>
        <v>3.87745</v>
      </c>
      <c r="H10" s="18" t="n">
        <f aca="false">IF(F10&gt;0,G10/F10,0)</f>
        <v>0.15516006402561</v>
      </c>
      <c r="I10" s="13" t="s">
        <v>172</v>
      </c>
      <c r="J10" s="13" t="s">
        <v>58</v>
      </c>
      <c r="K10" s="24" t="s">
        <v>162</v>
      </c>
    </row>
    <row r="11" customFormat="false" ht="23.85" hidden="false" customHeight="false" outlineLevel="0" collapsed="false">
      <c r="A11" s="23" t="s">
        <v>173</v>
      </c>
      <c r="B11" s="8" t="s">
        <v>118</v>
      </c>
      <c r="C11" s="7" t="s">
        <v>23</v>
      </c>
      <c r="D11" s="9" t="n">
        <v>13.29</v>
      </c>
      <c r="E11" s="9" t="n">
        <v>7</v>
      </c>
      <c r="F11" s="9" t="n">
        <v>34.99</v>
      </c>
      <c r="G11" s="10" t="n">
        <f aca="false">F11-(D11+E11)-(F11*0.245+0.2)</f>
        <v>5.92745</v>
      </c>
      <c r="H11" s="12" t="n">
        <f aca="false">IF(F11&gt;0,G11/F11,0)</f>
        <v>0.169404115461561</v>
      </c>
      <c r="I11" s="7" t="s">
        <v>174</v>
      </c>
      <c r="J11" s="7" t="s">
        <v>119</v>
      </c>
      <c r="K11" s="23" t="s">
        <v>175</v>
      </c>
    </row>
    <row r="12" customFormat="false" ht="23.85" hidden="false" customHeight="false" outlineLevel="0" collapsed="false">
      <c r="A12" s="24" t="s">
        <v>173</v>
      </c>
      <c r="B12" s="14" t="s">
        <v>96</v>
      </c>
      <c r="C12" s="13" t="s">
        <v>23</v>
      </c>
      <c r="D12" s="15" t="n">
        <v>13.19</v>
      </c>
      <c r="E12" s="15" t="n">
        <v>7</v>
      </c>
      <c r="F12" s="15" t="n">
        <v>39.99</v>
      </c>
      <c r="G12" s="16" t="n">
        <f aca="false">F12-(D12+E12)-(F12*0.245+0.2)</f>
        <v>9.80245</v>
      </c>
      <c r="H12" s="18" t="n">
        <f aca="false">IF(F12&gt;0,G12/F12,0)</f>
        <v>0.245122530632658</v>
      </c>
      <c r="I12" s="13" t="s">
        <v>176</v>
      </c>
      <c r="J12" s="13" t="s">
        <v>97</v>
      </c>
      <c r="K12" s="24" t="s">
        <v>175</v>
      </c>
    </row>
    <row r="13" customFormat="false" ht="23.85" hidden="false" customHeight="false" outlineLevel="0" collapsed="false">
      <c r="A13" s="23" t="s">
        <v>173</v>
      </c>
      <c r="B13" s="8" t="s">
        <v>80</v>
      </c>
      <c r="C13" s="7" t="s">
        <v>23</v>
      </c>
      <c r="D13" s="9" t="n">
        <v>13.29</v>
      </c>
      <c r="E13" s="9" t="n">
        <v>7</v>
      </c>
      <c r="F13" s="9" t="n">
        <v>39.99</v>
      </c>
      <c r="G13" s="10" t="n">
        <f aca="false">F13-(D13+E13)-(F13*0.245+0.2)</f>
        <v>9.70245</v>
      </c>
      <c r="H13" s="12" t="n">
        <f aca="false">IF(F13&gt;0,G13/F13,0)</f>
        <v>0.242621905476369</v>
      </c>
      <c r="I13" s="7" t="s">
        <v>177</v>
      </c>
      <c r="J13" s="7" t="s">
        <v>81</v>
      </c>
      <c r="K13" s="23" t="s">
        <v>175</v>
      </c>
    </row>
    <row r="14" customFormat="false" ht="23.85" hidden="false" customHeight="false" outlineLevel="0" collapsed="false">
      <c r="A14" s="24" t="s">
        <v>173</v>
      </c>
      <c r="B14" s="14" t="s">
        <v>60</v>
      </c>
      <c r="C14" s="13" t="s">
        <v>23</v>
      </c>
      <c r="D14" s="15" t="n">
        <v>23.49</v>
      </c>
      <c r="E14" s="15" t="n">
        <v>7.5</v>
      </c>
      <c r="F14" s="15" t="n">
        <v>49.99</v>
      </c>
      <c r="G14" s="16" t="n">
        <f aca="false">F14-(D14+E14)-(F14*0.245+0.2)</f>
        <v>6.55245</v>
      </c>
      <c r="H14" s="18" t="n">
        <f aca="false">IF(F14&gt;0,G14/F14,0)</f>
        <v>0.131075215043009</v>
      </c>
      <c r="I14" s="13" t="s">
        <v>178</v>
      </c>
      <c r="J14" s="13" t="s">
        <v>62</v>
      </c>
      <c r="K14" s="24" t="s">
        <v>179</v>
      </c>
    </row>
    <row r="15" customFormat="false" ht="23.85" hidden="false" customHeight="false" outlineLevel="0" collapsed="false">
      <c r="A15" s="23" t="s">
        <v>173</v>
      </c>
      <c r="B15" s="8" t="s">
        <v>180</v>
      </c>
      <c r="C15" s="7" t="s">
        <v>23</v>
      </c>
      <c r="D15" s="9" t="n">
        <v>15.69</v>
      </c>
      <c r="E15" s="9" t="n">
        <v>7.5</v>
      </c>
      <c r="F15" s="9" t="n">
        <v>49.99</v>
      </c>
      <c r="G15" s="10" t="n">
        <f aca="false">F15-(D15+E15)-(F15*0.245+0.2)</f>
        <v>14.35245</v>
      </c>
      <c r="H15" s="12" t="n">
        <f aca="false">IF(F15&gt;0,G15/F15,0)</f>
        <v>0.287106421284257</v>
      </c>
      <c r="I15" s="7" t="s">
        <v>181</v>
      </c>
      <c r="J15" s="7" t="s">
        <v>52</v>
      </c>
      <c r="K15" s="23" t="s">
        <v>182</v>
      </c>
    </row>
    <row r="16" customFormat="false" ht="23.85" hidden="false" customHeight="false" outlineLevel="0" collapsed="false">
      <c r="A16" s="24" t="s">
        <v>173</v>
      </c>
      <c r="B16" s="14" t="s">
        <v>106</v>
      </c>
      <c r="C16" s="13" t="s">
        <v>23</v>
      </c>
      <c r="D16" s="15" t="n">
        <v>18.39</v>
      </c>
      <c r="E16" s="15" t="n">
        <v>7</v>
      </c>
      <c r="F16" s="15" t="n">
        <v>39.99</v>
      </c>
      <c r="G16" s="16" t="n">
        <f aca="false">F16-(D16+E16)-(F16*0.245+0.2)</f>
        <v>4.60245</v>
      </c>
      <c r="H16" s="18" t="n">
        <f aca="false">IF(F16&gt;0,G16/F16,0)</f>
        <v>0.115090022505626</v>
      </c>
      <c r="I16" s="13" t="s">
        <v>183</v>
      </c>
      <c r="J16" s="13" t="s">
        <v>107</v>
      </c>
      <c r="K16" s="24" t="s">
        <v>175</v>
      </c>
    </row>
    <row r="17" customFormat="false" ht="23.85" hidden="false" customHeight="false" outlineLevel="0" collapsed="false">
      <c r="A17" s="23" t="s">
        <v>173</v>
      </c>
      <c r="B17" s="8" t="s">
        <v>115</v>
      </c>
      <c r="C17" s="7" t="s">
        <v>23</v>
      </c>
      <c r="D17" s="9" t="n">
        <v>19.99</v>
      </c>
      <c r="E17" s="9" t="n">
        <v>7</v>
      </c>
      <c r="F17" s="9" t="n">
        <v>44.99</v>
      </c>
      <c r="G17" s="10" t="n">
        <f aca="false">F17-(D17+E17)-(F17*0.245+0.2)</f>
        <v>6.77745</v>
      </c>
      <c r="H17" s="12" t="n">
        <f aca="false">IF(F17&gt;0,G17/F17,0)</f>
        <v>0.150643476328073</v>
      </c>
      <c r="I17" s="7" t="s">
        <v>184</v>
      </c>
      <c r="J17" s="7" t="s">
        <v>116</v>
      </c>
      <c r="K17" s="23" t="s">
        <v>175</v>
      </c>
    </row>
    <row r="18" customFormat="false" ht="23.85" hidden="false" customHeight="false" outlineLevel="0" collapsed="false">
      <c r="A18" s="24" t="s">
        <v>153</v>
      </c>
      <c r="B18" s="14" t="s">
        <v>39</v>
      </c>
      <c r="C18" s="13" t="s">
        <v>23</v>
      </c>
      <c r="D18" s="15" t="n">
        <v>23.99</v>
      </c>
      <c r="E18" s="15" t="n">
        <v>7.5</v>
      </c>
      <c r="F18" s="15" t="n">
        <v>54.99</v>
      </c>
      <c r="G18" s="16" t="n">
        <f aca="false">F18-(D18+E18)-(F18*0.245+0.2)</f>
        <v>9.82745</v>
      </c>
      <c r="H18" s="18" t="n">
        <f aca="false">IF(F18&gt;0,G18/F18,0)</f>
        <v>0.178713402436807</v>
      </c>
      <c r="I18" s="13" t="s">
        <v>185</v>
      </c>
      <c r="J18" s="13" t="s">
        <v>43</v>
      </c>
      <c r="K18" s="24" t="s">
        <v>186</v>
      </c>
    </row>
    <row r="19" customFormat="false" ht="23.85" hidden="false" customHeight="false" outlineLevel="0" collapsed="false">
      <c r="A19" s="23" t="s">
        <v>153</v>
      </c>
      <c r="B19" s="8" t="s">
        <v>187</v>
      </c>
      <c r="C19" s="7" t="s">
        <v>23</v>
      </c>
      <c r="D19" s="9" t="n">
        <v>25.64</v>
      </c>
      <c r="E19" s="9" t="n">
        <v>8.5</v>
      </c>
      <c r="F19" s="9" t="n">
        <v>69.99</v>
      </c>
      <c r="G19" s="10" t="n">
        <f aca="false">F19-(D19+E19)-(F19*0.245+0.2)</f>
        <v>18.50245</v>
      </c>
      <c r="H19" s="12" t="n">
        <f aca="false">IF(F19&gt;0,G19/F19,0)</f>
        <v>0.264358479782826</v>
      </c>
      <c r="I19" s="7" t="s">
        <v>188</v>
      </c>
      <c r="J19" s="7" t="s">
        <v>37</v>
      </c>
      <c r="K19" s="23" t="s">
        <v>186</v>
      </c>
    </row>
    <row r="20" customFormat="false" ht="23.85" hidden="false" customHeight="false" outlineLevel="0" collapsed="false">
      <c r="A20" s="24" t="s">
        <v>153</v>
      </c>
      <c r="B20" s="14" t="s">
        <v>189</v>
      </c>
      <c r="C20" s="13" t="s">
        <v>23</v>
      </c>
      <c r="D20" s="15" t="n">
        <v>23.09</v>
      </c>
      <c r="E20" s="15" t="n">
        <v>8</v>
      </c>
      <c r="F20" s="15" t="n">
        <v>54.99</v>
      </c>
      <c r="G20" s="16" t="n">
        <f aca="false">F20-(D20+E20)-(F20*0.245+0.2)</f>
        <v>10.22745</v>
      </c>
      <c r="H20" s="18" t="n">
        <f aca="false">IF(F20&gt;0,G20/F20,0)</f>
        <v>0.185987452264048</v>
      </c>
      <c r="I20" s="13" t="s">
        <v>190</v>
      </c>
      <c r="J20" s="13" t="s">
        <v>191</v>
      </c>
      <c r="K20" s="24" t="s">
        <v>186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FFF"/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8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192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193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6" t="s">
        <v>194</v>
      </c>
      <c r="B4" s="6" t="s">
        <v>195</v>
      </c>
      <c r="C4" s="6" t="s">
        <v>196</v>
      </c>
      <c r="D4" s="6" t="s">
        <v>197</v>
      </c>
      <c r="E4" s="6" t="s">
        <v>198</v>
      </c>
    </row>
    <row r="5" customFormat="false" ht="23.85" hidden="false" customHeight="false" outlineLevel="0" collapsed="false">
      <c r="A5" s="8" t="s">
        <v>199</v>
      </c>
      <c r="B5" s="7" t="s">
        <v>200</v>
      </c>
      <c r="C5" s="7" t="s">
        <v>201</v>
      </c>
      <c r="D5" s="23" t="s">
        <v>202</v>
      </c>
      <c r="E5" s="7" t="s">
        <v>203</v>
      </c>
    </row>
    <row r="6" customFormat="false" ht="23.85" hidden="false" customHeight="false" outlineLevel="0" collapsed="false">
      <c r="A6" s="14" t="s">
        <v>204</v>
      </c>
      <c r="B6" s="13" t="s">
        <v>205</v>
      </c>
      <c r="C6" s="13" t="s">
        <v>206</v>
      </c>
      <c r="D6" s="13" t="s">
        <v>207</v>
      </c>
      <c r="E6" s="13" t="s">
        <v>208</v>
      </c>
    </row>
    <row r="7" customFormat="false" ht="23.85" hidden="false" customHeight="false" outlineLevel="0" collapsed="false">
      <c r="A7" s="8" t="s">
        <v>209</v>
      </c>
      <c r="B7" s="7" t="s">
        <v>210</v>
      </c>
      <c r="C7" s="7" t="s">
        <v>211</v>
      </c>
      <c r="D7" s="23" t="s">
        <v>202</v>
      </c>
      <c r="E7" s="7" t="s">
        <v>212</v>
      </c>
    </row>
    <row r="8" customFormat="false" ht="23.85" hidden="false" customHeight="false" outlineLevel="0" collapsed="false">
      <c r="A8" s="14" t="s">
        <v>213</v>
      </c>
      <c r="B8" s="13" t="s">
        <v>214</v>
      </c>
      <c r="C8" s="13" t="s">
        <v>215</v>
      </c>
      <c r="D8" s="25" t="s">
        <v>216</v>
      </c>
      <c r="E8" s="13" t="s">
        <v>217</v>
      </c>
    </row>
    <row r="9" customFormat="false" ht="23.85" hidden="false" customHeight="false" outlineLevel="0" collapsed="false">
      <c r="A9" s="8" t="s">
        <v>218</v>
      </c>
      <c r="B9" s="7" t="s">
        <v>219</v>
      </c>
      <c r="C9" s="7" t="s">
        <v>220</v>
      </c>
      <c r="D9" s="26" t="s">
        <v>216</v>
      </c>
      <c r="E9" s="7" t="s">
        <v>221</v>
      </c>
    </row>
    <row r="10" customFormat="false" ht="23.85" hidden="false" customHeight="false" outlineLevel="0" collapsed="false">
      <c r="A10" s="14" t="s">
        <v>222</v>
      </c>
      <c r="B10" s="13" t="s">
        <v>223</v>
      </c>
      <c r="C10" s="13" t="s">
        <v>224</v>
      </c>
      <c r="D10" s="25" t="s">
        <v>216</v>
      </c>
      <c r="E10" s="13" t="s">
        <v>225</v>
      </c>
    </row>
    <row r="11" customFormat="false" ht="23.85" hidden="false" customHeight="false" outlineLevel="0" collapsed="false">
      <c r="A11" s="8" t="s">
        <v>226</v>
      </c>
      <c r="B11" s="7" t="s">
        <v>227</v>
      </c>
      <c r="C11" s="7" t="s">
        <v>228</v>
      </c>
      <c r="D11" s="23" t="s">
        <v>202</v>
      </c>
      <c r="E11" s="7" t="s">
        <v>229</v>
      </c>
    </row>
    <row r="12" customFormat="false" ht="23.85" hidden="false" customHeight="false" outlineLevel="0" collapsed="false">
      <c r="A12" s="14" t="s">
        <v>230</v>
      </c>
      <c r="B12" s="13" t="s">
        <v>231</v>
      </c>
      <c r="C12" s="13" t="s">
        <v>232</v>
      </c>
      <c r="D12" s="24" t="s">
        <v>202</v>
      </c>
      <c r="E12" s="13" t="s">
        <v>233</v>
      </c>
    </row>
    <row r="13" customFormat="false" ht="23.85" hidden="false" customHeight="false" outlineLevel="0" collapsed="false">
      <c r="A13" s="8" t="s">
        <v>234</v>
      </c>
      <c r="B13" s="7" t="s">
        <v>235</v>
      </c>
      <c r="C13" s="7" t="s">
        <v>236</v>
      </c>
      <c r="D13" s="26" t="s">
        <v>216</v>
      </c>
      <c r="E13" s="7" t="s">
        <v>237</v>
      </c>
    </row>
    <row r="14" customFormat="false" ht="23.85" hidden="false" customHeight="false" outlineLevel="0" collapsed="false">
      <c r="A14" s="14" t="s">
        <v>238</v>
      </c>
      <c r="B14" s="13" t="s">
        <v>239</v>
      </c>
      <c r="C14" s="13" t="s">
        <v>240</v>
      </c>
      <c r="D14" s="24" t="s">
        <v>202</v>
      </c>
      <c r="E14" s="13" t="s">
        <v>241</v>
      </c>
    </row>
    <row r="15" customFormat="false" ht="23.85" hidden="false" customHeight="false" outlineLevel="0" collapsed="false">
      <c r="A15" s="8" t="s">
        <v>242</v>
      </c>
      <c r="B15" s="7" t="s">
        <v>243</v>
      </c>
      <c r="C15" s="7" t="s">
        <v>244</v>
      </c>
      <c r="D15" s="23" t="s">
        <v>202</v>
      </c>
      <c r="E15" s="7" t="s">
        <v>245</v>
      </c>
    </row>
    <row r="16" customFormat="false" ht="23.85" hidden="false" customHeight="false" outlineLevel="0" collapsed="false">
      <c r="A16" s="14" t="s">
        <v>246</v>
      </c>
      <c r="B16" s="13" t="s">
        <v>247</v>
      </c>
      <c r="C16" s="13" t="s">
        <v>248</v>
      </c>
      <c r="D16" s="24" t="s">
        <v>202</v>
      </c>
      <c r="E16" s="13" t="s">
        <v>249</v>
      </c>
    </row>
    <row r="18" customFormat="false" ht="23.85" hidden="false" customHeight="true" outlineLevel="0" collapsed="false">
      <c r="A18" s="27" t="s">
        <v>250</v>
      </c>
      <c r="B18" s="27"/>
      <c r="C18" s="27"/>
      <c r="D18" s="27"/>
      <c r="E18" s="27"/>
    </row>
  </sheetData>
  <mergeCells count="3">
    <mergeCell ref="A1:H1"/>
    <mergeCell ref="A2:H2"/>
    <mergeCell ref="A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32"/>
    <col collapsed="false" customWidth="true" hidden="false" outlineLevel="0" max="8" min="6" style="0" width="9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251</v>
      </c>
      <c r="B1" s="1"/>
      <c r="C1" s="1"/>
      <c r="D1" s="1"/>
      <c r="E1" s="1"/>
      <c r="F1" s="1"/>
      <c r="G1" s="1"/>
      <c r="H1" s="1"/>
      <c r="I1" s="1"/>
    </row>
    <row r="3" customFormat="false" ht="23.85" hidden="false" customHeight="false" outlineLevel="0" collapsed="false">
      <c r="A3" s="6" t="s">
        <v>6</v>
      </c>
      <c r="B3" s="6" t="s">
        <v>252</v>
      </c>
      <c r="C3" s="6" t="s">
        <v>253</v>
      </c>
      <c r="D3" s="6" t="s">
        <v>254</v>
      </c>
      <c r="E3" s="6" t="s">
        <v>255</v>
      </c>
      <c r="F3" s="6" t="s">
        <v>256</v>
      </c>
      <c r="G3" s="6" t="s">
        <v>257</v>
      </c>
      <c r="H3" s="6" t="s">
        <v>258</v>
      </c>
      <c r="I3" s="6" t="s">
        <v>259</v>
      </c>
    </row>
    <row r="4" customFormat="false" ht="23.85" hidden="false" customHeight="false" outlineLevel="0" collapsed="false">
      <c r="A4" s="8" t="s">
        <v>260</v>
      </c>
      <c r="B4" s="7" t="n">
        <v>9</v>
      </c>
      <c r="C4" s="7" t="s">
        <v>261</v>
      </c>
      <c r="D4" s="10" t="n">
        <v>13.17</v>
      </c>
      <c r="E4" s="7" t="s">
        <v>262</v>
      </c>
      <c r="F4" s="23" t="s">
        <v>263</v>
      </c>
      <c r="G4" s="10" t="n">
        <v>34.99</v>
      </c>
      <c r="H4" s="10" t="n">
        <v>10.42</v>
      </c>
      <c r="I4" s="7" t="s">
        <v>264</v>
      </c>
    </row>
    <row r="5" customFormat="false" ht="23.85" hidden="false" customHeight="false" outlineLevel="0" collapsed="false">
      <c r="A5" s="14" t="s">
        <v>265</v>
      </c>
      <c r="B5" s="13" t="n">
        <v>8</v>
      </c>
      <c r="C5" s="13" t="s">
        <v>266</v>
      </c>
      <c r="D5" s="16" t="n">
        <v>9.16</v>
      </c>
      <c r="E5" s="13" t="s">
        <v>267</v>
      </c>
      <c r="F5" s="24" t="s">
        <v>268</v>
      </c>
      <c r="G5" s="16" t="n">
        <v>24.37</v>
      </c>
      <c r="H5" s="16" t="n">
        <v>7.77</v>
      </c>
      <c r="I5" s="13" t="s">
        <v>269</v>
      </c>
    </row>
    <row r="6" customFormat="false" ht="23.85" hidden="false" customHeight="false" outlineLevel="0" collapsed="false">
      <c r="A6" s="8" t="s">
        <v>40</v>
      </c>
      <c r="B6" s="7" t="n">
        <v>6</v>
      </c>
      <c r="C6" s="7" t="s">
        <v>270</v>
      </c>
      <c r="D6" s="10" t="n">
        <v>21.09</v>
      </c>
      <c r="E6" s="7" t="s">
        <v>271</v>
      </c>
      <c r="F6" s="23" t="s">
        <v>272</v>
      </c>
      <c r="G6" s="10" t="n">
        <v>47.49</v>
      </c>
      <c r="H6" s="10" t="n">
        <v>14.36</v>
      </c>
      <c r="I6" s="7" t="s">
        <v>273</v>
      </c>
    </row>
    <row r="7" customFormat="false" ht="23.85" hidden="false" customHeight="false" outlineLevel="0" collapsed="false">
      <c r="A7" s="14" t="s">
        <v>34</v>
      </c>
      <c r="B7" s="13" t="n">
        <v>2</v>
      </c>
      <c r="C7" s="13" t="s">
        <v>274</v>
      </c>
      <c r="D7" s="16" t="n">
        <v>20.67</v>
      </c>
      <c r="E7" s="13" t="s">
        <v>275</v>
      </c>
      <c r="F7" s="24" t="s">
        <v>276</v>
      </c>
      <c r="G7" s="16" t="n">
        <v>59.99</v>
      </c>
      <c r="H7" s="16" t="n">
        <v>19.36</v>
      </c>
      <c r="I7" s="13" t="s">
        <v>277</v>
      </c>
    </row>
    <row r="8" customFormat="false" ht="23.85" hidden="false" customHeight="false" outlineLevel="0" collapsed="false">
      <c r="A8" s="8" t="s">
        <v>61</v>
      </c>
      <c r="B8" s="7" t="n">
        <v>3</v>
      </c>
      <c r="C8" s="7" t="s">
        <v>278</v>
      </c>
      <c r="D8" s="10" t="n">
        <v>16.76</v>
      </c>
      <c r="E8" s="7" t="s">
        <v>279</v>
      </c>
      <c r="F8" s="23" t="s">
        <v>280</v>
      </c>
      <c r="G8" s="10" t="n">
        <v>36.66</v>
      </c>
      <c r="H8" s="10" t="n">
        <v>10.24</v>
      </c>
      <c r="I8" s="7" t="s">
        <v>281</v>
      </c>
    </row>
    <row r="9" customFormat="false" ht="23.85" hidden="false" customHeight="false" outlineLevel="0" collapsed="false">
      <c r="A9" s="14" t="s">
        <v>70</v>
      </c>
      <c r="B9" s="13" t="n">
        <v>1</v>
      </c>
      <c r="C9" s="13" t="s">
        <v>282</v>
      </c>
      <c r="D9" s="16" t="n">
        <v>17.41</v>
      </c>
      <c r="E9" s="13" t="s">
        <v>283</v>
      </c>
      <c r="F9" s="24" t="s">
        <v>284</v>
      </c>
      <c r="G9" s="16" t="n">
        <v>39.99</v>
      </c>
      <c r="H9" s="16" t="n">
        <v>10.8</v>
      </c>
      <c r="I9" s="13" t="s">
        <v>285</v>
      </c>
    </row>
    <row r="10" customFormat="false" ht="23.85" hidden="false" customHeight="false" outlineLevel="0" collapsed="false">
      <c r="A10" s="8" t="s">
        <v>65</v>
      </c>
      <c r="B10" s="7" t="n">
        <v>1</v>
      </c>
      <c r="C10" s="7" t="s">
        <v>286</v>
      </c>
      <c r="D10" s="10" t="n">
        <v>23.09</v>
      </c>
      <c r="E10" s="7" t="s">
        <v>287</v>
      </c>
      <c r="F10" s="23" t="s">
        <v>288</v>
      </c>
      <c r="G10" s="10" t="n">
        <v>54.99</v>
      </c>
      <c r="H10" s="10" t="n">
        <v>14.12</v>
      </c>
      <c r="I10" s="7" t="s">
        <v>289</v>
      </c>
    </row>
    <row r="11" customFormat="false" ht="23.85" hidden="false" customHeight="false" outlineLevel="0" collapsed="false">
      <c r="A11" s="14" t="s">
        <v>84</v>
      </c>
      <c r="B11" s="13" t="n">
        <v>1</v>
      </c>
      <c r="C11" s="13" t="s">
        <v>290</v>
      </c>
      <c r="D11" s="16" t="n">
        <v>18.09</v>
      </c>
      <c r="E11" s="13" t="s">
        <v>291</v>
      </c>
      <c r="F11" s="24" t="s">
        <v>292</v>
      </c>
      <c r="G11" s="16" t="n">
        <v>34.99</v>
      </c>
      <c r="H11" s="16" t="n">
        <v>5.78</v>
      </c>
      <c r="I11" s="13" t="s">
        <v>293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7F"/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45"/>
    <col collapsed="false" customWidth="true" hidden="false" outlineLevel="0" max="4" min="4" style="0" width="14"/>
    <col collapsed="false" customWidth="true" hidden="false" outlineLevel="0" max="7" min="5" style="0" width="12"/>
  </cols>
  <sheetData>
    <row r="1" customFormat="false" ht="17.35" hidden="false" customHeight="false" outlineLevel="0" collapsed="false">
      <c r="A1" s="1" t="s">
        <v>294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295</v>
      </c>
      <c r="B2" s="2"/>
      <c r="C2" s="2"/>
      <c r="D2" s="2"/>
      <c r="E2" s="2"/>
      <c r="F2" s="2"/>
      <c r="G2" s="2"/>
    </row>
    <row r="4" customFormat="false" ht="23.85" hidden="false" customHeight="false" outlineLevel="0" collapsed="false">
      <c r="A4" s="6" t="s">
        <v>296</v>
      </c>
      <c r="B4" s="6" t="s">
        <v>297</v>
      </c>
      <c r="C4" s="6" t="s">
        <v>298</v>
      </c>
      <c r="D4" s="6" t="s">
        <v>299</v>
      </c>
      <c r="E4" s="6" t="s">
        <v>300</v>
      </c>
      <c r="F4" s="6" t="s">
        <v>301</v>
      </c>
      <c r="G4" s="6" t="s">
        <v>302</v>
      </c>
    </row>
    <row r="5" customFormat="false" ht="99.75" hidden="false" customHeight="true" outlineLevel="0" collapsed="false">
      <c r="A5" s="28" t="s">
        <v>303</v>
      </c>
      <c r="B5" s="29" t="s">
        <v>304</v>
      </c>
      <c r="C5" s="29" t="s">
        <v>305</v>
      </c>
      <c r="D5" s="30" t="s">
        <v>306</v>
      </c>
      <c r="E5" s="30" t="s">
        <v>307</v>
      </c>
      <c r="F5" s="28" t="s">
        <v>308</v>
      </c>
      <c r="G5" s="29" t="s">
        <v>309</v>
      </c>
    </row>
    <row r="6" customFormat="false" ht="99.75" hidden="false" customHeight="true" outlineLevel="0" collapsed="false">
      <c r="A6" s="31" t="s">
        <v>310</v>
      </c>
      <c r="B6" s="32" t="s">
        <v>311</v>
      </c>
      <c r="C6" s="32" t="s">
        <v>312</v>
      </c>
      <c r="D6" s="33" t="s">
        <v>313</v>
      </c>
      <c r="E6" s="33" t="s">
        <v>314</v>
      </c>
      <c r="F6" s="31" t="s">
        <v>315</v>
      </c>
      <c r="G6" s="32" t="s">
        <v>316</v>
      </c>
    </row>
    <row r="7" customFormat="false" ht="99.75" hidden="false" customHeight="true" outlineLevel="0" collapsed="false">
      <c r="A7" s="28" t="s">
        <v>317</v>
      </c>
      <c r="B7" s="29" t="s">
        <v>318</v>
      </c>
      <c r="C7" s="29" t="s">
        <v>319</v>
      </c>
      <c r="D7" s="30" t="s">
        <v>320</v>
      </c>
      <c r="E7" s="30" t="s">
        <v>321</v>
      </c>
      <c r="F7" s="28" t="s">
        <v>322</v>
      </c>
      <c r="G7" s="29" t="s">
        <v>323</v>
      </c>
    </row>
    <row r="8" customFormat="false" ht="99.75" hidden="false" customHeight="true" outlineLevel="0" collapsed="false">
      <c r="A8" s="31" t="s">
        <v>324</v>
      </c>
      <c r="B8" s="32" t="s">
        <v>325</v>
      </c>
      <c r="C8" s="32" t="s">
        <v>326</v>
      </c>
      <c r="D8" s="33" t="s">
        <v>320</v>
      </c>
      <c r="E8" s="33" t="s">
        <v>327</v>
      </c>
      <c r="F8" s="31" t="s">
        <v>328</v>
      </c>
      <c r="G8" s="32" t="s">
        <v>329</v>
      </c>
    </row>
    <row r="9" customFormat="false" ht="99.75" hidden="false" customHeight="true" outlineLevel="0" collapsed="false">
      <c r="A9" s="28" t="s">
        <v>330</v>
      </c>
      <c r="B9" s="29" t="s">
        <v>331</v>
      </c>
      <c r="C9" s="29" t="s">
        <v>332</v>
      </c>
      <c r="D9" s="30" t="s">
        <v>333</v>
      </c>
      <c r="E9" s="30" t="s">
        <v>334</v>
      </c>
      <c r="F9" s="28" t="s">
        <v>335</v>
      </c>
      <c r="G9" s="29" t="s">
        <v>336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2026-02-24T05:24:44Z</dcterms:created>
  <dc:creator>openpyxl</dc:creator>
  <dc:description/>
  <dc:language>en-US</dc:language>
  <cp:lastModifiedBy/>
  <dcterms:modified xsi:type="dcterms:W3CDTF">2026-02-24T05:24:44Z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