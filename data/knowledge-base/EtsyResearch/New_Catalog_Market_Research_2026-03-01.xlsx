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wner\Documents\EtsyAutomation\EtsyResearch\"/>
    </mc:Choice>
  </mc:AlternateContent>
  <xr:revisionPtr revIDLastSave="0" documentId="13_ncr:1_{E7F82EE5-E044-4581-A03D-617CC450AAD7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Keyword Research" sheetId="1" r:id="rId1"/>
    <sheet name="Price Comparison" sheetId="2" r:id="rId2"/>
    <sheet name="Tariff &amp; Cost Analysis" sheetId="3" r:id="rId3"/>
    <sheet name="Niche Strategy" sheetId="4" r:id="rId4"/>
    <sheet name="2026 Trends &amp; Motifs" sheetId="5" r:id="rId5"/>
    <sheet name="Launch Priority" sheetId="6" r:id="rId6"/>
  </sheets>
  <definedNames>
    <definedName name="_xlnm._FilterDatabase" localSheetId="0" hidden="1">'Keyword Research'!$A$1:$H$36</definedName>
    <definedName name="_xlnm._FilterDatabase" localSheetId="5" hidden="1">'Launch Priority'!$A$3:$K$21</definedName>
    <definedName name="_xlnm._FilterDatabase" localSheetId="3" hidden="1">'Niche Strategy'!$A$3:$I$12</definedName>
    <definedName name="_xlnm._FilterDatabase" localSheetId="1" hidden="1">'Price Comparison'!$A$1:$M$20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1" i="6" l="1"/>
  <c r="G21" i="6"/>
  <c r="E21" i="6"/>
  <c r="I20" i="6"/>
  <c r="E20" i="6"/>
  <c r="G20" i="6" s="1"/>
  <c r="I19" i="6"/>
  <c r="E19" i="6"/>
  <c r="G19" i="6" s="1"/>
  <c r="I18" i="6"/>
  <c r="E18" i="6"/>
  <c r="G18" i="6" s="1"/>
  <c r="I17" i="6"/>
  <c r="E17" i="6"/>
  <c r="G17" i="6" s="1"/>
  <c r="I16" i="6"/>
  <c r="E16" i="6"/>
  <c r="G16" i="6" s="1"/>
  <c r="I15" i="6"/>
  <c r="E15" i="6"/>
  <c r="G15" i="6" s="1"/>
  <c r="I14" i="6"/>
  <c r="E14" i="6"/>
  <c r="G14" i="6" s="1"/>
  <c r="I13" i="6"/>
  <c r="E13" i="6"/>
  <c r="G13" i="6" s="1"/>
  <c r="I12" i="6"/>
  <c r="E12" i="6"/>
  <c r="G12" i="6" s="1"/>
  <c r="I11" i="6"/>
  <c r="E11" i="6"/>
  <c r="G11" i="6" s="1"/>
  <c r="I10" i="6"/>
  <c r="E10" i="6"/>
  <c r="G10" i="6" s="1"/>
  <c r="I9" i="6"/>
  <c r="E9" i="6"/>
  <c r="G9" i="6" s="1"/>
  <c r="I8" i="6"/>
  <c r="G8" i="6"/>
  <c r="E8" i="6"/>
  <c r="I7" i="6"/>
  <c r="E7" i="6"/>
  <c r="G7" i="6" s="1"/>
  <c r="I6" i="6"/>
  <c r="E6" i="6"/>
  <c r="G6" i="6" s="1"/>
  <c r="I5" i="6"/>
  <c r="E5" i="6"/>
  <c r="G5" i="6" s="1"/>
  <c r="I4" i="6"/>
  <c r="E4" i="6"/>
  <c r="G4" i="6" s="1"/>
  <c r="B12" i="4"/>
  <c r="B11" i="4"/>
  <c r="B10" i="4"/>
  <c r="B9" i="4"/>
  <c r="B8" i="4"/>
  <c r="B7" i="4"/>
  <c r="B6" i="4"/>
  <c r="B5" i="4"/>
  <c r="B4" i="4"/>
  <c r="H43" i="3"/>
  <c r="D43" i="3"/>
  <c r="F43" i="3" s="1"/>
  <c r="I43" i="3" s="1"/>
  <c r="J43" i="3" s="1"/>
  <c r="H42" i="3"/>
  <c r="D42" i="3"/>
  <c r="F42" i="3" s="1"/>
  <c r="I42" i="3" s="1"/>
  <c r="J42" i="3" s="1"/>
  <c r="H41" i="3"/>
  <c r="D41" i="3"/>
  <c r="F41" i="3" s="1"/>
  <c r="I41" i="3" s="1"/>
  <c r="J41" i="3" s="1"/>
  <c r="H40" i="3"/>
  <c r="D40" i="3"/>
  <c r="F40" i="3" s="1"/>
  <c r="I40" i="3" s="1"/>
  <c r="J40" i="3" s="1"/>
  <c r="H39" i="3"/>
  <c r="D39" i="3"/>
  <c r="F39" i="3" s="1"/>
  <c r="I39" i="3" s="1"/>
  <c r="J39" i="3" s="1"/>
  <c r="H38" i="3"/>
  <c r="D38" i="3"/>
  <c r="F38" i="3" s="1"/>
  <c r="I38" i="3" s="1"/>
  <c r="J38" i="3" s="1"/>
  <c r="H37" i="3"/>
  <c r="D37" i="3"/>
  <c r="F37" i="3" s="1"/>
  <c r="I37" i="3" s="1"/>
  <c r="J37" i="3" s="1"/>
  <c r="H36" i="3"/>
  <c r="I36" i="3" s="1"/>
  <c r="J36" i="3" s="1"/>
  <c r="F36" i="3"/>
  <c r="D36" i="3"/>
  <c r="H35" i="3"/>
  <c r="D35" i="3"/>
  <c r="F35" i="3" s="1"/>
  <c r="I35" i="3" s="1"/>
  <c r="J35" i="3" s="1"/>
  <c r="H34" i="3"/>
  <c r="D34" i="3"/>
  <c r="F34" i="3" s="1"/>
  <c r="I34" i="3" s="1"/>
  <c r="J34" i="3" s="1"/>
  <c r="H33" i="3"/>
  <c r="D33" i="3"/>
  <c r="F33" i="3" s="1"/>
  <c r="I33" i="3" s="1"/>
  <c r="J33" i="3" s="1"/>
  <c r="H32" i="3"/>
  <c r="I32" i="3" s="1"/>
  <c r="J32" i="3" s="1"/>
  <c r="F32" i="3"/>
  <c r="D32" i="3"/>
  <c r="H31" i="3"/>
  <c r="D31" i="3"/>
  <c r="F31" i="3" s="1"/>
  <c r="I31" i="3" s="1"/>
  <c r="J31" i="3" s="1"/>
  <c r="H30" i="3"/>
  <c r="D30" i="3"/>
  <c r="F30" i="3" s="1"/>
  <c r="I30" i="3" s="1"/>
  <c r="J30" i="3" s="1"/>
  <c r="H29" i="3"/>
  <c r="D29" i="3"/>
  <c r="F29" i="3" s="1"/>
  <c r="I29" i="3" s="1"/>
  <c r="J29" i="3" s="1"/>
  <c r="H28" i="3"/>
  <c r="I28" i="3" s="1"/>
  <c r="J28" i="3" s="1"/>
  <c r="F28" i="3"/>
  <c r="D28" i="3"/>
  <c r="H27" i="3"/>
  <c r="D27" i="3"/>
  <c r="F27" i="3" s="1"/>
  <c r="I27" i="3" s="1"/>
  <c r="J27" i="3" s="1"/>
  <c r="H26" i="3"/>
  <c r="D26" i="3"/>
  <c r="F26" i="3" s="1"/>
  <c r="I26" i="3" s="1"/>
  <c r="J26" i="3" s="1"/>
  <c r="E16" i="3"/>
  <c r="F16" i="3" s="1"/>
  <c r="E15" i="3"/>
  <c r="F15" i="3" s="1"/>
  <c r="E14" i="3"/>
  <c r="F14" i="3" s="1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<sst xmlns="http://schemas.openxmlformats.org/spreadsheetml/2006/main" count="598" uniqueCount="427">
  <si>
    <t>Keyword</t>
  </si>
  <si>
    <t>Monthly Volume</t>
  </si>
  <si>
    <t>CPC ($)</t>
  </si>
  <si>
    <t>Competition</t>
  </si>
  <si>
    <t>Best Product Match</t>
  </si>
  <si>
    <t>Niche</t>
  </si>
  <si>
    <t>Seasonality</t>
  </si>
  <si>
    <t>Channel Fit</t>
  </si>
  <si>
    <t>cropped top</t>
  </si>
  <si>
    <t>Sleeveless Cropped Top</t>
  </si>
  <si>
    <t>Multi-niche</t>
  </si>
  <si>
    <t>Year-round (peak summer)</t>
  </si>
  <si>
    <t>Etsy + Google</t>
  </si>
  <si>
    <t>wide leg pants</t>
  </si>
  <si>
    <t>Casual Pants / Wide Leg Trousers</t>
  </si>
  <si>
    <t>Year-round (slight fall peak)</t>
  </si>
  <si>
    <t>Google Shopping</t>
  </si>
  <si>
    <t>gothic dress</t>
  </si>
  <si>
    <t>Midi Dress / Bell Sleeve Dress</t>
  </si>
  <si>
    <t>Gothic/Whimsigoth</t>
  </si>
  <si>
    <t>Year-round (peak Oct-Feb)</t>
  </si>
  <si>
    <t>Etsy</t>
  </si>
  <si>
    <t>matching set women</t>
  </si>
  <si>
    <t>Sweatshirt Suit / T-shirt Suit</t>
  </si>
  <si>
    <t>Year-round (rising Jan-Feb)</t>
  </si>
  <si>
    <t>two piece set women</t>
  </si>
  <si>
    <t>All 3 Casual Sets</t>
  </si>
  <si>
    <t>Year-round</t>
  </si>
  <si>
    <t>floral midi dress</t>
  </si>
  <si>
    <t>Midi Dress</t>
  </si>
  <si>
    <t>Dark Floral/Cottagecore</t>
  </si>
  <si>
    <t>Strong spring-summer</t>
  </si>
  <si>
    <t>loungewear set women</t>
  </si>
  <si>
    <t>Cami Home Suit</t>
  </si>
  <si>
    <t>Loungewear/Gift</t>
  </si>
  <si>
    <t>Peak Dec-Feb (gifting)</t>
  </si>
  <si>
    <t>see through dress</t>
  </si>
  <si>
    <t>Bell Sleeve See-Through Dress</t>
  </si>
  <si>
    <t>Festival/Boho</t>
  </si>
  <si>
    <t>dark floral dress</t>
  </si>
  <si>
    <t>Midi Dress / Dance Dress</t>
  </si>
  <si>
    <t>Dark Floral</t>
  </si>
  <si>
    <t>Peak Mar-Jul</t>
  </si>
  <si>
    <t>quarter zip women</t>
  </si>
  <si>
    <t>Quarter Zip Sport Shirt</t>
  </si>
  <si>
    <t>Athleisure</t>
  </si>
  <si>
    <t>Peak Oct-Mar (cold season)</t>
  </si>
  <si>
    <t>cottagecore dress</t>
  </si>
  <si>
    <t>Cottagecore</t>
  </si>
  <si>
    <t>bell sleeve dress</t>
  </si>
  <si>
    <t>Boho/Whimsigoth</t>
  </si>
  <si>
    <t>Peak Oct-Dec</t>
  </si>
  <si>
    <t>dark academia outfit</t>
  </si>
  <si>
    <t>Vest / Outwear</t>
  </si>
  <si>
    <t>Dark Academia</t>
  </si>
  <si>
    <t>Peak fall/winter</t>
  </si>
  <si>
    <t>wide leg jumpsuit</t>
  </si>
  <si>
    <t>Wide Leg Jumpsuit</t>
  </si>
  <si>
    <t>Boho/Gothic</t>
  </si>
  <si>
    <t>Peak Jun-Sep</t>
  </si>
  <si>
    <t>maxi skirt floral</t>
  </si>
  <si>
    <t>Chiffon Skirt / Side Split Skirt</t>
  </si>
  <si>
    <t>Boho/Cottagecore</t>
  </si>
  <si>
    <t>Peak May-Aug</t>
  </si>
  <si>
    <t>chiffon skirt</t>
  </si>
  <si>
    <t>Long Section Chiffon Skirt</t>
  </si>
  <si>
    <t>floral jumpsuit</t>
  </si>
  <si>
    <t>Wide Leg Jumpsuit / Cami Jumpsuit</t>
  </si>
  <si>
    <t>Boho/Floral</t>
  </si>
  <si>
    <t>Peak May-Jul</t>
  </si>
  <si>
    <t>whimsical dress</t>
  </si>
  <si>
    <t>Whimsigoth</t>
  </si>
  <si>
    <t>Peak Oct-Nov</t>
  </si>
  <si>
    <t>celestial dress</t>
  </si>
  <si>
    <t>Celestial</t>
  </si>
  <si>
    <t>Peak Nov-Mar</t>
  </si>
  <si>
    <t>witchy clothing</t>
  </si>
  <si>
    <t>All dark-aesthetic items</t>
  </si>
  <si>
    <t>Whimsigoth/Gothic</t>
  </si>
  <si>
    <t>mushroom dress</t>
  </si>
  <si>
    <t>Mushroom/Cottagecore</t>
  </si>
  <si>
    <t>mesh dress women</t>
  </si>
  <si>
    <t>Festival/Party</t>
  </si>
  <si>
    <t>vintage floral dress</t>
  </si>
  <si>
    <t>Vintage/Cottagecore</t>
  </si>
  <si>
    <t>Peak Mar-Jun</t>
  </si>
  <si>
    <t>floral wide leg pants</t>
  </si>
  <si>
    <t>Peak May-Oct</t>
  </si>
  <si>
    <t>floral cropped top</t>
  </si>
  <si>
    <t>boho jumpsuit</t>
  </si>
  <si>
    <t>Boho</t>
  </si>
  <si>
    <t>blazer vest women</t>
  </si>
  <si>
    <t>Sleeveless Blazer Vest</t>
  </si>
  <si>
    <t>dark floral skirt</t>
  </si>
  <si>
    <t>whimsigoth dress</t>
  </si>
  <si>
    <t>Peak Oct-Jan</t>
  </si>
  <si>
    <t>dance dress women</t>
  </si>
  <si>
    <t>Dance Dress (Printify)</t>
  </si>
  <si>
    <t>Dance/Performance</t>
  </si>
  <si>
    <t>moon and stars dress</t>
  </si>
  <si>
    <t>celestial clothing</t>
  </si>
  <si>
    <t>All celestial items</t>
  </si>
  <si>
    <t>boho two piece set</t>
  </si>
  <si>
    <t>T-shirt Shorts Suit</t>
  </si>
  <si>
    <t>Peak May-Sep</t>
  </si>
  <si>
    <t>gothic jumpsuit</t>
  </si>
  <si>
    <t>Gothic</t>
  </si>
  <si>
    <t>printed wide leg pants women</t>
  </si>
  <si>
    <t>Product Category</t>
  </si>
  <si>
    <t>Our Product(s)</t>
  </si>
  <si>
    <t>Our COGS</t>
  </si>
  <si>
    <t>Our Sale Price</t>
  </si>
  <si>
    <t>Our Listed (2x)</t>
  </si>
  <si>
    <t>Etsy Low</t>
  </si>
  <si>
    <t>Etsy Mid</t>
  </si>
  <si>
    <t>Etsy High</t>
  </si>
  <si>
    <t>Google Low</t>
  </si>
  <si>
    <t>Google Mid</t>
  </si>
  <si>
    <t>Google High</t>
  </si>
  <si>
    <t>Price Position</t>
  </si>
  <si>
    <t>Margin %</t>
  </si>
  <si>
    <t>Dark Floral Dress</t>
  </si>
  <si>
    <t>Midi Dress (#5)</t>
  </si>
  <si>
    <t>Mid-range competitive</t>
  </si>
  <si>
    <t>Gothic Dress</t>
  </si>
  <si>
    <t>Value positioning</t>
  </si>
  <si>
    <t>Bell Sleeve / See-Through Dress</t>
  </si>
  <si>
    <t>Bell Sleeve Dress (#6)</t>
  </si>
  <si>
    <t>Entry-level competitive</t>
  </si>
  <si>
    <t>Jumpsuit (#13)</t>
  </si>
  <si>
    <t>Mid-range value</t>
  </si>
  <si>
    <t>Cami Jumpsuit</t>
  </si>
  <si>
    <t>Cami Jumpsuit (#14)</t>
  </si>
  <si>
    <t>Matching Set (Gothic/Floral)</t>
  </si>
  <si>
    <t>Sweatshirt Suit (#2)</t>
  </si>
  <si>
    <t>Mid-range</t>
  </si>
  <si>
    <t>Two-Piece Set (Casual)</t>
  </si>
  <si>
    <t>T-shirt Shorts Suit (#3)</t>
  </si>
  <si>
    <t>Premium vs fast-fashion</t>
  </si>
  <si>
    <t>Loungewear / Cami Set</t>
  </si>
  <si>
    <t>Cami Home Suit (#4)</t>
  </si>
  <si>
    <t>Chiffon Maxi Skirt</t>
  </si>
  <si>
    <t>Chiffon Skirt (#7)</t>
  </si>
  <si>
    <t>Side Split Skirt</t>
  </si>
  <si>
    <t>Side Split Skirt (#8)</t>
  </si>
  <si>
    <t>Value</t>
  </si>
  <si>
    <t>Cropped Top (Floral/Celestial)</t>
  </si>
  <si>
    <t>Cropped Top (#10)</t>
  </si>
  <si>
    <t>Competitive entry</t>
  </si>
  <si>
    <t>Lace Trim Top</t>
  </si>
  <si>
    <t>Tie Back Top (#11)</t>
  </si>
  <si>
    <t>V-Neck Tee (AOP)</t>
  </si>
  <si>
    <t>V-neck Tee (#9)</t>
  </si>
  <si>
    <t>Quarter Zip (Floral)</t>
  </si>
  <si>
    <t>Quarter Zip (#16)</t>
  </si>
  <si>
    <t>Value vs retail</t>
  </si>
  <si>
    <t>Wide Leg Pants (Printed)</t>
  </si>
  <si>
    <t>Casual Pants (#15)</t>
  </si>
  <si>
    <t>Premium</t>
  </si>
  <si>
    <t>Wide Leg Trousers</t>
  </si>
  <si>
    <t>Trousers (#17)</t>
  </si>
  <si>
    <t>Blazer Vest</t>
  </si>
  <si>
    <t>Vest (#1)</t>
  </si>
  <si>
    <t>Outerwear Jacket</t>
  </si>
  <si>
    <t>Outwear (#12)</t>
  </si>
  <si>
    <t>Dance Dress (Long Sleeve)</t>
  </si>
  <si>
    <t>Dance Dress (#18)</t>
  </si>
  <si>
    <t>TRUMP TARIFF IMPACT ON YOYCOL (CHINA) IMPORTS — March 2026</t>
  </si>
  <si>
    <t>Current Tariff Structure (Post-Supreme Court Feb 2026)</t>
  </si>
  <si>
    <t>Tariff Layer</t>
  </si>
  <si>
    <t>Rate</t>
  </si>
  <si>
    <t>Status</t>
  </si>
  <si>
    <t>Notes</t>
  </si>
  <si>
    <t>Base MFN Duty (clothing)</t>
  </si>
  <si>
    <t>12-27%</t>
  </si>
  <si>
    <t>ACTIVE</t>
  </si>
  <si>
    <t>Varies by HTS code; polyester garments typically 12-16%</t>
  </si>
  <si>
    <t>Section 301 (Trump 1.0)</t>
  </si>
  <si>
    <t>7.5-25%</t>
  </si>
  <si>
    <t>Original China tariffs from 2018-2019; NOT struck down</t>
  </si>
  <si>
    <t>IEEPA Fentanyl Tariff</t>
  </si>
  <si>
    <t>0%</t>
  </si>
  <si>
    <t>STRUCK DOWN</t>
  </si>
  <si>
    <t>Was 10-20%; Supreme Court ruled unconstitutional Feb 2026</t>
  </si>
  <si>
    <t>IEEPA "Liberation Day" Tariff</t>
  </si>
  <si>
    <t>Was up to 145%; Supreme Court ruled unconstitutional Feb 2026</t>
  </si>
  <si>
    <t>Section 122 (new)</t>
  </si>
  <si>
    <t>15%</t>
  </si>
  <si>
    <t>PENDING</t>
  </si>
  <si>
    <t>Trump announced 15% global tariff; legal challenges expected</t>
  </si>
  <si>
    <t>De Minimis Exemption ($800)</t>
  </si>
  <si>
    <t>ELIMINATED</t>
  </si>
  <si>
    <t>No more duty-free for packages under $800 from China (May 2025)</t>
  </si>
  <si>
    <t>Effective Tariff Estimate for Polyester Clothing from China</t>
  </si>
  <si>
    <t>Scenario</t>
  </si>
  <si>
    <t>Base MFN</t>
  </si>
  <si>
    <t>Section 301</t>
  </si>
  <si>
    <t>Section 122</t>
  </si>
  <si>
    <t>Total Duty</t>
  </si>
  <si>
    <t>On $15 COGS</t>
  </si>
  <si>
    <t>Best Case</t>
  </si>
  <si>
    <t>Mid Case (with Sec 122)</t>
  </si>
  <si>
    <t>Worst Case</t>
  </si>
  <si>
    <t>Yoycol Shipping Costs to USA</t>
  </si>
  <si>
    <t>Method</t>
  </si>
  <si>
    <t>First Item</t>
  </si>
  <si>
    <t>Add'l Item</t>
  </si>
  <si>
    <t>Delivery Time</t>
  </si>
  <si>
    <t>Carriers</t>
  </si>
  <si>
    <t>Economy</t>
  </si>
  <si>
    <t>$6.00</t>
  </si>
  <si>
    <t>$2.00</t>
  </si>
  <si>
    <t>15-30 days</t>
  </si>
  <si>
    <t>YunExpress, 4PX</t>
  </si>
  <si>
    <t>Cheapest; complaints about delays</t>
  </si>
  <si>
    <t>Standard</t>
  </si>
  <si>
    <t>$6.80</t>
  </si>
  <si>
    <t>$2.50</t>
  </si>
  <si>
    <t>7-15 days</t>
  </si>
  <si>
    <t>YunExpress, YDH</t>
  </si>
  <si>
    <t>Best balance cost/speed</t>
  </si>
  <si>
    <t>Express</t>
  </si>
  <si>
    <t>$30.00+</t>
  </si>
  <si>
    <t>Varies</t>
  </si>
  <si>
    <t>3-7 days</t>
  </si>
  <si>
    <t>DHL, UPS</t>
  </si>
  <si>
    <t>Premium; use for high-value orders</t>
  </si>
  <si>
    <t>LANDED COST MODEL (Per Product — Mid-Case Tariff Scenario)</t>
  </si>
  <si>
    <t>Product</t>
  </si>
  <si>
    <t>COGS</t>
  </si>
  <si>
    <t>Shipping</t>
  </si>
  <si>
    <t>Tariff (38.5%)</t>
  </si>
  <si>
    <t>Customs Fee</t>
  </si>
  <si>
    <t>Total Landed</t>
  </si>
  <si>
    <t>Sale Price</t>
  </si>
  <si>
    <t>Etsy Fee (15%)</t>
  </si>
  <si>
    <t>Net Profit</t>
  </si>
  <si>
    <t>V-neck Tee</t>
  </si>
  <si>
    <t>Bell Sleeve Dress</t>
  </si>
  <si>
    <t>Chiffon Skirt</t>
  </si>
  <si>
    <t>Quarter Zip Shirt</t>
  </si>
  <si>
    <t>Outwear Jacket</t>
  </si>
  <si>
    <t>Sweatshirt Suit</t>
  </si>
  <si>
    <t>Casual Pants 290GSM</t>
  </si>
  <si>
    <t>NICHE × PRODUCT MATRIX — Recommended Launch Strategy</t>
  </si>
  <si>
    <t>Total Search Volume</t>
  </si>
  <si>
    <t>Top Keywords</t>
  </si>
  <si>
    <t>Best Products</t>
  </si>
  <si>
    <t>Etsy Price Range</t>
  </si>
  <si>
    <t>Our Price</t>
  </si>
  <si>
    <t>Competition Level</t>
  </si>
  <si>
    <t>Seasonal Peak</t>
  </si>
  <si>
    <t>Priority</t>
  </si>
  <si>
    <t>dark floral dress, floral midi dress, vintage floral dress, dark floral skirt</t>
  </si>
  <si>
    <t>Midi Dress, Dance Dress, Chiffon Skirt, Side Split Skirt</t>
  </si>
  <si>
    <t>$26-$97</t>
  </si>
  <si>
    <t>$25-$50</t>
  </si>
  <si>
    <t>HIGH</t>
  </si>
  <si>
    <t>Mar-Jul (dresses), Year-round (skirts)</t>
  </si>
  <si>
    <t>★★★★★</t>
  </si>
  <si>
    <t>Gothic / Whimsigoth</t>
  </si>
  <si>
    <t>gothic dress, whimsigoth dress, witchy clothing, whimsical dress</t>
  </si>
  <si>
    <t>Midi Dress, Bell Sleeve Dress, Wide Leg Jumpsuit, Matching Sets</t>
  </si>
  <si>
    <t>$30-$100</t>
  </si>
  <si>
    <t>$25-$45</t>
  </si>
  <si>
    <t>MEDIUM</t>
  </si>
  <si>
    <t>Oct-Feb (peak Halloween+holidays)</t>
  </si>
  <si>
    <t>cottagecore dress, cottagecore skirt, mushroom dress</t>
  </si>
  <si>
    <t>Midi Dress, Chiffon Skirt, Cami Home Suit, T-shirt Suit</t>
  </si>
  <si>
    <t>$20-$80</t>
  </si>
  <si>
    <t>$25-$40</t>
  </si>
  <si>
    <t>Year-round (slight spring bump)</t>
  </si>
  <si>
    <t>★★★★</t>
  </si>
  <si>
    <t>Celestial / Moon &amp; Stars</t>
  </si>
  <si>
    <t>celestial dress, moon and stars dress, celestial clothing, celestial jumpsuit</t>
  </si>
  <si>
    <t>Midi Dress, Dance Dress, Wide Leg Jumpsuit, Cropped Top</t>
  </si>
  <si>
    <t>$25-$96</t>
  </si>
  <si>
    <t>$15-$50</t>
  </si>
  <si>
    <t>Nov-Mar (gift season)</t>
  </si>
  <si>
    <t>Boho / Festival</t>
  </si>
  <si>
    <t>boho floral maxi dress, boho jumpsuit, boho two piece, see through dress</t>
  </si>
  <si>
    <t>Bell Sleeve Dress, Chiffon Skirt, Cami Jumpsuit, Cropped Top</t>
  </si>
  <si>
    <t>$18-$85</t>
  </si>
  <si>
    <t>$15-$45</t>
  </si>
  <si>
    <t>Apr-Sep (festival season)</t>
  </si>
  <si>
    <t>★★★</t>
  </si>
  <si>
    <t>dark academia outfit, blazer vest women</t>
  </si>
  <si>
    <t>Blazer Vest, Outwear Jacket, Quarter Zip</t>
  </si>
  <si>
    <t>$30-$120</t>
  </si>
  <si>
    <t>$35-$50</t>
  </si>
  <si>
    <t>LOW</t>
  </si>
  <si>
    <t>Aug-Nov (back to school)</t>
  </si>
  <si>
    <t>Matching Sets / Loungewear</t>
  </si>
  <si>
    <t>matching set women, two piece set women, loungewear set women</t>
  </si>
  <si>
    <t>Sweatshirt Suit, T-shirt Shorts Suit, Cami Home Suit</t>
  </si>
  <si>
    <t>$20-$88</t>
  </si>
  <si>
    <t>$30-$40</t>
  </si>
  <si>
    <t>Dec-Feb (gift/lounge season)</t>
  </si>
  <si>
    <t>$27-$140</t>
  </si>
  <si>
    <t>$35</t>
  </si>
  <si>
    <t>Oct-Mar (cold weather)</t>
  </si>
  <si>
    <t>Dance / Performance</t>
  </si>
  <si>
    <t>dance dress women, long sleeve dance dress</t>
  </si>
  <si>
    <t>$35-$120</t>
  </si>
  <si>
    <t>$50</t>
  </si>
  <si>
    <t>SPRING 2026 PRINT TRENDS — Visual Research Summary</t>
  </si>
  <si>
    <t>Trend / Motif</t>
  </si>
  <si>
    <t>Description</t>
  </si>
  <si>
    <t>Color Palette</t>
  </si>
  <si>
    <t>Product Fit</t>
  </si>
  <si>
    <t>Search Volume Signal</t>
  </si>
  <si>
    <t>Design Priority</t>
  </si>
  <si>
    <t>Dark Floral (Moody Botanicals)</t>
  </si>
  <si>
    <t>Oversized, painterly blooms on black/navy/forest green backgrounds. 2026 version is dramatic, not dainty.</t>
  </si>
  <si>
    <t>Black, Navy, Forest Green + Crimson, Blush, Gold</t>
  </si>
  <si>
    <t>Midi Dress, Chiffon Skirt, Jumpsuit, Dance Dress</t>
  </si>
  <si>
    <t>9,900/mo (dark floral dress) + 18,100 (floral midi)</t>
  </si>
  <si>
    <t>Gold/silver moons, constellations, zodiac on midnight blue/black. Mystical and ethereal.</t>
  </si>
  <si>
    <t>Black, Midnight Blue + Gold, Silver, Iridescent</t>
  </si>
  <si>
    <t>Midi Dress, Cropped Top, Wide Leg Jumpsuit</t>
  </si>
  <si>
    <t>2,900/mo (celestial dress) + 720 (moon &amp; stars)</t>
  </si>
  <si>
    <t>Mushroom / Dark Cottagecore</t>
  </si>
  <si>
    <t>Mushrooms, moths, ferns, snails on dark backgrounds. Whimsical but moody.</t>
  </si>
  <si>
    <t>Dark Brown, Forest Green, Black + Earth tones, Cream</t>
  </si>
  <si>
    <t>Midi Dress, Chiffon Skirt, Matching Sets</t>
  </si>
  <si>
    <t>1,900/mo (mushroom dress) + 6,600 (cottagecore)</t>
  </si>
  <si>
    <t>Skull &amp; Roses (Gothic Romance)</t>
  </si>
  <si>
    <t>Sugar skulls, roses, thorns. Day-of-the-dead meets Victorian romance.</t>
  </si>
  <si>
    <t>Black, Deep Red, Purple + Bone White, Gold</t>
  </si>
  <si>
    <t>Midi Dress, Bell Sleeve Dress, Jumpsuit</t>
  </si>
  <si>
    <t>22,200/mo (gothic dress) — huge volume</t>
  </si>
  <si>
    <t>Moth &amp; Luna Moth</t>
  </si>
  <si>
    <t>Detailed moth/butterfly illustrations on dark backgrounds. Death moth = proven winner for hoodies.</t>
  </si>
  <si>
    <t>Black, Navy + Gold, Green, Copper</t>
  </si>
  <si>
    <t>All products — proven design language</t>
  </si>
  <si>
    <t>50/mo (moth print dress) — niche but high intent</t>
  </si>
  <si>
    <t>Tarot / Divination</t>
  </si>
  <si>
    <t>Tarot cards, crystal balls, all-seeing eyes, mystical symbols.</t>
  </si>
  <si>
    <t>Black, Purple, Deep Blue + Gold, Silver</t>
  </si>
  <si>
    <t>Midi Dress, Cropped Top, Matching Sets</t>
  </si>
  <si>
    <t>70/mo (tarot clothing) — small but dedicated</t>
  </si>
  <si>
    <t>Vintage Chintz / Cabbage Rose</t>
  </si>
  <si>
    <t>Dense, traditional floral patterns. Classic English garden aesthetic.</t>
  </si>
  <si>
    <t>White, Ivory, Powder Blue + Pink, Red, Green</t>
  </si>
  <si>
    <t>Midi Dress, Chiffon Skirt, Bell Sleeve Dress</t>
  </si>
  <si>
    <t>1,600/mo (vintage floral dress)</t>
  </si>
  <si>
    <t>Polka Dot Revival</t>
  </si>
  <si>
    <t>Classic polka dots making comeback in 2026 runways. Playful, retro.</t>
  </si>
  <si>
    <t>Black &amp; White, Navy &amp; White, Red &amp; White</t>
  </si>
  <si>
    <t>Bell Sleeve Dress, Cropped Top, Skirts</t>
  </si>
  <si>
    <t>Trending on SS26 runways</t>
  </si>
  <si>
    <t>★★</t>
  </si>
  <si>
    <t>3D / Oversized Blooms</t>
  </si>
  <si>
    <t>Extra-large, almost photorealistic florals. Statement prints.</t>
  </si>
  <si>
    <t>Multi-color on dark or light backgrounds</t>
  </si>
  <si>
    <t>Midi Dress, Jumpsuit, Wide Leg Pants</t>
  </si>
  <si>
    <t>Emerging trend (runway signals)</t>
  </si>
  <si>
    <t>Botanical / Herbarium</t>
  </si>
  <si>
    <t>Scientific botanical illustrations. Pressed flower aesthetic.</t>
  </si>
  <si>
    <t>Cream, White + Green, Brown, Muted florals</t>
  </si>
  <si>
    <t>Chiffon Skirt, Midi Dress, Tee</t>
  </si>
  <si>
    <t>110/mo (botanical print dress) — growing</t>
  </si>
  <si>
    <t>PRODUCT LAUNCH PRIORITY — Ranked by Market Opportunity</t>
  </si>
  <si>
    <t>Rank</t>
  </si>
  <si>
    <t>SPU</t>
  </si>
  <si>
    <t>Landed Cost (est)</t>
  </si>
  <si>
    <t>Net Profit (est)</t>
  </si>
  <si>
    <t>Top Niches</t>
  </si>
  <si>
    <t>Combined Search Vol</t>
  </si>
  <si>
    <t>Etsy vs Google</t>
  </si>
  <si>
    <t>Launch Priority</t>
  </si>
  <si>
    <t>3WDSJC66</t>
  </si>
  <si>
    <t>Dark Floral, Gothic, Celestial, Cottagecore, Mushroom</t>
  </si>
  <si>
    <t>BOTH — hero product</t>
  </si>
  <si>
    <t>LAUNCH NOW</t>
  </si>
  <si>
    <t>Sleeveless Cropped Top (#10)</t>
  </si>
  <si>
    <t>3WTTWX04</t>
  </si>
  <si>
    <t>All niches — cheapest COGS</t>
  </si>
  <si>
    <t>BOTH — impulse buy</t>
  </si>
  <si>
    <t>Wide Leg Jumpsuit (#13)</t>
  </si>
  <si>
    <t>3WJMCK26</t>
  </si>
  <si>
    <t>Gothic, Boho, Dark Floral</t>
  </si>
  <si>
    <t>BOTH</t>
  </si>
  <si>
    <t>Bell Sleeve See-Through Dress (#6)</t>
  </si>
  <si>
    <t>3WTXTC40</t>
  </si>
  <si>
    <t>Boho/Festival, Gothic, Whimsigoth</t>
  </si>
  <si>
    <t>Google primary</t>
  </si>
  <si>
    <t>Long Section Chiffon Skirt (#7)</t>
  </si>
  <si>
    <t>3WDSBQ67</t>
  </si>
  <si>
    <t>Dark Floral, Cottagecore, Boho</t>
  </si>
  <si>
    <t>Short Sweatshirt Suit (#2)</t>
  </si>
  <si>
    <t>3WSCDK06</t>
  </si>
  <si>
    <t>Matching Sets, Loungewear, Gothic</t>
  </si>
  <si>
    <t>WAVE 2</t>
  </si>
  <si>
    <t>3WSCDD29</t>
  </si>
  <si>
    <t>Loungewear, Gift, Cottagecore</t>
  </si>
  <si>
    <t>Quarter Zip Sport Shirt (#16)</t>
  </si>
  <si>
    <t>3WTXPC47</t>
  </si>
  <si>
    <t>Athleisure, Dark Academia</t>
  </si>
  <si>
    <t>3WDSKC50</t>
  </si>
  <si>
    <t>Dark Floral, Gothic, Boho</t>
  </si>
  <si>
    <t>Wide Leg Trousers (#17)</t>
  </si>
  <si>
    <t>3WPXKT19</t>
  </si>
  <si>
    <t>Boho, Dark Floral</t>
  </si>
  <si>
    <t>Blazer Vest (#1)</t>
  </si>
  <si>
    <t>3WOCMJ25</t>
  </si>
  <si>
    <t>WAVE 3</t>
  </si>
  <si>
    <t>WEVT</t>
  </si>
  <si>
    <t>Multi-niche entry</t>
  </si>
  <si>
    <t>Lace Trim Top (#11)</t>
  </si>
  <si>
    <t>3WTTXD41</t>
  </si>
  <si>
    <t>Gothic, Cottagecore, Boho</t>
  </si>
  <si>
    <t>Etsy primary</t>
  </si>
  <si>
    <t>3WSCTZ01</t>
  </si>
  <si>
    <t>Matching Sets, Boho</t>
  </si>
  <si>
    <t>Outwear Jacket (#12)</t>
  </si>
  <si>
    <t>3WOSCX10</t>
  </si>
  <si>
    <t>Dark Academia, Gothic</t>
  </si>
  <si>
    <t>Loose Cami Jumpsuit (#14)</t>
  </si>
  <si>
    <t>3WJMDD01</t>
  </si>
  <si>
    <t>Boho, Cottagecore</t>
  </si>
  <si>
    <t>Casual Pants 290GSM (#15)</t>
  </si>
  <si>
    <t>3WPXZB07</t>
  </si>
  <si>
    <t>EVALUATE</t>
  </si>
  <si>
    <t>Dance Dress - Printify (#18)</t>
  </si>
  <si>
    <t>BP1263</t>
  </si>
  <si>
    <t>Celestial, 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</si>
</sst>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color rgb="FF1F4E79"/>
      <name val="Arial"/>
      <charset val="1"/>
    </font>
    <font>
      <b/>
      <sz val="10"/>
      <name val="Arial"/>
      <charset val="1"/>
    </font>
    <font>
      <b/>
      <sz val="12"/>
      <color rgb="FFFF0000"/>
      <name val="Arial"/>
      <charset val="1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FFFCC"/>
      </patternFill>
    </fill>
    <fill>
      <patternFill patternType="solid">
        <fgColor rgb="FFD6E4F0"/>
        <bgColor rgb="FFC6EFCE"/>
      </patternFill>
    </fill>
    <fill>
      <patternFill patternType="solid">
        <fgColor rgb="FFFFC7CE"/>
        <bgColor rgb="FFF4B084"/>
      </patternFill>
    </fill>
    <fill>
      <patternFill patternType="solid">
        <fgColor rgb="FFF4B084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 applyBorder="1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3" fontId="2" fillId="3" borderId="1" xfId="0" applyNumberFormat="1" applyFont="1" applyFill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165" fontId="2" fillId="0" borderId="1" xfId="0" applyNumberFormat="1" applyFont="1" applyBorder="1" applyAlignment="1">
      <alignment wrapText="1"/>
    </xf>
    <xf numFmtId="3" fontId="2" fillId="4" borderId="1" xfId="0" applyNumberFormat="1" applyFont="1" applyFill="1" applyBorder="1" applyAlignment="1">
      <alignment wrapText="1"/>
    </xf>
    <xf numFmtId="3" fontId="2" fillId="5" borderId="1" xfId="0" applyNumberFormat="1" applyFont="1" applyFill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0" fontId="4" fillId="0" borderId="0" xfId="0" applyFont="1"/>
    <xf numFmtId="0" fontId="2" fillId="6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4" fillId="0" borderId="1" xfId="0" applyFont="1" applyBorder="1"/>
    <xf numFmtId="165" fontId="0" fillId="0" borderId="1" xfId="0" applyNumberFormat="1" applyBorder="1"/>
    <xf numFmtId="165" fontId="0" fillId="3" borderId="1" xfId="0" applyNumberFormat="1" applyFill="1" applyBorder="1"/>
    <xf numFmtId="164" fontId="0" fillId="0" borderId="1" xfId="0" applyNumberFormat="1" applyBorder="1"/>
    <xf numFmtId="165" fontId="0" fillId="4" borderId="1" xfId="0" applyNumberFormat="1" applyFill="1" applyBorder="1"/>
    <xf numFmtId="165" fontId="0" fillId="6" borderId="1" xfId="0" applyNumberFormat="1" applyFill="1" applyBorder="1"/>
    <xf numFmtId="0" fontId="5" fillId="0" borderId="0" xfId="0" applyFont="1"/>
    <xf numFmtId="0" fontId="2" fillId="0" borderId="1" xfId="0" applyFont="1" applyBorder="1"/>
    <xf numFmtId="164" fontId="4" fillId="0" borderId="1" xfId="0" applyNumberFormat="1" applyFont="1" applyBorder="1"/>
    <xf numFmtId="0" fontId="2" fillId="5" borderId="1" xfId="0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165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4B084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zoomScaleNormal="100" workbookViewId="0">
      <pane ySplit="1" topLeftCell="A2" activePane="bottomLeft" state="frozen"/>
      <selection pane="bottomLeft" activeCell="A6" sqref="A6"/>
    </sheetView>
  </sheetViews>
  <sheetFormatPr defaultColWidth="8.6640625" defaultRowHeight="15" customHeight="1" x14ac:dyDescent="0.3"/>
  <cols>
    <col min="1" max="1" width="30" customWidth="1"/>
    <col min="2" max="2" width="14" customWidth="1"/>
    <col min="3" max="3" width="10" customWidth="1"/>
    <col min="4" max="4" width="12" customWidth="1"/>
    <col min="5" max="5" width="30" customWidth="1"/>
    <col min="6" max="6" width="22" customWidth="1"/>
    <col min="7" max="7" width="26" customWidth="1"/>
    <col min="8" max="8" width="18" customWidth="1"/>
  </cols>
  <sheetData>
    <row r="1" spans="1:8" ht="28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4.4" x14ac:dyDescent="0.3">
      <c r="A2" s="3" t="s">
        <v>8</v>
      </c>
      <c r="B2" s="4">
        <v>135000</v>
      </c>
      <c r="C2" s="5">
        <v>0.39</v>
      </c>
      <c r="D2" s="6">
        <v>0.82</v>
      </c>
      <c r="E2" s="3" t="s">
        <v>9</v>
      </c>
      <c r="F2" s="3" t="s">
        <v>10</v>
      </c>
      <c r="G2" s="3" t="s">
        <v>11</v>
      </c>
      <c r="H2" s="3" t="s">
        <v>12</v>
      </c>
    </row>
    <row r="3" spans="1:8" ht="14.4" x14ac:dyDescent="0.3">
      <c r="A3" s="3" t="s">
        <v>13</v>
      </c>
      <c r="B3" s="4">
        <v>40500</v>
      </c>
      <c r="C3" s="5">
        <v>0.51</v>
      </c>
      <c r="D3" s="6">
        <v>1</v>
      </c>
      <c r="E3" s="3" t="s">
        <v>14</v>
      </c>
      <c r="F3" s="3" t="s">
        <v>10</v>
      </c>
      <c r="G3" s="3" t="s">
        <v>15</v>
      </c>
      <c r="H3" s="3" t="s">
        <v>16</v>
      </c>
    </row>
    <row r="4" spans="1:8" ht="14.4" x14ac:dyDescent="0.3">
      <c r="A4" s="3" t="s">
        <v>17</v>
      </c>
      <c r="B4" s="4">
        <v>22200</v>
      </c>
      <c r="C4" s="5">
        <v>0.33</v>
      </c>
      <c r="D4" s="6">
        <v>1</v>
      </c>
      <c r="E4" s="3" t="s">
        <v>18</v>
      </c>
      <c r="F4" s="3" t="s">
        <v>19</v>
      </c>
      <c r="G4" s="3" t="s">
        <v>20</v>
      </c>
      <c r="H4" s="3" t="s">
        <v>21</v>
      </c>
    </row>
    <row r="5" spans="1:8" ht="14.4" x14ac:dyDescent="0.3">
      <c r="A5" s="3" t="s">
        <v>22</v>
      </c>
      <c r="B5" s="4">
        <v>18100</v>
      </c>
      <c r="C5" s="5">
        <v>0.6</v>
      </c>
      <c r="D5" s="6">
        <v>1</v>
      </c>
      <c r="E5" s="3" t="s">
        <v>23</v>
      </c>
      <c r="F5" s="3" t="s">
        <v>10</v>
      </c>
      <c r="G5" s="3" t="s">
        <v>24</v>
      </c>
      <c r="H5" s="3" t="s">
        <v>12</v>
      </c>
    </row>
    <row r="6" spans="1:8" ht="14.4" x14ac:dyDescent="0.3">
      <c r="A6" s="3" t="s">
        <v>25</v>
      </c>
      <c r="B6" s="4">
        <v>18100</v>
      </c>
      <c r="C6" s="5">
        <v>0.37</v>
      </c>
      <c r="D6" s="6">
        <v>1</v>
      </c>
      <c r="E6" s="3" t="s">
        <v>26</v>
      </c>
      <c r="F6" s="3" t="s">
        <v>10</v>
      </c>
      <c r="G6" s="3" t="s">
        <v>27</v>
      </c>
      <c r="H6" s="3" t="s">
        <v>16</v>
      </c>
    </row>
    <row r="7" spans="1:8" ht="14.4" x14ac:dyDescent="0.3">
      <c r="A7" s="3" t="s">
        <v>28</v>
      </c>
      <c r="B7" s="4">
        <v>18100</v>
      </c>
      <c r="C7" s="5">
        <v>0.37</v>
      </c>
      <c r="D7" s="6">
        <v>1</v>
      </c>
      <c r="E7" s="3" t="s">
        <v>29</v>
      </c>
      <c r="F7" s="3" t="s">
        <v>30</v>
      </c>
      <c r="G7" s="3" t="s">
        <v>31</v>
      </c>
      <c r="H7" s="3" t="s">
        <v>16</v>
      </c>
    </row>
    <row r="8" spans="1:8" ht="14.4" x14ac:dyDescent="0.3">
      <c r="A8" s="3" t="s">
        <v>32</v>
      </c>
      <c r="B8" s="4">
        <v>14800</v>
      </c>
      <c r="C8" s="5">
        <v>0.73</v>
      </c>
      <c r="D8" s="6">
        <v>1</v>
      </c>
      <c r="E8" s="3" t="s">
        <v>33</v>
      </c>
      <c r="F8" s="3" t="s">
        <v>34</v>
      </c>
      <c r="G8" s="3" t="s">
        <v>35</v>
      </c>
      <c r="H8" s="3" t="s">
        <v>16</v>
      </c>
    </row>
    <row r="9" spans="1:8" ht="14.4" x14ac:dyDescent="0.3">
      <c r="A9" s="3" t="s">
        <v>36</v>
      </c>
      <c r="B9" s="4">
        <v>14800</v>
      </c>
      <c r="C9" s="5">
        <v>0.4</v>
      </c>
      <c r="D9" s="6">
        <v>0.5</v>
      </c>
      <c r="E9" s="3" t="s">
        <v>37</v>
      </c>
      <c r="F9" s="3" t="s">
        <v>38</v>
      </c>
      <c r="G9" s="3" t="s">
        <v>27</v>
      </c>
      <c r="H9" s="3" t="s">
        <v>16</v>
      </c>
    </row>
    <row r="10" spans="1:8" ht="14.4" x14ac:dyDescent="0.3">
      <c r="A10" s="3" t="s">
        <v>39</v>
      </c>
      <c r="B10" s="7">
        <v>9900</v>
      </c>
      <c r="C10" s="5">
        <v>0.35</v>
      </c>
      <c r="D10" s="6">
        <v>1</v>
      </c>
      <c r="E10" s="3" t="s">
        <v>40</v>
      </c>
      <c r="F10" s="3" t="s">
        <v>41</v>
      </c>
      <c r="G10" s="3" t="s">
        <v>42</v>
      </c>
      <c r="H10" s="3" t="s">
        <v>12</v>
      </c>
    </row>
    <row r="11" spans="1:8" ht="14.4" x14ac:dyDescent="0.3">
      <c r="A11" s="3" t="s">
        <v>43</v>
      </c>
      <c r="B11" s="7">
        <v>8100</v>
      </c>
      <c r="C11" s="5">
        <v>0.7</v>
      </c>
      <c r="D11" s="6">
        <v>1</v>
      </c>
      <c r="E11" s="3" t="s">
        <v>44</v>
      </c>
      <c r="F11" s="3" t="s">
        <v>45</v>
      </c>
      <c r="G11" s="3" t="s">
        <v>46</v>
      </c>
      <c r="H11" s="3" t="s">
        <v>16</v>
      </c>
    </row>
    <row r="12" spans="1:8" ht="14.4" x14ac:dyDescent="0.3">
      <c r="A12" s="3" t="s">
        <v>47</v>
      </c>
      <c r="B12" s="7">
        <v>6600</v>
      </c>
      <c r="C12" s="5">
        <v>0.28000000000000003</v>
      </c>
      <c r="D12" s="6">
        <v>1</v>
      </c>
      <c r="E12" s="3" t="s">
        <v>29</v>
      </c>
      <c r="F12" s="3" t="s">
        <v>48</v>
      </c>
      <c r="G12" s="3" t="s">
        <v>27</v>
      </c>
      <c r="H12" s="3" t="s">
        <v>21</v>
      </c>
    </row>
    <row r="13" spans="1:8" ht="14.4" x14ac:dyDescent="0.3">
      <c r="A13" s="3" t="s">
        <v>49</v>
      </c>
      <c r="B13" s="7">
        <v>6600</v>
      </c>
      <c r="C13" s="5">
        <v>0.36</v>
      </c>
      <c r="D13" s="6">
        <v>1</v>
      </c>
      <c r="E13" s="3" t="s">
        <v>37</v>
      </c>
      <c r="F13" s="3" t="s">
        <v>50</v>
      </c>
      <c r="G13" s="3" t="s">
        <v>51</v>
      </c>
      <c r="H13" s="3" t="s">
        <v>12</v>
      </c>
    </row>
    <row r="14" spans="1:8" ht="14.4" x14ac:dyDescent="0.3">
      <c r="A14" s="3" t="s">
        <v>52</v>
      </c>
      <c r="B14" s="7">
        <v>6600</v>
      </c>
      <c r="C14" s="5">
        <v>0.49</v>
      </c>
      <c r="D14" s="6">
        <v>0.62</v>
      </c>
      <c r="E14" s="3" t="s">
        <v>53</v>
      </c>
      <c r="F14" s="3" t="s">
        <v>54</v>
      </c>
      <c r="G14" s="3" t="s">
        <v>55</v>
      </c>
      <c r="H14" s="3" t="s">
        <v>21</v>
      </c>
    </row>
    <row r="15" spans="1:8" ht="14.4" x14ac:dyDescent="0.3">
      <c r="A15" s="3" t="s">
        <v>56</v>
      </c>
      <c r="B15" s="7">
        <v>5400</v>
      </c>
      <c r="C15" s="5">
        <v>0.35</v>
      </c>
      <c r="D15" s="6">
        <v>0.99</v>
      </c>
      <c r="E15" s="3" t="s">
        <v>57</v>
      </c>
      <c r="F15" s="3" t="s">
        <v>58</v>
      </c>
      <c r="G15" s="3" t="s">
        <v>59</v>
      </c>
      <c r="H15" s="3" t="s">
        <v>12</v>
      </c>
    </row>
    <row r="16" spans="1:8" ht="14.4" x14ac:dyDescent="0.3">
      <c r="A16" s="3" t="s">
        <v>60</v>
      </c>
      <c r="B16" s="7">
        <v>5400</v>
      </c>
      <c r="C16" s="5">
        <v>0.42</v>
      </c>
      <c r="D16" s="6">
        <v>1</v>
      </c>
      <c r="E16" s="3" t="s">
        <v>61</v>
      </c>
      <c r="F16" s="3" t="s">
        <v>62</v>
      </c>
      <c r="G16" s="3" t="s">
        <v>63</v>
      </c>
      <c r="H16" s="3" t="s">
        <v>16</v>
      </c>
    </row>
    <row r="17" spans="1:8" ht="14.4" x14ac:dyDescent="0.3">
      <c r="A17" s="3" t="s">
        <v>64</v>
      </c>
      <c r="B17" s="7">
        <v>3600</v>
      </c>
      <c r="C17" s="5">
        <v>0.31</v>
      </c>
      <c r="D17" s="6">
        <v>1</v>
      </c>
      <c r="E17" s="3" t="s">
        <v>65</v>
      </c>
      <c r="F17" s="3" t="s">
        <v>10</v>
      </c>
      <c r="G17" s="3" t="s">
        <v>27</v>
      </c>
      <c r="H17" s="3" t="s">
        <v>16</v>
      </c>
    </row>
    <row r="18" spans="1:8" ht="27" x14ac:dyDescent="0.3">
      <c r="A18" s="3" t="s">
        <v>66</v>
      </c>
      <c r="B18" s="7">
        <v>3600</v>
      </c>
      <c r="C18" s="5">
        <v>0.46</v>
      </c>
      <c r="D18" s="6">
        <v>1</v>
      </c>
      <c r="E18" s="3" t="s">
        <v>67</v>
      </c>
      <c r="F18" s="3" t="s">
        <v>68</v>
      </c>
      <c r="G18" s="3" t="s">
        <v>69</v>
      </c>
      <c r="H18" s="3" t="s">
        <v>12</v>
      </c>
    </row>
    <row r="19" spans="1:8" ht="14.4" x14ac:dyDescent="0.3">
      <c r="A19" s="3" t="s">
        <v>70</v>
      </c>
      <c r="B19" s="7">
        <v>3600</v>
      </c>
      <c r="C19" s="5">
        <v>0.32</v>
      </c>
      <c r="D19" s="6">
        <v>1</v>
      </c>
      <c r="E19" s="3" t="s">
        <v>40</v>
      </c>
      <c r="F19" s="3" t="s">
        <v>71</v>
      </c>
      <c r="G19" s="3" t="s">
        <v>72</v>
      </c>
      <c r="H19" s="3" t="s">
        <v>21</v>
      </c>
    </row>
    <row r="20" spans="1:8" ht="14.4" x14ac:dyDescent="0.3">
      <c r="A20" s="3" t="s">
        <v>73</v>
      </c>
      <c r="B20" s="8">
        <v>2900</v>
      </c>
      <c r="C20" s="5">
        <v>0.45</v>
      </c>
      <c r="D20" s="6">
        <v>1</v>
      </c>
      <c r="E20" s="3" t="s">
        <v>40</v>
      </c>
      <c r="F20" s="3" t="s">
        <v>74</v>
      </c>
      <c r="G20" s="3" t="s">
        <v>75</v>
      </c>
      <c r="H20" s="3" t="s">
        <v>21</v>
      </c>
    </row>
    <row r="21" spans="1:8" ht="14.4" x14ac:dyDescent="0.3">
      <c r="A21" s="3" t="s">
        <v>76</v>
      </c>
      <c r="B21" s="8">
        <v>2900</v>
      </c>
      <c r="C21" s="5">
        <v>0.5</v>
      </c>
      <c r="D21" s="6">
        <v>1</v>
      </c>
      <c r="E21" s="3" t="s">
        <v>77</v>
      </c>
      <c r="F21" s="3" t="s">
        <v>78</v>
      </c>
      <c r="G21" s="3" t="s">
        <v>51</v>
      </c>
      <c r="H21" s="3" t="s">
        <v>21</v>
      </c>
    </row>
    <row r="22" spans="1:8" ht="14.4" x14ac:dyDescent="0.3">
      <c r="A22" s="3" t="s">
        <v>79</v>
      </c>
      <c r="B22" s="8">
        <v>1900</v>
      </c>
      <c r="C22" s="5">
        <v>0.39</v>
      </c>
      <c r="D22" s="6">
        <v>0.92</v>
      </c>
      <c r="E22" s="3" t="s">
        <v>29</v>
      </c>
      <c r="F22" s="3" t="s">
        <v>80</v>
      </c>
      <c r="G22" s="3" t="s">
        <v>69</v>
      </c>
      <c r="H22" s="3" t="s">
        <v>21</v>
      </c>
    </row>
    <row r="23" spans="1:8" ht="14.4" x14ac:dyDescent="0.3">
      <c r="A23" s="3" t="s">
        <v>81</v>
      </c>
      <c r="B23" s="8">
        <v>1900</v>
      </c>
      <c r="C23" s="5">
        <v>0.28000000000000003</v>
      </c>
      <c r="D23" s="6">
        <v>1</v>
      </c>
      <c r="E23" s="3" t="s">
        <v>37</v>
      </c>
      <c r="F23" s="3" t="s">
        <v>82</v>
      </c>
      <c r="G23" s="3" t="s">
        <v>27</v>
      </c>
      <c r="H23" s="3" t="s">
        <v>16</v>
      </c>
    </row>
    <row r="24" spans="1:8" ht="14.4" x14ac:dyDescent="0.3">
      <c r="A24" s="3" t="s">
        <v>83</v>
      </c>
      <c r="B24" s="8">
        <v>1600</v>
      </c>
      <c r="C24" s="5">
        <v>0.33</v>
      </c>
      <c r="D24" s="6">
        <v>1</v>
      </c>
      <c r="E24" s="3" t="s">
        <v>29</v>
      </c>
      <c r="F24" s="3" t="s">
        <v>84</v>
      </c>
      <c r="G24" s="3" t="s">
        <v>85</v>
      </c>
      <c r="H24" s="3" t="s">
        <v>16</v>
      </c>
    </row>
    <row r="25" spans="1:8" ht="14.4" x14ac:dyDescent="0.3">
      <c r="A25" s="3" t="s">
        <v>86</v>
      </c>
      <c r="B25" s="8">
        <v>1300</v>
      </c>
      <c r="C25" s="5">
        <v>0.43</v>
      </c>
      <c r="D25" s="6">
        <v>1</v>
      </c>
      <c r="E25" s="3" t="s">
        <v>14</v>
      </c>
      <c r="F25" s="3" t="s">
        <v>68</v>
      </c>
      <c r="G25" s="3" t="s">
        <v>87</v>
      </c>
      <c r="H25" s="3" t="s">
        <v>16</v>
      </c>
    </row>
    <row r="26" spans="1:8" ht="14.4" x14ac:dyDescent="0.3">
      <c r="A26" s="3" t="s">
        <v>88</v>
      </c>
      <c r="B26" s="8">
        <v>1300</v>
      </c>
      <c r="C26" s="5">
        <v>0.42</v>
      </c>
      <c r="D26" s="6">
        <v>0.99</v>
      </c>
      <c r="E26" s="3" t="s">
        <v>9</v>
      </c>
      <c r="F26" s="3" t="s">
        <v>68</v>
      </c>
      <c r="G26" s="3" t="s">
        <v>63</v>
      </c>
      <c r="H26" s="3" t="s">
        <v>16</v>
      </c>
    </row>
    <row r="27" spans="1:8" ht="27" x14ac:dyDescent="0.3">
      <c r="A27" s="3" t="s">
        <v>89</v>
      </c>
      <c r="B27" s="8">
        <v>1000</v>
      </c>
      <c r="C27" s="5">
        <v>0.38</v>
      </c>
      <c r="D27" s="6">
        <v>0.94</v>
      </c>
      <c r="E27" s="3" t="s">
        <v>67</v>
      </c>
      <c r="F27" s="3" t="s">
        <v>90</v>
      </c>
      <c r="G27" s="3" t="s">
        <v>63</v>
      </c>
      <c r="H27" s="3" t="s">
        <v>21</v>
      </c>
    </row>
    <row r="28" spans="1:8" ht="14.4" x14ac:dyDescent="0.3">
      <c r="A28" s="3" t="s">
        <v>91</v>
      </c>
      <c r="B28" s="8">
        <v>1000</v>
      </c>
      <c r="C28" s="5">
        <v>0.37</v>
      </c>
      <c r="D28" s="6">
        <v>1</v>
      </c>
      <c r="E28" s="3" t="s">
        <v>92</v>
      </c>
      <c r="F28" s="3" t="s">
        <v>54</v>
      </c>
      <c r="G28" s="3" t="s">
        <v>27</v>
      </c>
      <c r="H28" s="3" t="s">
        <v>16</v>
      </c>
    </row>
    <row r="29" spans="1:8" ht="14.4" x14ac:dyDescent="0.3">
      <c r="A29" s="3" t="s">
        <v>93</v>
      </c>
      <c r="B29" s="9">
        <v>880</v>
      </c>
      <c r="C29" s="5">
        <v>0.55000000000000004</v>
      </c>
      <c r="D29" s="6">
        <v>1</v>
      </c>
      <c r="E29" s="3" t="s">
        <v>61</v>
      </c>
      <c r="F29" s="3" t="s">
        <v>41</v>
      </c>
      <c r="G29" s="3" t="s">
        <v>27</v>
      </c>
      <c r="H29" s="3" t="s">
        <v>21</v>
      </c>
    </row>
    <row r="30" spans="1:8" ht="14.4" x14ac:dyDescent="0.3">
      <c r="A30" s="3" t="s">
        <v>94</v>
      </c>
      <c r="B30" s="9">
        <v>880</v>
      </c>
      <c r="C30" s="5">
        <v>0.28000000000000003</v>
      </c>
      <c r="D30" s="6">
        <v>1</v>
      </c>
      <c r="E30" s="3" t="s">
        <v>40</v>
      </c>
      <c r="F30" s="3" t="s">
        <v>71</v>
      </c>
      <c r="G30" s="3" t="s">
        <v>95</v>
      </c>
      <c r="H30" s="3" t="s">
        <v>21</v>
      </c>
    </row>
    <row r="31" spans="1:8" ht="14.4" x14ac:dyDescent="0.3">
      <c r="A31" s="3" t="s">
        <v>96</v>
      </c>
      <c r="B31" s="9">
        <v>880</v>
      </c>
      <c r="C31" s="5">
        <v>0.35</v>
      </c>
      <c r="D31" s="6">
        <v>1</v>
      </c>
      <c r="E31" s="3" t="s">
        <v>97</v>
      </c>
      <c r="F31" s="3" t="s">
        <v>98</v>
      </c>
      <c r="G31" s="3" t="s">
        <v>27</v>
      </c>
      <c r="H31" s="3" t="s">
        <v>16</v>
      </c>
    </row>
    <row r="32" spans="1:8" ht="14.4" x14ac:dyDescent="0.3">
      <c r="A32" s="3" t="s">
        <v>99</v>
      </c>
      <c r="B32" s="9">
        <v>720</v>
      </c>
      <c r="C32" s="5">
        <v>0.38</v>
      </c>
      <c r="D32" s="6">
        <v>1</v>
      </c>
      <c r="E32" s="3" t="s">
        <v>40</v>
      </c>
      <c r="F32" s="3" t="s">
        <v>74</v>
      </c>
      <c r="G32" s="3" t="s">
        <v>51</v>
      </c>
      <c r="H32" s="3" t="s">
        <v>21</v>
      </c>
    </row>
    <row r="33" spans="1:8" ht="14.4" x14ac:dyDescent="0.3">
      <c r="A33" s="3" t="s">
        <v>100</v>
      </c>
      <c r="B33" s="9">
        <v>720</v>
      </c>
      <c r="C33" s="5">
        <v>0.42</v>
      </c>
      <c r="D33" s="6">
        <v>1</v>
      </c>
      <c r="E33" s="3" t="s">
        <v>101</v>
      </c>
      <c r="F33" s="3" t="s">
        <v>74</v>
      </c>
      <c r="G33" s="3" t="s">
        <v>27</v>
      </c>
      <c r="H33" s="3" t="s">
        <v>21</v>
      </c>
    </row>
    <row r="34" spans="1:8" ht="14.4" x14ac:dyDescent="0.3">
      <c r="A34" s="3" t="s">
        <v>102</v>
      </c>
      <c r="B34" s="9">
        <v>480</v>
      </c>
      <c r="C34" s="5">
        <v>0.28999999999999998</v>
      </c>
      <c r="D34" s="6">
        <v>1</v>
      </c>
      <c r="E34" s="3" t="s">
        <v>103</v>
      </c>
      <c r="F34" s="3" t="s">
        <v>90</v>
      </c>
      <c r="G34" s="3" t="s">
        <v>104</v>
      </c>
      <c r="H34" s="3" t="s">
        <v>21</v>
      </c>
    </row>
    <row r="35" spans="1:8" ht="14.4" x14ac:dyDescent="0.3">
      <c r="A35" s="3" t="s">
        <v>105</v>
      </c>
      <c r="B35" s="9">
        <v>320</v>
      </c>
      <c r="C35" s="5">
        <v>0.5</v>
      </c>
      <c r="D35" s="6">
        <v>1</v>
      </c>
      <c r="E35" s="3" t="s">
        <v>57</v>
      </c>
      <c r="F35" s="3" t="s">
        <v>106</v>
      </c>
      <c r="G35" s="3" t="s">
        <v>27</v>
      </c>
      <c r="H35" s="3" t="s">
        <v>21</v>
      </c>
    </row>
    <row r="36" spans="1:8" ht="14.4" x14ac:dyDescent="0.3">
      <c r="A36" s="3" t="s">
        <v>107</v>
      </c>
      <c r="B36" s="9">
        <v>320</v>
      </c>
      <c r="C36" s="5">
        <v>0.32</v>
      </c>
      <c r="D36" s="6">
        <v>1</v>
      </c>
      <c r="E36" s="3" t="s">
        <v>14</v>
      </c>
      <c r="F36" s="3" t="s">
        <v>10</v>
      </c>
      <c r="G36" s="3" t="s">
        <v>87</v>
      </c>
      <c r="H36" s="3" t="s">
        <v>16</v>
      </c>
    </row>
  </sheetData>
  <autoFilter ref="A1:H36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zoomScaleNormal="100" workbookViewId="0">
      <pane ySplit="1" topLeftCell="A2" activePane="bottomLeft" state="frozen"/>
      <selection pane="bottomLeft" activeCell="D13" sqref="D13"/>
    </sheetView>
  </sheetViews>
  <sheetFormatPr defaultColWidth="8.6640625" defaultRowHeight="15" customHeight="1" x14ac:dyDescent="0.3"/>
  <cols>
    <col min="1" max="1" width="28" customWidth="1"/>
    <col min="2" max="2" width="25" customWidth="1"/>
    <col min="3" max="3" width="10" customWidth="1"/>
    <col min="4" max="5" width="12" customWidth="1"/>
    <col min="6" max="11" width="10" customWidth="1"/>
    <col min="12" max="12" width="22" customWidth="1"/>
    <col min="13" max="13" width="10" customWidth="1"/>
  </cols>
  <sheetData>
    <row r="1" spans="1:13" ht="28.2" x14ac:dyDescent="0.3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117</v>
      </c>
      <c r="K1" s="2" t="s">
        <v>118</v>
      </c>
      <c r="L1" s="2" t="s">
        <v>119</v>
      </c>
      <c r="M1" s="2" t="s">
        <v>120</v>
      </c>
    </row>
    <row r="2" spans="1:13" ht="14.4" x14ac:dyDescent="0.3">
      <c r="A2" s="3" t="s">
        <v>121</v>
      </c>
      <c r="B2" s="3" t="s">
        <v>122</v>
      </c>
      <c r="C2" s="5">
        <v>14.89</v>
      </c>
      <c r="D2" s="5">
        <v>39.99</v>
      </c>
      <c r="E2" s="5">
        <v>79.98</v>
      </c>
      <c r="F2" s="5">
        <v>26</v>
      </c>
      <c r="G2" s="5">
        <v>55</v>
      </c>
      <c r="H2" s="5">
        <v>97</v>
      </c>
      <c r="I2" s="5">
        <v>27</v>
      </c>
      <c r="J2" s="5">
        <v>55</v>
      </c>
      <c r="K2" s="5">
        <v>125</v>
      </c>
      <c r="L2" s="3" t="s">
        <v>123</v>
      </c>
      <c r="M2" s="6">
        <f t="shared" ref="M2:M20" si="0">(D2-C2)/D2</f>
        <v>0.62765691422855718</v>
      </c>
    </row>
    <row r="3" spans="1:13" ht="14.4" x14ac:dyDescent="0.3">
      <c r="A3" s="3" t="s">
        <v>124</v>
      </c>
      <c r="B3" s="3" t="s">
        <v>40</v>
      </c>
      <c r="C3" s="5">
        <v>14.89</v>
      </c>
      <c r="D3" s="5">
        <v>39.99</v>
      </c>
      <c r="E3" s="5">
        <v>79.98</v>
      </c>
      <c r="F3" s="5">
        <v>30</v>
      </c>
      <c r="G3" s="5">
        <v>65</v>
      </c>
      <c r="H3" s="5">
        <v>100</v>
      </c>
      <c r="I3" s="5">
        <v>35</v>
      </c>
      <c r="J3" s="5">
        <v>75</v>
      </c>
      <c r="K3" s="5">
        <v>165</v>
      </c>
      <c r="L3" s="3" t="s">
        <v>125</v>
      </c>
      <c r="M3" s="6">
        <f t="shared" si="0"/>
        <v>0.62765691422855718</v>
      </c>
    </row>
    <row r="4" spans="1:13" ht="14.4" x14ac:dyDescent="0.3">
      <c r="A4" s="3" t="s">
        <v>126</v>
      </c>
      <c r="B4" s="3" t="s">
        <v>127</v>
      </c>
      <c r="C4" s="5">
        <v>8.39</v>
      </c>
      <c r="D4" s="5">
        <v>24.99</v>
      </c>
      <c r="E4" s="5">
        <v>49.98</v>
      </c>
      <c r="F4" s="5">
        <v>25</v>
      </c>
      <c r="G4" s="5">
        <v>45</v>
      </c>
      <c r="H4" s="5">
        <v>85</v>
      </c>
      <c r="I4" s="5">
        <v>20</v>
      </c>
      <c r="J4" s="5">
        <v>40</v>
      </c>
      <c r="K4" s="5">
        <v>95</v>
      </c>
      <c r="L4" s="3" t="s">
        <v>128</v>
      </c>
      <c r="M4" s="6">
        <f t="shared" si="0"/>
        <v>0.66426570628251291</v>
      </c>
    </row>
    <row r="5" spans="1:13" ht="14.4" x14ac:dyDescent="0.3">
      <c r="A5" s="3" t="s">
        <v>57</v>
      </c>
      <c r="B5" s="3" t="s">
        <v>129</v>
      </c>
      <c r="C5" s="5">
        <v>15.49</v>
      </c>
      <c r="D5" s="5">
        <v>44.99</v>
      </c>
      <c r="E5" s="5">
        <v>89.98</v>
      </c>
      <c r="F5" s="5">
        <v>31</v>
      </c>
      <c r="G5" s="5">
        <v>65</v>
      </c>
      <c r="H5" s="5">
        <v>310</v>
      </c>
      <c r="I5" s="5">
        <v>25</v>
      </c>
      <c r="J5" s="5">
        <v>55</v>
      </c>
      <c r="K5" s="5">
        <v>103</v>
      </c>
      <c r="L5" s="3" t="s">
        <v>130</v>
      </c>
      <c r="M5" s="6">
        <f t="shared" si="0"/>
        <v>0.65570126694821074</v>
      </c>
    </row>
    <row r="6" spans="1:13" ht="14.4" x14ac:dyDescent="0.3">
      <c r="A6" s="3" t="s">
        <v>131</v>
      </c>
      <c r="B6" s="3" t="s">
        <v>132</v>
      </c>
      <c r="C6" s="5">
        <v>11.76</v>
      </c>
      <c r="D6" s="5">
        <v>34.99</v>
      </c>
      <c r="E6" s="5">
        <v>69.98</v>
      </c>
      <c r="F6" s="5">
        <v>25</v>
      </c>
      <c r="G6" s="5">
        <v>50</v>
      </c>
      <c r="H6" s="5">
        <v>250</v>
      </c>
      <c r="I6" s="5">
        <v>20</v>
      </c>
      <c r="J6" s="5">
        <v>45</v>
      </c>
      <c r="K6" s="5">
        <v>80</v>
      </c>
      <c r="L6" s="3" t="s">
        <v>125</v>
      </c>
      <c r="M6" s="6">
        <f t="shared" si="0"/>
        <v>0.66390397256358968</v>
      </c>
    </row>
    <row r="7" spans="1:13" ht="14.4" x14ac:dyDescent="0.3">
      <c r="A7" s="3" t="s">
        <v>133</v>
      </c>
      <c r="B7" s="3" t="s">
        <v>134</v>
      </c>
      <c r="C7" s="5">
        <v>11.69</v>
      </c>
      <c r="D7" s="5">
        <v>34.99</v>
      </c>
      <c r="E7" s="5">
        <v>69.98</v>
      </c>
      <c r="F7" s="5">
        <v>31</v>
      </c>
      <c r="G7" s="5">
        <v>55</v>
      </c>
      <c r="H7" s="5">
        <v>88</v>
      </c>
      <c r="I7" s="5">
        <v>20</v>
      </c>
      <c r="J7" s="5">
        <v>45</v>
      </c>
      <c r="K7" s="5">
        <v>90</v>
      </c>
      <c r="L7" s="3" t="s">
        <v>135</v>
      </c>
      <c r="M7" s="6">
        <f t="shared" si="0"/>
        <v>0.66590454415547307</v>
      </c>
    </row>
    <row r="8" spans="1:13" ht="14.4" x14ac:dyDescent="0.3">
      <c r="A8" s="3" t="s">
        <v>136</v>
      </c>
      <c r="B8" s="3" t="s">
        <v>137</v>
      </c>
      <c r="C8" s="5">
        <v>14.79</v>
      </c>
      <c r="D8" s="5">
        <v>39.99</v>
      </c>
      <c r="E8" s="5">
        <v>79.98</v>
      </c>
      <c r="F8" s="5">
        <v>25</v>
      </c>
      <c r="G8" s="5">
        <v>50</v>
      </c>
      <c r="H8" s="5">
        <v>80</v>
      </c>
      <c r="I8" s="5">
        <v>18</v>
      </c>
      <c r="J8" s="5">
        <v>35</v>
      </c>
      <c r="K8" s="5">
        <v>70</v>
      </c>
      <c r="L8" s="3" t="s">
        <v>138</v>
      </c>
      <c r="M8" s="6">
        <f t="shared" si="0"/>
        <v>0.6301575393848462</v>
      </c>
    </row>
    <row r="9" spans="1:13" ht="14.4" x14ac:dyDescent="0.3">
      <c r="A9" s="3" t="s">
        <v>139</v>
      </c>
      <c r="B9" s="3" t="s">
        <v>140</v>
      </c>
      <c r="C9" s="5">
        <v>10.59</v>
      </c>
      <c r="D9" s="5">
        <v>29.99</v>
      </c>
      <c r="E9" s="5">
        <v>59.98</v>
      </c>
      <c r="F9" s="5">
        <v>20</v>
      </c>
      <c r="G9" s="5">
        <v>40</v>
      </c>
      <c r="H9" s="5">
        <v>75</v>
      </c>
      <c r="I9" s="5">
        <v>15</v>
      </c>
      <c r="J9" s="5">
        <v>30</v>
      </c>
      <c r="K9" s="5">
        <v>60</v>
      </c>
      <c r="L9" s="3" t="s">
        <v>135</v>
      </c>
      <c r="M9" s="6">
        <f t="shared" si="0"/>
        <v>0.64688229409803266</v>
      </c>
    </row>
    <row r="10" spans="1:13" ht="14.4" x14ac:dyDescent="0.3">
      <c r="A10" s="3" t="s">
        <v>141</v>
      </c>
      <c r="B10" s="3" t="s">
        <v>142</v>
      </c>
      <c r="C10" s="5">
        <v>7.91</v>
      </c>
      <c r="D10" s="5">
        <v>24.99</v>
      </c>
      <c r="E10" s="5">
        <v>49.98</v>
      </c>
      <c r="F10" s="5">
        <v>18</v>
      </c>
      <c r="G10" s="5">
        <v>35</v>
      </c>
      <c r="H10" s="5">
        <v>70</v>
      </c>
      <c r="I10" s="5">
        <v>15</v>
      </c>
      <c r="J10" s="5">
        <v>30</v>
      </c>
      <c r="K10" s="5">
        <v>65</v>
      </c>
      <c r="L10" s="3" t="s">
        <v>135</v>
      </c>
      <c r="M10" s="6">
        <f t="shared" si="0"/>
        <v>0.68347338935574231</v>
      </c>
    </row>
    <row r="11" spans="1:13" ht="14.4" x14ac:dyDescent="0.3">
      <c r="A11" s="3" t="s">
        <v>143</v>
      </c>
      <c r="B11" s="3" t="s">
        <v>144</v>
      </c>
      <c r="C11" s="5">
        <v>9.23</v>
      </c>
      <c r="D11" s="5">
        <v>29.99</v>
      </c>
      <c r="E11" s="5">
        <v>59.98</v>
      </c>
      <c r="F11" s="5">
        <v>20</v>
      </c>
      <c r="G11" s="5">
        <v>40</v>
      </c>
      <c r="H11" s="5">
        <v>80</v>
      </c>
      <c r="I11" s="5">
        <v>18</v>
      </c>
      <c r="J11" s="5">
        <v>35</v>
      </c>
      <c r="K11" s="5">
        <v>75</v>
      </c>
      <c r="L11" s="3" t="s">
        <v>145</v>
      </c>
      <c r="M11" s="6">
        <f t="shared" si="0"/>
        <v>0.69223074358119374</v>
      </c>
    </row>
    <row r="12" spans="1:13" ht="14.4" x14ac:dyDescent="0.3">
      <c r="A12" s="3" t="s">
        <v>146</v>
      </c>
      <c r="B12" s="3" t="s">
        <v>147</v>
      </c>
      <c r="C12" s="5">
        <v>3.99</v>
      </c>
      <c r="D12" s="5">
        <v>14.99</v>
      </c>
      <c r="E12" s="5">
        <v>29.98</v>
      </c>
      <c r="F12" s="5">
        <v>12</v>
      </c>
      <c r="G12" s="5">
        <v>25</v>
      </c>
      <c r="H12" s="5">
        <v>50</v>
      </c>
      <c r="I12" s="5">
        <v>10</v>
      </c>
      <c r="J12" s="5">
        <v>20</v>
      </c>
      <c r="K12" s="5">
        <v>40</v>
      </c>
      <c r="L12" s="3" t="s">
        <v>148</v>
      </c>
      <c r="M12" s="6">
        <f t="shared" si="0"/>
        <v>0.73382254836557703</v>
      </c>
    </row>
    <row r="13" spans="1:13" ht="14.4" x14ac:dyDescent="0.3">
      <c r="A13" s="3" t="s">
        <v>149</v>
      </c>
      <c r="B13" s="3" t="s">
        <v>150</v>
      </c>
      <c r="C13" s="5">
        <v>6.89</v>
      </c>
      <c r="D13" s="5">
        <v>19.989999999999998</v>
      </c>
      <c r="E13" s="5">
        <v>39.979999999999997</v>
      </c>
      <c r="F13" s="5">
        <v>15</v>
      </c>
      <c r="G13" s="5">
        <v>30</v>
      </c>
      <c r="H13" s="5">
        <v>55</v>
      </c>
      <c r="I13" s="5">
        <v>12</v>
      </c>
      <c r="J13" s="5">
        <v>25</v>
      </c>
      <c r="K13" s="5">
        <v>50</v>
      </c>
      <c r="L13" s="3" t="s">
        <v>145</v>
      </c>
      <c r="M13" s="6">
        <f t="shared" si="0"/>
        <v>0.65532766383191587</v>
      </c>
    </row>
    <row r="14" spans="1:13" ht="14.4" x14ac:dyDescent="0.3">
      <c r="A14" s="3" t="s">
        <v>151</v>
      </c>
      <c r="B14" s="3" t="s">
        <v>152</v>
      </c>
      <c r="C14" s="5">
        <v>6.15</v>
      </c>
      <c r="D14" s="5">
        <v>19.989999999999998</v>
      </c>
      <c r="E14" s="5">
        <v>39.979999999999997</v>
      </c>
      <c r="F14" s="5">
        <v>12</v>
      </c>
      <c r="G14" s="5">
        <v>25</v>
      </c>
      <c r="H14" s="5">
        <v>45</v>
      </c>
      <c r="I14" s="5">
        <v>10</v>
      </c>
      <c r="J14" s="5">
        <v>22</v>
      </c>
      <c r="K14" s="5">
        <v>40</v>
      </c>
      <c r="L14" s="3" t="s">
        <v>135</v>
      </c>
      <c r="M14" s="6">
        <f t="shared" si="0"/>
        <v>0.69234617308654323</v>
      </c>
    </row>
    <row r="15" spans="1:13" ht="14.4" x14ac:dyDescent="0.3">
      <c r="A15" s="3" t="s">
        <v>153</v>
      </c>
      <c r="B15" s="3" t="s">
        <v>154</v>
      </c>
      <c r="C15" s="5">
        <v>9.89</v>
      </c>
      <c r="D15" s="5">
        <v>34.99</v>
      </c>
      <c r="E15" s="5">
        <v>69.98</v>
      </c>
      <c r="F15" s="5">
        <v>20</v>
      </c>
      <c r="G15" s="5">
        <v>40</v>
      </c>
      <c r="H15" s="5">
        <v>85</v>
      </c>
      <c r="I15" s="5">
        <v>27</v>
      </c>
      <c r="J15" s="5">
        <v>70</v>
      </c>
      <c r="K15" s="5">
        <v>140</v>
      </c>
      <c r="L15" s="3" t="s">
        <v>155</v>
      </c>
      <c r="M15" s="6">
        <f t="shared" si="0"/>
        <v>0.71734781366104605</v>
      </c>
    </row>
    <row r="16" spans="1:13" ht="14.4" x14ac:dyDescent="0.3">
      <c r="A16" s="3" t="s">
        <v>156</v>
      </c>
      <c r="B16" s="3" t="s">
        <v>157</v>
      </c>
      <c r="C16" s="5">
        <v>18.690000000000001</v>
      </c>
      <c r="D16" s="5">
        <v>49.99</v>
      </c>
      <c r="E16" s="5">
        <v>99.98</v>
      </c>
      <c r="F16" s="5">
        <v>25</v>
      </c>
      <c r="G16" s="5">
        <v>45</v>
      </c>
      <c r="H16" s="5">
        <v>80</v>
      </c>
      <c r="I16" s="5">
        <v>19</v>
      </c>
      <c r="J16" s="5">
        <v>41</v>
      </c>
      <c r="K16" s="5">
        <v>79</v>
      </c>
      <c r="L16" s="3" t="s">
        <v>158</v>
      </c>
      <c r="M16" s="6">
        <f t="shared" si="0"/>
        <v>0.626125225045009</v>
      </c>
    </row>
    <row r="17" spans="1:13" ht="14.4" x14ac:dyDescent="0.3">
      <c r="A17" s="3" t="s">
        <v>159</v>
      </c>
      <c r="B17" s="3" t="s">
        <v>160</v>
      </c>
      <c r="C17" s="5">
        <v>8.4600000000000009</v>
      </c>
      <c r="D17" s="5">
        <v>29.99</v>
      </c>
      <c r="E17" s="5">
        <v>59.98</v>
      </c>
      <c r="F17" s="5">
        <v>20</v>
      </c>
      <c r="G17" s="5">
        <v>35</v>
      </c>
      <c r="H17" s="5">
        <v>65</v>
      </c>
      <c r="I17" s="5">
        <v>15</v>
      </c>
      <c r="J17" s="5">
        <v>30</v>
      </c>
      <c r="K17" s="5">
        <v>55</v>
      </c>
      <c r="L17" s="3" t="s">
        <v>135</v>
      </c>
      <c r="M17" s="6">
        <f t="shared" si="0"/>
        <v>0.7179059686562187</v>
      </c>
    </row>
    <row r="18" spans="1:13" ht="14.4" x14ac:dyDescent="0.3">
      <c r="A18" s="3" t="s">
        <v>161</v>
      </c>
      <c r="B18" s="3" t="s">
        <v>162</v>
      </c>
      <c r="C18" s="5">
        <v>13.69</v>
      </c>
      <c r="D18" s="5">
        <v>39.99</v>
      </c>
      <c r="E18" s="5">
        <v>79.98</v>
      </c>
      <c r="F18" s="5">
        <v>30</v>
      </c>
      <c r="G18" s="5">
        <v>55</v>
      </c>
      <c r="H18" s="5">
        <v>120</v>
      </c>
      <c r="I18" s="5">
        <v>25</v>
      </c>
      <c r="J18" s="5">
        <v>50</v>
      </c>
      <c r="K18" s="5">
        <v>100</v>
      </c>
      <c r="L18" s="3" t="s">
        <v>145</v>
      </c>
      <c r="M18" s="6">
        <f t="shared" si="0"/>
        <v>0.65766441610402604</v>
      </c>
    </row>
    <row r="19" spans="1:13" ht="14.4" x14ac:dyDescent="0.3">
      <c r="A19" s="3" t="s">
        <v>163</v>
      </c>
      <c r="B19" s="3" t="s">
        <v>164</v>
      </c>
      <c r="C19" s="5">
        <v>11.39</v>
      </c>
      <c r="D19" s="5">
        <v>34.99</v>
      </c>
      <c r="E19" s="5">
        <v>69.98</v>
      </c>
      <c r="F19" s="5">
        <v>30</v>
      </c>
      <c r="G19" s="5">
        <v>60</v>
      </c>
      <c r="H19" s="5">
        <v>150</v>
      </c>
      <c r="I19" s="5">
        <v>25</v>
      </c>
      <c r="J19" s="5">
        <v>55</v>
      </c>
      <c r="K19" s="5">
        <v>130</v>
      </c>
      <c r="L19" s="3" t="s">
        <v>145</v>
      </c>
      <c r="M19" s="6">
        <f t="shared" si="0"/>
        <v>0.67447842240640188</v>
      </c>
    </row>
    <row r="20" spans="1:13" ht="14.4" x14ac:dyDescent="0.3">
      <c r="A20" s="3" t="s">
        <v>165</v>
      </c>
      <c r="B20" s="3" t="s">
        <v>166</v>
      </c>
      <c r="C20" s="5">
        <v>18.5</v>
      </c>
      <c r="D20" s="5">
        <v>49.99</v>
      </c>
      <c r="E20" s="5">
        <v>99.98</v>
      </c>
      <c r="F20" s="5">
        <v>35</v>
      </c>
      <c r="G20" s="5">
        <v>65</v>
      </c>
      <c r="H20" s="5">
        <v>120</v>
      </c>
      <c r="I20" s="5">
        <v>30</v>
      </c>
      <c r="J20" s="5">
        <v>55</v>
      </c>
      <c r="K20" s="5">
        <v>100</v>
      </c>
      <c r="L20" s="3" t="s">
        <v>135</v>
      </c>
      <c r="M20" s="6">
        <f t="shared" si="0"/>
        <v>0.62992598519703946</v>
      </c>
    </row>
  </sheetData>
  <autoFilter ref="A1:M20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3"/>
  <sheetViews>
    <sheetView tabSelected="1" topLeftCell="A22" zoomScaleNormal="100" workbookViewId="0">
      <selection activeCell="D33" sqref="D33"/>
    </sheetView>
  </sheetViews>
  <sheetFormatPr defaultColWidth="8.6640625" defaultRowHeight="15" customHeight="1" x14ac:dyDescent="0.3"/>
  <cols>
    <col min="1" max="1" width="30" customWidth="1"/>
    <col min="2" max="3" width="12" customWidth="1"/>
    <col min="4" max="4" width="14" customWidth="1"/>
    <col min="5" max="5" width="12" customWidth="1"/>
    <col min="6" max="6" width="14" customWidth="1"/>
    <col min="7" max="7" width="12" customWidth="1"/>
    <col min="8" max="8" width="14" customWidth="1"/>
    <col min="9" max="9" width="12" customWidth="1"/>
    <col min="10" max="10" width="10" customWidth="1"/>
  </cols>
  <sheetData>
    <row r="1" spans="1:8" ht="17.399999999999999" x14ac:dyDescent="0.3">
      <c r="A1" s="1" t="s">
        <v>167</v>
      </c>
      <c r="B1" s="1"/>
      <c r="C1" s="1"/>
      <c r="D1" s="1"/>
      <c r="E1" s="1"/>
      <c r="F1" s="1"/>
      <c r="G1" s="1"/>
      <c r="H1" s="1"/>
    </row>
    <row r="3" spans="1:8" ht="14.4" x14ac:dyDescent="0.3">
      <c r="A3" s="10" t="s">
        <v>168</v>
      </c>
    </row>
    <row r="4" spans="1:8" ht="14.4" x14ac:dyDescent="0.3">
      <c r="A4" s="2" t="s">
        <v>169</v>
      </c>
      <c r="B4" s="2" t="s">
        <v>170</v>
      </c>
      <c r="C4" s="2" t="s">
        <v>171</v>
      </c>
      <c r="D4" s="2" t="s">
        <v>172</v>
      </c>
    </row>
    <row r="5" spans="1:8" ht="79.8" x14ac:dyDescent="0.3">
      <c r="A5" s="3" t="s">
        <v>173</v>
      </c>
      <c r="B5" s="3" t="s">
        <v>174</v>
      </c>
      <c r="C5" s="11" t="s">
        <v>175</v>
      </c>
      <c r="D5" s="3" t="s">
        <v>176</v>
      </c>
    </row>
    <row r="6" spans="1:8" ht="66.599999999999994" x14ac:dyDescent="0.3">
      <c r="A6" s="3" t="s">
        <v>177</v>
      </c>
      <c r="B6" s="3" t="s">
        <v>178</v>
      </c>
      <c r="C6" s="11" t="s">
        <v>175</v>
      </c>
      <c r="D6" s="3" t="s">
        <v>179</v>
      </c>
    </row>
    <row r="7" spans="1:8" ht="66.599999999999994" x14ac:dyDescent="0.3">
      <c r="A7" s="3" t="s">
        <v>180</v>
      </c>
      <c r="B7" s="3" t="s">
        <v>181</v>
      </c>
      <c r="C7" s="12" t="s">
        <v>182</v>
      </c>
      <c r="D7" s="3" t="s">
        <v>183</v>
      </c>
    </row>
    <row r="8" spans="1:8" ht="79.8" x14ac:dyDescent="0.3">
      <c r="A8" s="3" t="s">
        <v>184</v>
      </c>
      <c r="B8" s="3" t="s">
        <v>181</v>
      </c>
      <c r="C8" s="12" t="s">
        <v>182</v>
      </c>
      <c r="D8" s="3" t="s">
        <v>185</v>
      </c>
    </row>
    <row r="9" spans="1:8" ht="79.8" x14ac:dyDescent="0.3">
      <c r="A9" s="3" t="s">
        <v>186</v>
      </c>
      <c r="B9" s="3" t="s">
        <v>187</v>
      </c>
      <c r="C9" s="13" t="s">
        <v>188</v>
      </c>
      <c r="D9" s="3" t="s">
        <v>189</v>
      </c>
    </row>
    <row r="10" spans="1:8" ht="79.8" x14ac:dyDescent="0.3">
      <c r="A10" s="3" t="s">
        <v>190</v>
      </c>
      <c r="B10" s="3" t="s">
        <v>191</v>
      </c>
      <c r="C10" s="11" t="s">
        <v>175</v>
      </c>
      <c r="D10" s="3" t="s">
        <v>192</v>
      </c>
    </row>
    <row r="12" spans="1:8" ht="14.4" x14ac:dyDescent="0.3">
      <c r="A12" s="10" t="s">
        <v>193</v>
      </c>
    </row>
    <row r="13" spans="1:8" ht="28.2" x14ac:dyDescent="0.3">
      <c r="A13" s="2" t="s">
        <v>194</v>
      </c>
      <c r="B13" s="2" t="s">
        <v>195</v>
      </c>
      <c r="C13" s="2" t="s">
        <v>196</v>
      </c>
      <c r="D13" s="2" t="s">
        <v>197</v>
      </c>
      <c r="E13" s="2" t="s">
        <v>198</v>
      </c>
      <c r="F13" s="2" t="s">
        <v>199</v>
      </c>
    </row>
    <row r="14" spans="1:8" ht="14.4" x14ac:dyDescent="0.3">
      <c r="A14" s="14" t="s">
        <v>200</v>
      </c>
      <c r="B14" s="15">
        <v>0.12</v>
      </c>
      <c r="C14" s="15">
        <v>7.4999999999999997E-2</v>
      </c>
      <c r="D14" s="15">
        <v>0</v>
      </c>
      <c r="E14" s="16">
        <f>B14+C14+D14</f>
        <v>0.19500000000000001</v>
      </c>
      <c r="F14" s="17">
        <f>15*(1+E14)</f>
        <v>17.925000000000001</v>
      </c>
    </row>
    <row r="15" spans="1:8" ht="14.4" x14ac:dyDescent="0.3">
      <c r="A15" s="14" t="s">
        <v>201</v>
      </c>
      <c r="B15" s="15">
        <v>0.16</v>
      </c>
      <c r="C15" s="15">
        <v>7.4999999999999997E-2</v>
      </c>
      <c r="D15" s="15">
        <v>0.15</v>
      </c>
      <c r="E15" s="18">
        <f>B15+C15+D15</f>
        <v>0.38500000000000001</v>
      </c>
      <c r="F15" s="17">
        <f>15*(1+E15)</f>
        <v>20.774999999999999</v>
      </c>
    </row>
    <row r="16" spans="1:8" ht="14.4" x14ac:dyDescent="0.3">
      <c r="A16" s="14" t="s">
        <v>202</v>
      </c>
      <c r="B16" s="15">
        <v>0.27</v>
      </c>
      <c r="C16" s="15">
        <v>0.25</v>
      </c>
      <c r="D16" s="15">
        <v>0.15</v>
      </c>
      <c r="E16" s="19">
        <f>B16+C16+D16</f>
        <v>0.67</v>
      </c>
      <c r="F16" s="17">
        <f>15*(1+E16)</f>
        <v>25.049999999999997</v>
      </c>
    </row>
    <row r="18" spans="1:10" ht="14.4" x14ac:dyDescent="0.3">
      <c r="A18" s="10" t="s">
        <v>203</v>
      </c>
    </row>
    <row r="19" spans="1:10" ht="28.2" x14ac:dyDescent="0.3">
      <c r="A19" s="2" t="s">
        <v>204</v>
      </c>
      <c r="B19" s="2" t="s">
        <v>205</v>
      </c>
      <c r="C19" s="2" t="s">
        <v>206</v>
      </c>
      <c r="D19" s="2" t="s">
        <v>207</v>
      </c>
      <c r="E19" s="2" t="s">
        <v>208</v>
      </c>
      <c r="F19" s="2" t="s">
        <v>172</v>
      </c>
    </row>
    <row r="20" spans="1:10" ht="40.200000000000003" x14ac:dyDescent="0.3">
      <c r="A20" s="3" t="s">
        <v>209</v>
      </c>
      <c r="B20" s="3" t="s">
        <v>210</v>
      </c>
      <c r="C20" s="3" t="s">
        <v>211</v>
      </c>
      <c r="D20" s="3" t="s">
        <v>212</v>
      </c>
      <c r="E20" s="3" t="s">
        <v>213</v>
      </c>
      <c r="F20" s="3" t="s">
        <v>214</v>
      </c>
    </row>
    <row r="21" spans="1:10" ht="27" x14ac:dyDescent="0.3">
      <c r="A21" s="3" t="s">
        <v>215</v>
      </c>
      <c r="B21" s="3" t="s">
        <v>216</v>
      </c>
      <c r="C21" s="3" t="s">
        <v>217</v>
      </c>
      <c r="D21" s="3" t="s">
        <v>218</v>
      </c>
      <c r="E21" s="3" t="s">
        <v>219</v>
      </c>
      <c r="F21" s="3" t="s">
        <v>220</v>
      </c>
    </row>
    <row r="22" spans="1:10" ht="40.200000000000003" x14ac:dyDescent="0.3">
      <c r="A22" s="3" t="s">
        <v>221</v>
      </c>
      <c r="B22" s="3" t="s">
        <v>222</v>
      </c>
      <c r="C22" s="3" t="s">
        <v>223</v>
      </c>
      <c r="D22" s="3" t="s">
        <v>224</v>
      </c>
      <c r="E22" s="3" t="s">
        <v>225</v>
      </c>
      <c r="F22" s="3" t="s">
        <v>226</v>
      </c>
    </row>
    <row r="24" spans="1:10" ht="15.6" x14ac:dyDescent="0.3">
      <c r="A24" s="20" t="s">
        <v>227</v>
      </c>
    </row>
    <row r="25" spans="1:10" ht="28.2" x14ac:dyDescent="0.3">
      <c r="A25" s="2" t="s">
        <v>228</v>
      </c>
      <c r="B25" s="2" t="s">
        <v>229</v>
      </c>
      <c r="C25" s="2" t="s">
        <v>230</v>
      </c>
      <c r="D25" s="2" t="s">
        <v>231</v>
      </c>
      <c r="E25" s="2" t="s">
        <v>232</v>
      </c>
      <c r="F25" s="2" t="s">
        <v>233</v>
      </c>
      <c r="G25" s="2" t="s">
        <v>234</v>
      </c>
      <c r="H25" s="2" t="s">
        <v>235</v>
      </c>
      <c r="I25" s="2" t="s">
        <v>236</v>
      </c>
      <c r="J25" s="2" t="s">
        <v>120</v>
      </c>
    </row>
    <row r="26" spans="1:10" ht="14.4" x14ac:dyDescent="0.3">
      <c r="A26" s="21" t="s">
        <v>9</v>
      </c>
      <c r="B26" s="17">
        <v>3.99</v>
      </c>
      <c r="C26" s="17">
        <v>6</v>
      </c>
      <c r="D26" s="17">
        <f t="shared" ref="D26:D43" si="0">B26*0.385</f>
        <v>1.5361500000000001</v>
      </c>
      <c r="E26" s="17">
        <v>2</v>
      </c>
      <c r="F26" s="22">
        <f t="shared" ref="F26:F43" si="1">B26+C26+D26+E26</f>
        <v>13.526150000000001</v>
      </c>
      <c r="G26" s="17">
        <v>14.99</v>
      </c>
      <c r="H26" s="17">
        <f t="shared" ref="H26:H43" si="2">G26*0.15</f>
        <v>2.2484999999999999</v>
      </c>
      <c r="I26" s="17">
        <f t="shared" ref="I26:I43" si="3">G26-F26-H26</f>
        <v>-0.78465000000000096</v>
      </c>
      <c r="J26" s="15">
        <f t="shared" ref="J26:J43" si="4">IF(G26&gt;0,I26/G26,0)</f>
        <v>-5.2344896597731887E-2</v>
      </c>
    </row>
    <row r="27" spans="1:10" ht="14.4" x14ac:dyDescent="0.3">
      <c r="A27" s="21" t="s">
        <v>237</v>
      </c>
      <c r="B27" s="17">
        <v>6.15</v>
      </c>
      <c r="C27" s="17">
        <v>6</v>
      </c>
      <c r="D27" s="17">
        <f t="shared" si="0"/>
        <v>2.36775</v>
      </c>
      <c r="E27" s="17">
        <v>2</v>
      </c>
      <c r="F27" s="22">
        <f t="shared" si="1"/>
        <v>16.517749999999999</v>
      </c>
      <c r="G27" s="17">
        <v>19.989999999999998</v>
      </c>
      <c r="H27" s="17">
        <f t="shared" si="2"/>
        <v>2.9984999999999995</v>
      </c>
      <c r="I27" s="17">
        <f t="shared" si="3"/>
        <v>0.47374999999999945</v>
      </c>
      <c r="J27" s="25">
        <f t="shared" si="4"/>
        <v>2.3699349674837392E-2</v>
      </c>
    </row>
    <row r="28" spans="1:10" ht="14.4" x14ac:dyDescent="0.3">
      <c r="A28" s="21" t="s">
        <v>149</v>
      </c>
      <c r="B28" s="17">
        <v>6.89</v>
      </c>
      <c r="C28" s="17">
        <v>6</v>
      </c>
      <c r="D28" s="17">
        <f t="shared" si="0"/>
        <v>2.65265</v>
      </c>
      <c r="E28" s="17">
        <v>2</v>
      </c>
      <c r="F28" s="22">
        <f t="shared" si="1"/>
        <v>17.542650000000002</v>
      </c>
      <c r="G28" s="17">
        <v>19.989999999999998</v>
      </c>
      <c r="H28" s="17">
        <f t="shared" si="2"/>
        <v>2.9984999999999995</v>
      </c>
      <c r="I28" s="17">
        <f t="shared" si="3"/>
        <v>-0.55115000000000292</v>
      </c>
      <c r="J28" s="15">
        <f t="shared" si="4"/>
        <v>-2.7571285642821557E-2</v>
      </c>
    </row>
    <row r="29" spans="1:10" ht="14.4" x14ac:dyDescent="0.3">
      <c r="A29" s="21" t="s">
        <v>238</v>
      </c>
      <c r="B29" s="17">
        <v>8.39</v>
      </c>
      <c r="C29" s="17">
        <v>6.8</v>
      </c>
      <c r="D29" s="17">
        <f t="shared" si="0"/>
        <v>3.2301500000000001</v>
      </c>
      <c r="E29" s="17">
        <v>2</v>
      </c>
      <c r="F29" s="22">
        <f t="shared" si="1"/>
        <v>20.42015</v>
      </c>
      <c r="G29" s="17">
        <v>24.99</v>
      </c>
      <c r="H29" s="17">
        <f t="shared" si="2"/>
        <v>3.7484999999999995</v>
      </c>
      <c r="I29" s="17">
        <f t="shared" si="3"/>
        <v>0.82134999999999936</v>
      </c>
      <c r="J29" s="25">
        <f t="shared" si="4"/>
        <v>3.2867146858743472E-2</v>
      </c>
    </row>
    <row r="30" spans="1:10" ht="14.4" x14ac:dyDescent="0.3">
      <c r="A30" s="21" t="s">
        <v>239</v>
      </c>
      <c r="B30" s="17">
        <v>7.91</v>
      </c>
      <c r="C30" s="17">
        <v>6.8</v>
      </c>
      <c r="D30" s="17">
        <f t="shared" si="0"/>
        <v>3.04535</v>
      </c>
      <c r="E30" s="17">
        <v>2</v>
      </c>
      <c r="F30" s="22">
        <f t="shared" si="1"/>
        <v>19.75535</v>
      </c>
      <c r="G30" s="17">
        <v>24.99</v>
      </c>
      <c r="H30" s="17">
        <f t="shared" si="2"/>
        <v>3.7484999999999995</v>
      </c>
      <c r="I30" s="17">
        <f t="shared" si="3"/>
        <v>1.486149999999999</v>
      </c>
      <c r="J30" s="25">
        <f t="shared" si="4"/>
        <v>5.9469787915166029E-2</v>
      </c>
    </row>
    <row r="31" spans="1:10" ht="14.4" x14ac:dyDescent="0.3">
      <c r="A31" s="21" t="s">
        <v>159</v>
      </c>
      <c r="B31" s="17">
        <v>8.4600000000000009</v>
      </c>
      <c r="C31" s="17">
        <v>6.8</v>
      </c>
      <c r="D31" s="17">
        <f t="shared" si="0"/>
        <v>3.2571000000000003</v>
      </c>
      <c r="E31" s="17">
        <v>2</v>
      </c>
      <c r="F31" s="22">
        <f t="shared" si="1"/>
        <v>20.517100000000003</v>
      </c>
      <c r="G31" s="17">
        <v>29.99</v>
      </c>
      <c r="H31" s="17">
        <f t="shared" si="2"/>
        <v>4.4984999999999999</v>
      </c>
      <c r="I31" s="17">
        <f t="shared" si="3"/>
        <v>4.9743999999999957</v>
      </c>
      <c r="J31" s="25">
        <f t="shared" si="4"/>
        <v>0.1658686228742913</v>
      </c>
    </row>
    <row r="32" spans="1:10" ht="14.4" x14ac:dyDescent="0.3">
      <c r="A32" s="21" t="s">
        <v>143</v>
      </c>
      <c r="B32" s="17">
        <v>9.23</v>
      </c>
      <c r="C32" s="17">
        <v>6.8</v>
      </c>
      <c r="D32" s="17">
        <f t="shared" si="0"/>
        <v>3.5535500000000004</v>
      </c>
      <c r="E32" s="17">
        <v>2</v>
      </c>
      <c r="F32" s="22">
        <f t="shared" si="1"/>
        <v>21.583550000000002</v>
      </c>
      <c r="G32" s="17">
        <v>29.99</v>
      </c>
      <c r="H32" s="17">
        <f t="shared" si="2"/>
        <v>4.4984999999999999</v>
      </c>
      <c r="I32" s="17">
        <f t="shared" si="3"/>
        <v>3.907949999999996</v>
      </c>
      <c r="J32" s="25">
        <f t="shared" si="4"/>
        <v>0.13030843614538168</v>
      </c>
    </row>
    <row r="33" spans="1:10" ht="14.4" x14ac:dyDescent="0.3">
      <c r="A33" s="21" t="s">
        <v>240</v>
      </c>
      <c r="B33" s="17">
        <v>9.89</v>
      </c>
      <c r="C33" s="17">
        <v>6.8</v>
      </c>
      <c r="D33" s="17">
        <f t="shared" si="0"/>
        <v>3.8076500000000002</v>
      </c>
      <c r="E33" s="17">
        <v>2</v>
      </c>
      <c r="F33" s="22">
        <f t="shared" si="1"/>
        <v>22.49765</v>
      </c>
      <c r="G33" s="17">
        <v>34.99</v>
      </c>
      <c r="H33" s="17">
        <f t="shared" si="2"/>
        <v>5.2484999999999999</v>
      </c>
      <c r="I33" s="17">
        <f t="shared" si="3"/>
        <v>7.2438500000000019</v>
      </c>
      <c r="J33" s="25">
        <f t="shared" si="4"/>
        <v>0.20702629322663624</v>
      </c>
    </row>
    <row r="34" spans="1:10" ht="14.4" x14ac:dyDescent="0.3">
      <c r="A34" s="21" t="s">
        <v>33</v>
      </c>
      <c r="B34" s="17">
        <v>10.59</v>
      </c>
      <c r="C34" s="17">
        <v>6.8</v>
      </c>
      <c r="D34" s="17">
        <f t="shared" si="0"/>
        <v>4.0771499999999996</v>
      </c>
      <c r="E34" s="17">
        <v>2</v>
      </c>
      <c r="F34" s="22">
        <f t="shared" si="1"/>
        <v>23.46715</v>
      </c>
      <c r="G34" s="17">
        <v>29.99</v>
      </c>
      <c r="H34" s="17">
        <f t="shared" si="2"/>
        <v>4.4984999999999999</v>
      </c>
      <c r="I34" s="17">
        <f t="shared" si="3"/>
        <v>2.0243499999999983</v>
      </c>
      <c r="J34" s="25">
        <f t="shared" si="4"/>
        <v>6.7500833611203681E-2</v>
      </c>
    </row>
    <row r="35" spans="1:10" ht="14.4" x14ac:dyDescent="0.3">
      <c r="A35" s="21" t="s">
        <v>241</v>
      </c>
      <c r="B35" s="17">
        <v>11.39</v>
      </c>
      <c r="C35" s="17">
        <v>6.8</v>
      </c>
      <c r="D35" s="17">
        <f t="shared" si="0"/>
        <v>4.3851500000000003</v>
      </c>
      <c r="E35" s="17">
        <v>2</v>
      </c>
      <c r="F35" s="22">
        <f t="shared" si="1"/>
        <v>24.575150000000001</v>
      </c>
      <c r="G35" s="17">
        <v>34.99</v>
      </c>
      <c r="H35" s="17">
        <f t="shared" si="2"/>
        <v>5.2484999999999999</v>
      </c>
      <c r="I35" s="17">
        <f t="shared" si="3"/>
        <v>5.1663500000000013</v>
      </c>
      <c r="J35" s="25">
        <f t="shared" si="4"/>
        <v>0.14765218633895402</v>
      </c>
    </row>
    <row r="36" spans="1:10" ht="14.4" x14ac:dyDescent="0.3">
      <c r="A36" s="21" t="s">
        <v>242</v>
      </c>
      <c r="B36" s="17">
        <v>11.69</v>
      </c>
      <c r="C36" s="17">
        <v>6.8</v>
      </c>
      <c r="D36" s="17">
        <f t="shared" si="0"/>
        <v>4.5006500000000003</v>
      </c>
      <c r="E36" s="17">
        <v>2</v>
      </c>
      <c r="F36" s="22">
        <f t="shared" si="1"/>
        <v>24.990649999999999</v>
      </c>
      <c r="G36" s="17">
        <v>34.99</v>
      </c>
      <c r="H36" s="17">
        <f t="shared" si="2"/>
        <v>5.2484999999999999</v>
      </c>
      <c r="I36" s="17">
        <f t="shared" si="3"/>
        <v>4.7508500000000033</v>
      </c>
      <c r="J36" s="25">
        <f t="shared" si="4"/>
        <v>0.13577736496141762</v>
      </c>
    </row>
    <row r="37" spans="1:10" ht="14.4" x14ac:dyDescent="0.3">
      <c r="A37" s="21" t="s">
        <v>131</v>
      </c>
      <c r="B37" s="17">
        <v>11.76</v>
      </c>
      <c r="C37" s="17">
        <v>6.8</v>
      </c>
      <c r="D37" s="17">
        <f t="shared" si="0"/>
        <v>4.5275999999999996</v>
      </c>
      <c r="E37" s="17">
        <v>2</v>
      </c>
      <c r="F37" s="22">
        <f t="shared" si="1"/>
        <v>25.087599999999998</v>
      </c>
      <c r="G37" s="17">
        <v>34.99</v>
      </c>
      <c r="H37" s="17">
        <f t="shared" si="2"/>
        <v>5.2484999999999999</v>
      </c>
      <c r="I37" s="17">
        <f t="shared" si="3"/>
        <v>4.6539000000000037</v>
      </c>
      <c r="J37" s="25">
        <f t="shared" si="4"/>
        <v>0.13300657330665913</v>
      </c>
    </row>
    <row r="38" spans="1:10" ht="14.4" x14ac:dyDescent="0.3">
      <c r="A38" s="21" t="s">
        <v>161</v>
      </c>
      <c r="B38" s="17">
        <v>13.69</v>
      </c>
      <c r="C38" s="17">
        <v>6.8</v>
      </c>
      <c r="D38" s="17">
        <f t="shared" si="0"/>
        <v>5.2706499999999998</v>
      </c>
      <c r="E38" s="17">
        <v>2</v>
      </c>
      <c r="F38" s="22">
        <f t="shared" si="1"/>
        <v>27.760649999999998</v>
      </c>
      <c r="G38" s="17">
        <v>39.99</v>
      </c>
      <c r="H38" s="17">
        <f t="shared" si="2"/>
        <v>5.9984999999999999</v>
      </c>
      <c r="I38" s="17">
        <f t="shared" si="3"/>
        <v>6.2308500000000038</v>
      </c>
      <c r="J38" s="25">
        <f t="shared" si="4"/>
        <v>0.15581020255063774</v>
      </c>
    </row>
    <row r="39" spans="1:10" ht="14.4" x14ac:dyDescent="0.3">
      <c r="A39" s="21" t="s">
        <v>29</v>
      </c>
      <c r="B39" s="17">
        <v>14.89</v>
      </c>
      <c r="C39" s="17">
        <v>6.8</v>
      </c>
      <c r="D39" s="17">
        <f t="shared" si="0"/>
        <v>5.7326500000000005</v>
      </c>
      <c r="E39" s="17">
        <v>2</v>
      </c>
      <c r="F39" s="22">
        <f t="shared" si="1"/>
        <v>29.422650000000001</v>
      </c>
      <c r="G39" s="17">
        <v>39.99</v>
      </c>
      <c r="H39" s="17">
        <f t="shared" si="2"/>
        <v>5.9984999999999999</v>
      </c>
      <c r="I39" s="17">
        <f t="shared" si="3"/>
        <v>4.5688500000000012</v>
      </c>
      <c r="J39" s="25">
        <f t="shared" si="4"/>
        <v>0.1142498124531133</v>
      </c>
    </row>
    <row r="40" spans="1:10" ht="14.4" x14ac:dyDescent="0.3">
      <c r="A40" s="21" t="s">
        <v>103</v>
      </c>
      <c r="B40" s="17">
        <v>14.79</v>
      </c>
      <c r="C40" s="17">
        <v>6.8</v>
      </c>
      <c r="D40" s="17">
        <f t="shared" si="0"/>
        <v>5.6941499999999996</v>
      </c>
      <c r="E40" s="17">
        <v>2</v>
      </c>
      <c r="F40" s="22">
        <f t="shared" si="1"/>
        <v>29.28415</v>
      </c>
      <c r="G40" s="17">
        <v>39.99</v>
      </c>
      <c r="H40" s="17">
        <f t="shared" si="2"/>
        <v>5.9984999999999999</v>
      </c>
      <c r="I40" s="17">
        <f t="shared" si="3"/>
        <v>4.7073500000000017</v>
      </c>
      <c r="J40" s="25">
        <f t="shared" si="4"/>
        <v>0.11771317829457369</v>
      </c>
    </row>
    <row r="41" spans="1:10" ht="14.4" x14ac:dyDescent="0.3">
      <c r="A41" s="21" t="s">
        <v>57</v>
      </c>
      <c r="B41" s="17">
        <v>15.49</v>
      </c>
      <c r="C41" s="17">
        <v>6.8</v>
      </c>
      <c r="D41" s="17">
        <f t="shared" si="0"/>
        <v>5.9636500000000003</v>
      </c>
      <c r="E41" s="17">
        <v>2</v>
      </c>
      <c r="F41" s="22">
        <f t="shared" si="1"/>
        <v>30.25365</v>
      </c>
      <c r="G41" s="17">
        <v>44.99</v>
      </c>
      <c r="H41" s="17">
        <f t="shared" si="2"/>
        <v>6.7484999999999999</v>
      </c>
      <c r="I41" s="17">
        <f t="shared" si="3"/>
        <v>7.9878500000000017</v>
      </c>
      <c r="J41" s="25">
        <f t="shared" si="4"/>
        <v>0.17754723271838188</v>
      </c>
    </row>
    <row r="42" spans="1:10" ht="14.4" x14ac:dyDescent="0.3">
      <c r="A42" s="21" t="s">
        <v>243</v>
      </c>
      <c r="B42" s="17">
        <v>18.690000000000001</v>
      </c>
      <c r="C42" s="17">
        <v>6.8</v>
      </c>
      <c r="D42" s="17">
        <f t="shared" si="0"/>
        <v>7.1956500000000005</v>
      </c>
      <c r="E42" s="17">
        <v>2</v>
      </c>
      <c r="F42" s="22">
        <f t="shared" si="1"/>
        <v>34.685650000000003</v>
      </c>
      <c r="G42" s="17">
        <v>49.99</v>
      </c>
      <c r="H42" s="17">
        <f t="shared" si="2"/>
        <v>7.4984999999999999</v>
      </c>
      <c r="I42" s="17">
        <f t="shared" si="3"/>
        <v>7.8058499999999995</v>
      </c>
      <c r="J42" s="25">
        <f t="shared" si="4"/>
        <v>0.15614822964592917</v>
      </c>
    </row>
    <row r="43" spans="1:10" ht="14.4" x14ac:dyDescent="0.3">
      <c r="A43" s="21" t="s">
        <v>97</v>
      </c>
      <c r="B43" s="17">
        <v>18.5</v>
      </c>
      <c r="C43" s="17">
        <v>6.8</v>
      </c>
      <c r="D43" s="17">
        <f t="shared" si="0"/>
        <v>7.1225000000000005</v>
      </c>
      <c r="E43" s="17">
        <v>2</v>
      </c>
      <c r="F43" s="22">
        <f t="shared" si="1"/>
        <v>34.422499999999999</v>
      </c>
      <c r="G43" s="17">
        <v>49.99</v>
      </c>
      <c r="H43" s="17">
        <f t="shared" si="2"/>
        <v>7.4984999999999999</v>
      </c>
      <c r="I43" s="17">
        <f t="shared" si="3"/>
        <v>8.0690000000000026</v>
      </c>
      <c r="J43" s="25">
        <f t="shared" si="4"/>
        <v>0.16141228245649133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zoomScaleNormal="100" workbookViewId="0">
      <pane ySplit="3" topLeftCell="A4" activePane="bottomLeft" state="frozen"/>
      <selection pane="bottomLeft" sqref="A1:I1"/>
    </sheetView>
  </sheetViews>
  <sheetFormatPr defaultColWidth="8.6640625" defaultRowHeight="15" customHeight="1" x14ac:dyDescent="0.3"/>
  <cols>
    <col min="1" max="1" width="25" customWidth="1"/>
    <col min="2" max="2" width="18" customWidth="1"/>
    <col min="3" max="4" width="45" customWidth="1"/>
    <col min="5" max="5" width="15" customWidth="1"/>
    <col min="6" max="6" width="12" customWidth="1"/>
    <col min="7" max="7" width="16" customWidth="1"/>
    <col min="8" max="8" width="35" customWidth="1"/>
    <col min="9" max="9" width="12" customWidth="1"/>
  </cols>
  <sheetData>
    <row r="1" spans="1:9" ht="17.399999999999999" x14ac:dyDescent="0.3">
      <c r="A1" s="1" t="s">
        <v>244</v>
      </c>
      <c r="B1" s="1"/>
      <c r="C1" s="1"/>
      <c r="D1" s="1"/>
      <c r="E1" s="1"/>
      <c r="F1" s="1"/>
      <c r="G1" s="1"/>
      <c r="H1" s="1"/>
      <c r="I1" s="1"/>
    </row>
    <row r="3" spans="1:9" ht="28.2" x14ac:dyDescent="0.3">
      <c r="A3" s="2" t="s">
        <v>5</v>
      </c>
      <c r="B3" s="2" t="s">
        <v>245</v>
      </c>
      <c r="C3" s="2" t="s">
        <v>246</v>
      </c>
      <c r="D3" s="2" t="s">
        <v>247</v>
      </c>
      <c r="E3" s="2" t="s">
        <v>248</v>
      </c>
      <c r="F3" s="2" t="s">
        <v>249</v>
      </c>
      <c r="G3" s="2" t="s">
        <v>250</v>
      </c>
      <c r="H3" s="2" t="s">
        <v>251</v>
      </c>
      <c r="I3" s="2" t="s">
        <v>252</v>
      </c>
    </row>
    <row r="4" spans="1:9" ht="27" x14ac:dyDescent="0.3">
      <c r="A4" s="3" t="s">
        <v>41</v>
      </c>
      <c r="B4" s="3">
        <f>9900+1600+880+18100</f>
        <v>30480</v>
      </c>
      <c r="C4" s="3" t="s">
        <v>253</v>
      </c>
      <c r="D4" s="3" t="s">
        <v>254</v>
      </c>
      <c r="E4" s="3" t="s">
        <v>255</v>
      </c>
      <c r="F4" s="3" t="s">
        <v>256</v>
      </c>
      <c r="G4" s="11" t="s">
        <v>257</v>
      </c>
      <c r="H4" s="3" t="s">
        <v>258</v>
      </c>
      <c r="I4" s="12" t="s">
        <v>259</v>
      </c>
    </row>
    <row r="5" spans="1:9" ht="27" x14ac:dyDescent="0.3">
      <c r="A5" s="3" t="s">
        <v>260</v>
      </c>
      <c r="B5" s="3">
        <f>22200+880+2900+3600</f>
        <v>29580</v>
      </c>
      <c r="C5" s="3" t="s">
        <v>261</v>
      </c>
      <c r="D5" s="3" t="s">
        <v>262</v>
      </c>
      <c r="E5" s="3" t="s">
        <v>263</v>
      </c>
      <c r="F5" s="3" t="s">
        <v>264</v>
      </c>
      <c r="G5" s="13" t="s">
        <v>265</v>
      </c>
      <c r="H5" s="3" t="s">
        <v>266</v>
      </c>
      <c r="I5" s="12" t="s">
        <v>259</v>
      </c>
    </row>
    <row r="6" spans="1:9" ht="27" x14ac:dyDescent="0.3">
      <c r="A6" s="3" t="s">
        <v>48</v>
      </c>
      <c r="B6" s="3">
        <f>6600+390+1900</f>
        <v>8890</v>
      </c>
      <c r="C6" s="3" t="s">
        <v>267</v>
      </c>
      <c r="D6" s="3" t="s">
        <v>268</v>
      </c>
      <c r="E6" s="3" t="s">
        <v>269</v>
      </c>
      <c r="F6" s="3" t="s">
        <v>270</v>
      </c>
      <c r="G6" s="11" t="s">
        <v>257</v>
      </c>
      <c r="H6" s="3" t="s">
        <v>271</v>
      </c>
      <c r="I6" s="13" t="s">
        <v>272</v>
      </c>
    </row>
    <row r="7" spans="1:9" ht="27" x14ac:dyDescent="0.3">
      <c r="A7" s="3" t="s">
        <v>273</v>
      </c>
      <c r="B7" s="3">
        <f>2900+720+720+90</f>
        <v>4430</v>
      </c>
      <c r="C7" s="3" t="s">
        <v>274</v>
      </c>
      <c r="D7" s="3" t="s">
        <v>275</v>
      </c>
      <c r="E7" s="3" t="s">
        <v>276</v>
      </c>
      <c r="F7" s="3" t="s">
        <v>277</v>
      </c>
      <c r="G7" s="13" t="s">
        <v>265</v>
      </c>
      <c r="H7" s="3" t="s">
        <v>278</v>
      </c>
      <c r="I7" s="13" t="s">
        <v>272</v>
      </c>
    </row>
    <row r="8" spans="1:9" ht="27" x14ac:dyDescent="0.3">
      <c r="A8" s="3" t="s">
        <v>279</v>
      </c>
      <c r="B8" s="3">
        <f>480+1000+480+14800</f>
        <v>16760</v>
      </c>
      <c r="C8" s="3" t="s">
        <v>280</v>
      </c>
      <c r="D8" s="3" t="s">
        <v>281</v>
      </c>
      <c r="E8" s="3" t="s">
        <v>282</v>
      </c>
      <c r="F8" s="3" t="s">
        <v>283</v>
      </c>
      <c r="G8" s="11" t="s">
        <v>257</v>
      </c>
      <c r="H8" s="3" t="s">
        <v>284</v>
      </c>
      <c r="I8" s="23" t="s">
        <v>285</v>
      </c>
    </row>
    <row r="9" spans="1:9" ht="14.4" x14ac:dyDescent="0.3">
      <c r="A9" s="3" t="s">
        <v>54</v>
      </c>
      <c r="B9" s="3">
        <f>6600+1000</f>
        <v>7600</v>
      </c>
      <c r="C9" s="3" t="s">
        <v>286</v>
      </c>
      <c r="D9" s="3" t="s">
        <v>287</v>
      </c>
      <c r="E9" s="3" t="s">
        <v>288</v>
      </c>
      <c r="F9" s="3" t="s">
        <v>289</v>
      </c>
      <c r="G9" s="12" t="s">
        <v>290</v>
      </c>
      <c r="H9" s="3" t="s">
        <v>291</v>
      </c>
      <c r="I9" s="13" t="s">
        <v>272</v>
      </c>
    </row>
    <row r="10" spans="1:9" ht="27" x14ac:dyDescent="0.3">
      <c r="A10" s="3" t="s">
        <v>292</v>
      </c>
      <c r="B10" s="3">
        <f>18100+18100+14800</f>
        <v>51000</v>
      </c>
      <c r="C10" s="3" t="s">
        <v>293</v>
      </c>
      <c r="D10" s="3" t="s">
        <v>294</v>
      </c>
      <c r="E10" s="3" t="s">
        <v>295</v>
      </c>
      <c r="F10" s="3" t="s">
        <v>296</v>
      </c>
      <c r="G10" s="11" t="s">
        <v>257</v>
      </c>
      <c r="H10" s="3" t="s">
        <v>297</v>
      </c>
      <c r="I10" s="13" t="s">
        <v>272</v>
      </c>
    </row>
    <row r="11" spans="1:9" ht="14.4" x14ac:dyDescent="0.3">
      <c r="A11" s="3" t="s">
        <v>45</v>
      </c>
      <c r="B11" s="3">
        <f>8100</f>
        <v>8100</v>
      </c>
      <c r="C11" s="3" t="s">
        <v>43</v>
      </c>
      <c r="D11" s="3" t="s">
        <v>44</v>
      </c>
      <c r="E11" s="3" t="s">
        <v>298</v>
      </c>
      <c r="F11" s="3" t="s">
        <v>299</v>
      </c>
      <c r="G11" s="13" t="s">
        <v>265</v>
      </c>
      <c r="H11" s="3" t="s">
        <v>300</v>
      </c>
      <c r="I11" s="23" t="s">
        <v>285</v>
      </c>
    </row>
    <row r="12" spans="1:9" ht="14.4" x14ac:dyDescent="0.3">
      <c r="A12" s="3" t="s">
        <v>301</v>
      </c>
      <c r="B12" s="3">
        <f>880+110</f>
        <v>990</v>
      </c>
      <c r="C12" s="3" t="s">
        <v>302</v>
      </c>
      <c r="D12" s="3" t="s">
        <v>97</v>
      </c>
      <c r="E12" s="3" t="s">
        <v>303</v>
      </c>
      <c r="F12" s="3" t="s">
        <v>304</v>
      </c>
      <c r="G12" s="12" t="s">
        <v>290</v>
      </c>
      <c r="H12" s="3" t="s">
        <v>27</v>
      </c>
      <c r="I12" s="23" t="s">
        <v>285</v>
      </c>
    </row>
  </sheetData>
  <autoFilter ref="A3:I12" xr:uid="{00000000-0009-0000-0000-000003000000}"/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zoomScaleNormal="100" workbookViewId="0">
      <pane ySplit="3" topLeftCell="A4" activePane="bottomLeft" state="frozen"/>
      <selection pane="bottomLeft" sqref="A1:F1"/>
    </sheetView>
  </sheetViews>
  <sheetFormatPr defaultColWidth="8.6640625" defaultRowHeight="15" customHeight="1" x14ac:dyDescent="0.3"/>
  <cols>
    <col min="1" max="1" width="30" customWidth="1"/>
    <col min="2" max="2" width="60" customWidth="1"/>
    <col min="3" max="4" width="40" customWidth="1"/>
    <col min="5" max="5" width="35" customWidth="1"/>
    <col min="6" max="6" width="15" customWidth="1"/>
  </cols>
  <sheetData>
    <row r="1" spans="1:6" ht="17.399999999999999" x14ac:dyDescent="0.3">
      <c r="A1" s="1" t="s">
        <v>305</v>
      </c>
      <c r="B1" s="1"/>
      <c r="C1" s="1"/>
      <c r="D1" s="1"/>
      <c r="E1" s="1"/>
      <c r="F1" s="1"/>
    </row>
    <row r="3" spans="1:6" ht="28.2" x14ac:dyDescent="0.3">
      <c r="A3" s="2" t="s">
        <v>306</v>
      </c>
      <c r="B3" s="2" t="s">
        <v>307</v>
      </c>
      <c r="C3" s="2" t="s">
        <v>308</v>
      </c>
      <c r="D3" s="2" t="s">
        <v>309</v>
      </c>
      <c r="E3" s="2" t="s">
        <v>310</v>
      </c>
      <c r="F3" s="2" t="s">
        <v>311</v>
      </c>
    </row>
    <row r="4" spans="1:6" ht="27" x14ac:dyDescent="0.3">
      <c r="A4" s="3" t="s">
        <v>312</v>
      </c>
      <c r="B4" s="3" t="s">
        <v>313</v>
      </c>
      <c r="C4" s="3" t="s">
        <v>314</v>
      </c>
      <c r="D4" s="3" t="s">
        <v>315</v>
      </c>
      <c r="E4" s="3" t="s">
        <v>316</v>
      </c>
      <c r="F4" s="12" t="s">
        <v>259</v>
      </c>
    </row>
    <row r="5" spans="1:6" ht="27" x14ac:dyDescent="0.3">
      <c r="A5" s="3" t="s">
        <v>273</v>
      </c>
      <c r="B5" s="3" t="s">
        <v>317</v>
      </c>
      <c r="C5" s="3" t="s">
        <v>318</v>
      </c>
      <c r="D5" s="3" t="s">
        <v>319</v>
      </c>
      <c r="E5" s="3" t="s">
        <v>320</v>
      </c>
      <c r="F5" s="12" t="s">
        <v>259</v>
      </c>
    </row>
    <row r="6" spans="1:6" ht="27" x14ac:dyDescent="0.3">
      <c r="A6" s="3" t="s">
        <v>321</v>
      </c>
      <c r="B6" s="3" t="s">
        <v>322</v>
      </c>
      <c r="C6" s="3" t="s">
        <v>323</v>
      </c>
      <c r="D6" s="3" t="s">
        <v>324</v>
      </c>
      <c r="E6" s="3" t="s">
        <v>325</v>
      </c>
      <c r="F6" s="13" t="s">
        <v>272</v>
      </c>
    </row>
    <row r="7" spans="1:6" ht="27" x14ac:dyDescent="0.3">
      <c r="A7" s="3" t="s">
        <v>326</v>
      </c>
      <c r="B7" s="3" t="s">
        <v>327</v>
      </c>
      <c r="C7" s="3" t="s">
        <v>328</v>
      </c>
      <c r="D7" s="3" t="s">
        <v>329</v>
      </c>
      <c r="E7" s="3" t="s">
        <v>330</v>
      </c>
      <c r="F7" s="13" t="s">
        <v>272</v>
      </c>
    </row>
    <row r="8" spans="1:6" ht="27" x14ac:dyDescent="0.3">
      <c r="A8" s="3" t="s">
        <v>331</v>
      </c>
      <c r="B8" s="3" t="s">
        <v>332</v>
      </c>
      <c r="C8" s="3" t="s">
        <v>333</v>
      </c>
      <c r="D8" s="3" t="s">
        <v>334</v>
      </c>
      <c r="E8" s="3" t="s">
        <v>335</v>
      </c>
      <c r="F8" s="13" t="s">
        <v>272</v>
      </c>
    </row>
    <row r="9" spans="1:6" ht="27" x14ac:dyDescent="0.3">
      <c r="A9" s="3" t="s">
        <v>336</v>
      </c>
      <c r="B9" s="3" t="s">
        <v>337</v>
      </c>
      <c r="C9" s="3" t="s">
        <v>338</v>
      </c>
      <c r="D9" s="3" t="s">
        <v>339</v>
      </c>
      <c r="E9" s="3" t="s">
        <v>340</v>
      </c>
      <c r="F9" s="23" t="s">
        <v>285</v>
      </c>
    </row>
    <row r="10" spans="1:6" ht="14.4" x14ac:dyDescent="0.3">
      <c r="A10" s="3" t="s">
        <v>341</v>
      </c>
      <c r="B10" s="3" t="s">
        <v>342</v>
      </c>
      <c r="C10" s="3" t="s">
        <v>343</v>
      </c>
      <c r="D10" s="3" t="s">
        <v>344</v>
      </c>
      <c r="E10" s="3" t="s">
        <v>345</v>
      </c>
      <c r="F10" s="23" t="s">
        <v>285</v>
      </c>
    </row>
    <row r="11" spans="1:6" ht="14.4" x14ac:dyDescent="0.3">
      <c r="A11" s="3" t="s">
        <v>346</v>
      </c>
      <c r="B11" s="3" t="s">
        <v>347</v>
      </c>
      <c r="C11" s="3" t="s">
        <v>348</v>
      </c>
      <c r="D11" s="3" t="s">
        <v>349</v>
      </c>
      <c r="E11" s="3" t="s">
        <v>350</v>
      </c>
      <c r="F11" s="23" t="s">
        <v>351</v>
      </c>
    </row>
    <row r="12" spans="1:6" ht="14.4" x14ac:dyDescent="0.3">
      <c r="A12" s="3" t="s">
        <v>352</v>
      </c>
      <c r="B12" s="3" t="s">
        <v>353</v>
      </c>
      <c r="C12" s="3" t="s">
        <v>354</v>
      </c>
      <c r="D12" s="3" t="s">
        <v>355</v>
      </c>
      <c r="E12" s="3" t="s">
        <v>356</v>
      </c>
      <c r="F12" s="23" t="s">
        <v>285</v>
      </c>
    </row>
    <row r="13" spans="1:6" ht="27" x14ac:dyDescent="0.3">
      <c r="A13" s="3" t="s">
        <v>357</v>
      </c>
      <c r="B13" s="3" t="s">
        <v>358</v>
      </c>
      <c r="C13" s="3" t="s">
        <v>359</v>
      </c>
      <c r="D13" s="3" t="s">
        <v>360</v>
      </c>
      <c r="E13" s="3" t="s">
        <v>361</v>
      </c>
      <c r="F13" s="23" t="s">
        <v>351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1"/>
  <sheetViews>
    <sheetView zoomScaleNormal="100" workbookViewId="0">
      <pane ySplit="3" topLeftCell="A4" activePane="bottomLeft" state="frozen"/>
      <selection pane="bottomLeft" activeCell="G8" sqref="G8"/>
    </sheetView>
  </sheetViews>
  <sheetFormatPr defaultColWidth="8.6640625" defaultRowHeight="15" customHeight="1" x14ac:dyDescent="0.3"/>
  <cols>
    <col min="1" max="1" width="6" customWidth="1"/>
    <col min="2" max="2" width="32" customWidth="1"/>
    <col min="3" max="3" width="12" customWidth="1"/>
    <col min="4" max="4" width="10" customWidth="1"/>
    <col min="5" max="5" width="14" customWidth="1"/>
    <col min="6" max="6" width="10" customWidth="1"/>
    <col min="7" max="7" width="14" customWidth="1"/>
    <col min="8" max="8" width="40" customWidth="1"/>
    <col min="9" max="9" width="20" customWidth="1"/>
    <col min="10" max="10" width="16" customWidth="1"/>
    <col min="11" max="11" width="14" customWidth="1"/>
  </cols>
  <sheetData>
    <row r="1" spans="1:11" ht="17.399999999999999" x14ac:dyDescent="0.3">
      <c r="A1" s="1" t="s">
        <v>362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ht="28.2" x14ac:dyDescent="0.3">
      <c r="A3" s="2" t="s">
        <v>363</v>
      </c>
      <c r="B3" s="2" t="s">
        <v>228</v>
      </c>
      <c r="C3" s="2" t="s">
        <v>364</v>
      </c>
      <c r="D3" s="2" t="s">
        <v>229</v>
      </c>
      <c r="E3" s="2" t="s">
        <v>365</v>
      </c>
      <c r="F3" s="2" t="s">
        <v>234</v>
      </c>
      <c r="G3" s="2" t="s">
        <v>366</v>
      </c>
      <c r="H3" s="2" t="s">
        <v>367</v>
      </c>
      <c r="I3" s="2" t="s">
        <v>368</v>
      </c>
      <c r="J3" s="2" t="s">
        <v>369</v>
      </c>
      <c r="K3" s="2" t="s">
        <v>370</v>
      </c>
    </row>
    <row r="4" spans="1:11" ht="27" x14ac:dyDescent="0.3">
      <c r="A4" s="3">
        <v>1</v>
      </c>
      <c r="B4" s="3" t="s">
        <v>122</v>
      </c>
      <c r="C4" s="3" t="s">
        <v>371</v>
      </c>
      <c r="D4" s="5">
        <v>14.89</v>
      </c>
      <c r="E4" s="5">
        <f t="shared" ref="E4:E21" si="0">D4*1.385+6.8+2</f>
        <v>29.422650000000001</v>
      </c>
      <c r="F4" s="5">
        <v>39.99</v>
      </c>
      <c r="G4" s="5">
        <f t="shared" ref="G4:G21" si="1">F4-E4-(F4*0.15)</f>
        <v>4.5688500000000012</v>
      </c>
      <c r="H4" s="3" t="s">
        <v>372</v>
      </c>
      <c r="I4" s="3">
        <f>9900+22200+6600+2900+1900+18100</f>
        <v>61600</v>
      </c>
      <c r="J4" s="3" t="s">
        <v>373</v>
      </c>
      <c r="K4" s="12" t="s">
        <v>374</v>
      </c>
    </row>
    <row r="5" spans="1:11" ht="27" x14ac:dyDescent="0.3">
      <c r="A5" s="3">
        <v>2</v>
      </c>
      <c r="B5" s="3" t="s">
        <v>375</v>
      </c>
      <c r="C5" s="3" t="s">
        <v>376</v>
      </c>
      <c r="D5" s="5">
        <v>3.99</v>
      </c>
      <c r="E5" s="5">
        <f t="shared" si="0"/>
        <v>14.32615</v>
      </c>
      <c r="F5" s="5">
        <v>14.99</v>
      </c>
      <c r="G5" s="5">
        <f t="shared" si="1"/>
        <v>-1.5846499999999999</v>
      </c>
      <c r="H5" s="3" t="s">
        <v>377</v>
      </c>
      <c r="I5" s="3">
        <f>135000+1300</f>
        <v>136300</v>
      </c>
      <c r="J5" s="3" t="s">
        <v>378</v>
      </c>
      <c r="K5" s="12" t="s">
        <v>374</v>
      </c>
    </row>
    <row r="6" spans="1:11" ht="14.4" x14ac:dyDescent="0.3">
      <c r="A6" s="3">
        <v>3</v>
      </c>
      <c r="B6" s="3" t="s">
        <v>379</v>
      </c>
      <c r="C6" s="3" t="s">
        <v>380</v>
      </c>
      <c r="D6" s="5">
        <v>15.49</v>
      </c>
      <c r="E6" s="5">
        <f t="shared" si="0"/>
        <v>30.25365</v>
      </c>
      <c r="F6" s="5">
        <v>44.99</v>
      </c>
      <c r="G6" s="5">
        <f t="shared" si="1"/>
        <v>7.9878500000000017</v>
      </c>
      <c r="H6" s="3" t="s">
        <v>381</v>
      </c>
      <c r="I6" s="3">
        <f>5400+3600+1000+320</f>
        <v>10320</v>
      </c>
      <c r="J6" s="3" t="s">
        <v>382</v>
      </c>
      <c r="K6" s="12" t="s">
        <v>374</v>
      </c>
    </row>
    <row r="7" spans="1:11" ht="14.4" x14ac:dyDescent="0.3">
      <c r="A7" s="3">
        <v>4</v>
      </c>
      <c r="B7" s="3" t="s">
        <v>383</v>
      </c>
      <c r="C7" s="3" t="s">
        <v>384</v>
      </c>
      <c r="D7" s="5">
        <v>8.39</v>
      </c>
      <c r="E7" s="5">
        <f t="shared" si="0"/>
        <v>20.42015</v>
      </c>
      <c r="F7" s="5">
        <v>24.99</v>
      </c>
      <c r="G7" s="5">
        <f t="shared" si="1"/>
        <v>0.82134999999999936</v>
      </c>
      <c r="H7" s="3" t="s">
        <v>385</v>
      </c>
      <c r="I7" s="3">
        <f>14800+6600+1900</f>
        <v>23300</v>
      </c>
      <c r="J7" s="3" t="s">
        <v>386</v>
      </c>
      <c r="K7" s="12" t="s">
        <v>374</v>
      </c>
    </row>
    <row r="8" spans="1:11" ht="14.4" x14ac:dyDescent="0.3">
      <c r="A8" s="3">
        <v>5</v>
      </c>
      <c r="B8" s="3" t="s">
        <v>387</v>
      </c>
      <c r="C8" s="3" t="s">
        <v>388</v>
      </c>
      <c r="D8" s="5">
        <v>7.91</v>
      </c>
      <c r="E8" s="5">
        <f t="shared" si="0"/>
        <v>19.75535</v>
      </c>
      <c r="F8" s="5">
        <v>24.99</v>
      </c>
      <c r="G8" s="5">
        <f t="shared" si="1"/>
        <v>1.486149999999999</v>
      </c>
      <c r="H8" s="3" t="s">
        <v>389</v>
      </c>
      <c r="I8" s="3">
        <f>3600+5400+880</f>
        <v>9880</v>
      </c>
      <c r="J8" s="3" t="s">
        <v>386</v>
      </c>
      <c r="K8" s="12" t="s">
        <v>374</v>
      </c>
    </row>
    <row r="9" spans="1:11" ht="14.4" x14ac:dyDescent="0.3">
      <c r="A9" s="3">
        <v>6</v>
      </c>
      <c r="B9" s="3" t="s">
        <v>390</v>
      </c>
      <c r="C9" s="3" t="s">
        <v>391</v>
      </c>
      <c r="D9" s="5">
        <v>11.69</v>
      </c>
      <c r="E9" s="5">
        <f t="shared" si="0"/>
        <v>24.990649999999999</v>
      </c>
      <c r="F9" s="5">
        <v>34.99</v>
      </c>
      <c r="G9" s="5">
        <f t="shared" si="1"/>
        <v>4.7508500000000033</v>
      </c>
      <c r="H9" s="3" t="s">
        <v>392</v>
      </c>
      <c r="I9" s="3">
        <f>18100+18100+14800</f>
        <v>51000</v>
      </c>
      <c r="J9" s="3" t="s">
        <v>382</v>
      </c>
      <c r="K9" s="13" t="s">
        <v>393</v>
      </c>
    </row>
    <row r="10" spans="1:11" ht="14.4" x14ac:dyDescent="0.3">
      <c r="A10" s="3">
        <v>7</v>
      </c>
      <c r="B10" s="3" t="s">
        <v>140</v>
      </c>
      <c r="C10" s="3" t="s">
        <v>394</v>
      </c>
      <c r="D10" s="5">
        <v>10.59</v>
      </c>
      <c r="E10" s="5">
        <f t="shared" si="0"/>
        <v>23.46715</v>
      </c>
      <c r="F10" s="5">
        <v>29.99</v>
      </c>
      <c r="G10" s="5">
        <f t="shared" si="1"/>
        <v>2.0243499999999983</v>
      </c>
      <c r="H10" s="3" t="s">
        <v>395</v>
      </c>
      <c r="I10" s="3">
        <f>14800+18100</f>
        <v>32900</v>
      </c>
      <c r="J10" s="3" t="s">
        <v>386</v>
      </c>
      <c r="K10" s="13" t="s">
        <v>393</v>
      </c>
    </row>
    <row r="11" spans="1:11" ht="14.4" x14ac:dyDescent="0.3">
      <c r="A11" s="3">
        <v>8</v>
      </c>
      <c r="B11" s="3" t="s">
        <v>396</v>
      </c>
      <c r="C11" s="3" t="s">
        <v>397</v>
      </c>
      <c r="D11" s="5">
        <v>9.89</v>
      </c>
      <c r="E11" s="5">
        <f t="shared" si="0"/>
        <v>22.49765</v>
      </c>
      <c r="F11" s="5">
        <v>34.99</v>
      </c>
      <c r="G11" s="5">
        <f t="shared" si="1"/>
        <v>7.2438500000000019</v>
      </c>
      <c r="H11" s="3" t="s">
        <v>398</v>
      </c>
      <c r="I11" s="3">
        <f>8100</f>
        <v>8100</v>
      </c>
      <c r="J11" s="3" t="s">
        <v>386</v>
      </c>
      <c r="K11" s="13" t="s">
        <v>393</v>
      </c>
    </row>
    <row r="12" spans="1:11" ht="14.4" x14ac:dyDescent="0.3">
      <c r="A12" s="3">
        <v>9</v>
      </c>
      <c r="B12" s="3" t="s">
        <v>144</v>
      </c>
      <c r="C12" s="3" t="s">
        <v>399</v>
      </c>
      <c r="D12" s="5">
        <v>9.23</v>
      </c>
      <c r="E12" s="5">
        <f t="shared" si="0"/>
        <v>21.583549999999999</v>
      </c>
      <c r="F12" s="5">
        <v>29.99</v>
      </c>
      <c r="G12" s="5">
        <f t="shared" si="1"/>
        <v>3.9079499999999996</v>
      </c>
      <c r="H12" s="3" t="s">
        <v>400</v>
      </c>
      <c r="I12" s="3">
        <f>5400+880</f>
        <v>6280</v>
      </c>
      <c r="J12" s="3" t="s">
        <v>382</v>
      </c>
      <c r="K12" s="13" t="s">
        <v>393</v>
      </c>
    </row>
    <row r="13" spans="1:11" ht="14.4" x14ac:dyDescent="0.3">
      <c r="A13" s="3">
        <v>10</v>
      </c>
      <c r="B13" s="3" t="s">
        <v>401</v>
      </c>
      <c r="C13" s="3" t="s">
        <v>402</v>
      </c>
      <c r="D13" s="5">
        <v>8.4600000000000009</v>
      </c>
      <c r="E13" s="5">
        <f t="shared" si="0"/>
        <v>20.517100000000003</v>
      </c>
      <c r="F13" s="5">
        <v>29.99</v>
      </c>
      <c r="G13" s="5">
        <f t="shared" si="1"/>
        <v>4.9743999999999957</v>
      </c>
      <c r="H13" s="3" t="s">
        <v>403</v>
      </c>
      <c r="I13" s="3">
        <f>40500+1300</f>
        <v>41800</v>
      </c>
      <c r="J13" s="3" t="s">
        <v>386</v>
      </c>
      <c r="K13" s="13" t="s">
        <v>393</v>
      </c>
    </row>
    <row r="14" spans="1:11" ht="14.4" x14ac:dyDescent="0.3">
      <c r="A14" s="3">
        <v>11</v>
      </c>
      <c r="B14" s="3" t="s">
        <v>404</v>
      </c>
      <c r="C14" s="3" t="s">
        <v>405</v>
      </c>
      <c r="D14" s="5">
        <v>13.69</v>
      </c>
      <c r="E14" s="5">
        <f t="shared" si="0"/>
        <v>27.760650000000002</v>
      </c>
      <c r="F14" s="5">
        <v>39.99</v>
      </c>
      <c r="G14" s="5">
        <f t="shared" si="1"/>
        <v>6.2308500000000002</v>
      </c>
      <c r="H14" s="3" t="s">
        <v>54</v>
      </c>
      <c r="I14" s="3">
        <f>6600+1000</f>
        <v>7600</v>
      </c>
      <c r="J14" s="3" t="s">
        <v>382</v>
      </c>
      <c r="K14" s="23" t="s">
        <v>406</v>
      </c>
    </row>
    <row r="15" spans="1:11" ht="14.4" x14ac:dyDescent="0.3">
      <c r="A15" s="3">
        <v>12</v>
      </c>
      <c r="B15" s="3" t="s">
        <v>152</v>
      </c>
      <c r="C15" s="3" t="s">
        <v>407</v>
      </c>
      <c r="D15" s="5">
        <v>6.15</v>
      </c>
      <c r="E15" s="5">
        <f t="shared" si="0"/>
        <v>17.31775</v>
      </c>
      <c r="F15" s="5">
        <v>19.989999999999998</v>
      </c>
      <c r="G15" s="5">
        <f t="shared" si="1"/>
        <v>-0.32625000000000126</v>
      </c>
      <c r="H15" s="3" t="s">
        <v>408</v>
      </c>
      <c r="I15" s="3">
        <f>135000</f>
        <v>135000</v>
      </c>
      <c r="J15" s="3" t="s">
        <v>386</v>
      </c>
      <c r="K15" s="23" t="s">
        <v>406</v>
      </c>
    </row>
    <row r="16" spans="1:11" ht="14.4" x14ac:dyDescent="0.3">
      <c r="A16" s="3">
        <v>13</v>
      </c>
      <c r="B16" s="3" t="s">
        <v>409</v>
      </c>
      <c r="C16" s="3" t="s">
        <v>410</v>
      </c>
      <c r="D16" s="5">
        <v>6.89</v>
      </c>
      <c r="E16" s="5">
        <f t="shared" si="0"/>
        <v>18.342649999999999</v>
      </c>
      <c r="F16" s="5">
        <v>19.989999999999998</v>
      </c>
      <c r="G16" s="5">
        <f t="shared" si="1"/>
        <v>-1.3511500000000001</v>
      </c>
      <c r="H16" s="3" t="s">
        <v>411</v>
      </c>
      <c r="I16" s="3">
        <f>2900+6600</f>
        <v>9500</v>
      </c>
      <c r="J16" s="3" t="s">
        <v>412</v>
      </c>
      <c r="K16" s="23" t="s">
        <v>406</v>
      </c>
    </row>
    <row r="17" spans="1:11" ht="14.4" x14ac:dyDescent="0.3">
      <c r="A17" s="3">
        <v>14</v>
      </c>
      <c r="B17" s="3" t="s">
        <v>137</v>
      </c>
      <c r="C17" s="3" t="s">
        <v>413</v>
      </c>
      <c r="D17" s="5">
        <v>14.79</v>
      </c>
      <c r="E17" s="5">
        <f t="shared" si="0"/>
        <v>29.28415</v>
      </c>
      <c r="F17" s="5">
        <v>39.99</v>
      </c>
      <c r="G17" s="5">
        <f t="shared" si="1"/>
        <v>4.7073500000000017</v>
      </c>
      <c r="H17" s="3" t="s">
        <v>414</v>
      </c>
      <c r="I17" s="3">
        <f>18100+480</f>
        <v>18580</v>
      </c>
      <c r="J17" s="3" t="s">
        <v>386</v>
      </c>
      <c r="K17" s="23" t="s">
        <v>406</v>
      </c>
    </row>
    <row r="18" spans="1:11" ht="14.4" x14ac:dyDescent="0.3">
      <c r="A18" s="3">
        <v>15</v>
      </c>
      <c r="B18" s="3" t="s">
        <v>415</v>
      </c>
      <c r="C18" s="3" t="s">
        <v>416</v>
      </c>
      <c r="D18" s="5">
        <v>11.39</v>
      </c>
      <c r="E18" s="5">
        <f t="shared" si="0"/>
        <v>24.575150000000001</v>
      </c>
      <c r="F18" s="5">
        <v>34.99</v>
      </c>
      <c r="G18" s="5">
        <f t="shared" si="1"/>
        <v>5.1663500000000013</v>
      </c>
      <c r="H18" s="3" t="s">
        <v>417</v>
      </c>
      <c r="I18" s="3">
        <f>6600</f>
        <v>6600</v>
      </c>
      <c r="J18" s="3" t="s">
        <v>382</v>
      </c>
      <c r="K18" s="23" t="s">
        <v>406</v>
      </c>
    </row>
    <row r="19" spans="1:11" ht="14.4" x14ac:dyDescent="0.3">
      <c r="A19" s="3">
        <v>16</v>
      </c>
      <c r="B19" s="3" t="s">
        <v>418</v>
      </c>
      <c r="C19" s="3" t="s">
        <v>419</v>
      </c>
      <c r="D19" s="5">
        <v>11.76</v>
      </c>
      <c r="E19" s="5">
        <f t="shared" si="0"/>
        <v>25.087600000000002</v>
      </c>
      <c r="F19" s="5">
        <v>34.99</v>
      </c>
      <c r="G19" s="5">
        <f t="shared" si="1"/>
        <v>4.6539000000000001</v>
      </c>
      <c r="H19" s="3" t="s">
        <v>420</v>
      </c>
      <c r="I19" s="3">
        <f>3600+1000</f>
        <v>4600</v>
      </c>
      <c r="J19" s="3" t="s">
        <v>412</v>
      </c>
      <c r="K19" s="23" t="s">
        <v>406</v>
      </c>
    </row>
    <row r="20" spans="1:11" ht="14.4" x14ac:dyDescent="0.3">
      <c r="A20" s="3">
        <v>17</v>
      </c>
      <c r="B20" s="3" t="s">
        <v>421</v>
      </c>
      <c r="C20" s="3" t="s">
        <v>422</v>
      </c>
      <c r="D20" s="5">
        <v>18.690000000000001</v>
      </c>
      <c r="E20" s="5">
        <f t="shared" si="0"/>
        <v>34.685650000000003</v>
      </c>
      <c r="F20" s="5">
        <v>49.99</v>
      </c>
      <c r="G20" s="5">
        <f t="shared" si="1"/>
        <v>7.8058499999999995</v>
      </c>
      <c r="H20" s="3" t="s">
        <v>403</v>
      </c>
      <c r="I20" s="3">
        <f>40500+1300</f>
        <v>41800</v>
      </c>
      <c r="J20" s="3" t="s">
        <v>386</v>
      </c>
      <c r="K20" s="24" t="s">
        <v>423</v>
      </c>
    </row>
    <row r="21" spans="1:11" ht="14.4" x14ac:dyDescent="0.3">
      <c r="A21" s="3">
        <v>18</v>
      </c>
      <c r="B21" s="3" t="s">
        <v>424</v>
      </c>
      <c r="C21" s="3" t="s">
        <v>425</v>
      </c>
      <c r="D21" s="5">
        <v>18.5</v>
      </c>
      <c r="E21" s="5">
        <f t="shared" si="0"/>
        <v>34.422499999999999</v>
      </c>
      <c r="F21" s="5">
        <v>49.99</v>
      </c>
      <c r="G21" s="5">
        <f t="shared" si="1"/>
        <v>8.0690000000000026</v>
      </c>
      <c r="H21" s="3" t="s">
        <v>426</v>
      </c>
      <c r="I21" s="3">
        <f>880+110+2900</f>
        <v>3890</v>
      </c>
      <c r="J21" s="3" t="s">
        <v>382</v>
      </c>
      <c r="K21" s="24" t="s">
        <v>423</v>
      </c>
    </row>
  </sheetData>
  <autoFilter ref="A3:K21" xr:uid="{00000000-0009-0000-0000-000005000000}"/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Keyword Research</vt:lpstr>
      <vt:lpstr>Price Comparison</vt:lpstr>
      <vt:lpstr>Tariff &amp; Cost Analysis</vt:lpstr>
      <vt:lpstr>Niche Strategy</vt:lpstr>
      <vt:lpstr>2026 Trends &amp; Motifs</vt:lpstr>
      <vt:lpstr>Launch Priority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Owner</cp:lastModifiedBy>
  <cp:revision>0</cp:revision>
  <dcterms:created xsi:type="dcterms:W3CDTF">2026-03-01T18:55:03Z</dcterms:created>
  <dcterms:modified xsi:type="dcterms:W3CDTF">2026-03-02T10:38:31Z</dcterms:modified>
  <dc:language>en-US</dc:language>
</cp:coreProperties>
</file>