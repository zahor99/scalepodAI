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EtsyAutomation\EtsyResearch\"/>
    </mc:Choice>
  </mc:AlternateContent>
  <xr:revisionPtr revIDLastSave="0" documentId="8_{9F7F5728-C983-4D58-ACFC-6B17FB6F2C5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OAS Per Keyword" sheetId="1" r:id="rId1"/>
    <sheet name="Budget Scenarios" sheetId="2" r:id="rId2"/>
    <sheet name="CVR Sensitivity" sheetId="3" r:id="rId3"/>
    <sheet name="Ad Strategy Playbook" sheetId="4" r:id="rId4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17" i="1"/>
  <c r="G18" i="1"/>
  <c r="G19" i="1"/>
  <c r="G20" i="1"/>
  <c r="G21" i="1"/>
  <c r="G9" i="1"/>
  <c r="F10" i="1"/>
  <c r="F11" i="1"/>
  <c r="F12" i="1"/>
  <c r="F13" i="1"/>
  <c r="F14" i="1"/>
  <c r="F15" i="1"/>
  <c r="F16" i="1"/>
  <c r="F17" i="1"/>
  <c r="F18" i="1"/>
  <c r="F19" i="1"/>
  <c r="F20" i="1"/>
  <c r="F21" i="1"/>
  <c r="F9" i="1"/>
  <c r="E22" i="3" l="1"/>
  <c r="C22" i="3"/>
  <c r="H22" i="3" s="1"/>
  <c r="H21" i="3"/>
  <c r="G21" i="3"/>
  <c r="F21" i="3"/>
  <c r="E21" i="3"/>
  <c r="D21" i="3"/>
  <c r="C21" i="3"/>
  <c r="E20" i="3"/>
  <c r="C20" i="3"/>
  <c r="H20" i="3" s="1"/>
  <c r="H19" i="3"/>
  <c r="F19" i="3"/>
  <c r="G19" i="3" s="1"/>
  <c r="E19" i="3"/>
  <c r="D19" i="3"/>
  <c r="C19" i="3"/>
  <c r="J16" i="2"/>
  <c r="I16" i="2"/>
  <c r="H16" i="2"/>
  <c r="G16" i="2"/>
  <c r="F16" i="2"/>
  <c r="K16" i="2" s="1"/>
  <c r="E16" i="2"/>
  <c r="C16" i="2"/>
  <c r="D16" i="2" s="1"/>
  <c r="B16" i="2"/>
  <c r="E15" i="2"/>
  <c r="F15" i="2" s="1"/>
  <c r="C15" i="2"/>
  <c r="D15" i="2" s="1"/>
  <c r="B15" i="2"/>
  <c r="J14" i="2"/>
  <c r="I14" i="2"/>
  <c r="H14" i="2"/>
  <c r="G14" i="2"/>
  <c r="F14" i="2"/>
  <c r="K14" i="2" s="1"/>
  <c r="E14" i="2"/>
  <c r="C14" i="2"/>
  <c r="D14" i="2" s="1"/>
  <c r="B14" i="2"/>
  <c r="E13" i="2"/>
  <c r="F13" i="2" s="1"/>
  <c r="C13" i="2"/>
  <c r="D13" i="2" s="1"/>
  <c r="B13" i="2"/>
  <c r="J12" i="2"/>
  <c r="I12" i="2"/>
  <c r="H12" i="2"/>
  <c r="G12" i="2"/>
  <c r="F12" i="2"/>
  <c r="K12" i="2" s="1"/>
  <c r="E12" i="2"/>
  <c r="C12" i="2"/>
  <c r="D12" i="2" s="1"/>
  <c r="B12" i="2"/>
  <c r="E11" i="2"/>
  <c r="F11" i="2" s="1"/>
  <c r="C11" i="2"/>
  <c r="D11" i="2" s="1"/>
  <c r="B11" i="2"/>
  <c r="J10" i="2"/>
  <c r="I10" i="2"/>
  <c r="H10" i="2"/>
  <c r="G10" i="2"/>
  <c r="F10" i="2"/>
  <c r="K10" i="2" s="1"/>
  <c r="E10" i="2"/>
  <c r="C10" i="2"/>
  <c r="D10" i="2" s="1"/>
  <c r="B10" i="2"/>
  <c r="L21" i="1"/>
  <c r="I21" i="1"/>
  <c r="K21" i="1" s="1"/>
  <c r="H21" i="1"/>
  <c r="L20" i="1"/>
  <c r="H20" i="1"/>
  <c r="I20" i="1" s="1"/>
  <c r="K20" i="1" s="1"/>
  <c r="J20" i="1"/>
  <c r="H19" i="1"/>
  <c r="I19" i="1" s="1"/>
  <c r="K19" i="1" s="1"/>
  <c r="L19" i="1"/>
  <c r="H18" i="1"/>
  <c r="I18" i="1" s="1"/>
  <c r="L18" i="1"/>
  <c r="H17" i="1"/>
  <c r="I17" i="1" s="1"/>
  <c r="L17" i="1"/>
  <c r="L16" i="1"/>
  <c r="K16" i="1"/>
  <c r="I16" i="1"/>
  <c r="H16" i="1"/>
  <c r="J16" i="1"/>
  <c r="H15" i="1"/>
  <c r="I15" i="1" s="1"/>
  <c r="L15" i="1"/>
  <c r="H14" i="1"/>
  <c r="I14" i="1" s="1"/>
  <c r="L14" i="1"/>
  <c r="H13" i="1"/>
  <c r="I13" i="1" s="1"/>
  <c r="K13" i="1" s="1"/>
  <c r="J13" i="1"/>
  <c r="H12" i="1"/>
  <c r="I12" i="1" s="1"/>
  <c r="K12" i="1" s="1"/>
  <c r="L12" i="1"/>
  <c r="H11" i="1"/>
  <c r="I11" i="1" s="1"/>
  <c r="L11" i="1"/>
  <c r="L10" i="1"/>
  <c r="H10" i="1"/>
  <c r="I10" i="1" s="1"/>
  <c r="K10" i="1" s="1"/>
  <c r="H9" i="1"/>
  <c r="I9" i="1" s="1"/>
  <c r="L9" i="1"/>
  <c r="L13" i="1" l="1"/>
  <c r="J19" i="1"/>
  <c r="J10" i="1"/>
  <c r="K11" i="1"/>
  <c r="J11" i="1"/>
  <c r="K13" i="2"/>
  <c r="H13" i="2"/>
  <c r="I13" i="2" s="1"/>
  <c r="G13" i="2"/>
  <c r="J13" i="2" s="1"/>
  <c r="K17" i="1"/>
  <c r="J17" i="1"/>
  <c r="J12" i="1"/>
  <c r="K18" i="1"/>
  <c r="J18" i="1"/>
  <c r="K11" i="2"/>
  <c r="H11" i="2"/>
  <c r="I11" i="2" s="1"/>
  <c r="G11" i="2"/>
  <c r="J11" i="2" s="1"/>
  <c r="K14" i="1"/>
  <c r="J14" i="1"/>
  <c r="K15" i="2"/>
  <c r="H15" i="2"/>
  <c r="I15" i="2" s="1"/>
  <c r="G15" i="2"/>
  <c r="J15" i="2" s="1"/>
  <c r="K15" i="1"/>
  <c r="J15" i="1"/>
  <c r="K9" i="1"/>
  <c r="J9" i="1"/>
  <c r="J21" i="1"/>
  <c r="D20" i="3"/>
  <c r="F20" i="3"/>
  <c r="G20" i="3" s="1"/>
  <c r="D22" i="3"/>
  <c r="F22" i="3"/>
  <c r="G22" i="3" s="1"/>
</calcChain>
</file>

<file path=xl/sharedStrings.xml><?xml version="1.0" encoding="utf-8"?>
<sst xmlns="http://schemas.openxmlformats.org/spreadsheetml/2006/main" count="153" uniqueCount="151">
  <si>
    <t>GOOGLE SHOPPING ADS — ROAS ANALYSIS PER KEYWORD</t>
  </si>
  <si>
    <t>Assumptions: Conv Rate 1.5% (conservative for new POD store), Avg CPC from Keywords Everywhere, Profit after Etsy fees 13%</t>
  </si>
  <si>
    <t>Conversion Rate:</t>
  </si>
  <si>
    <t>(Industry avg 1.57%, new store conservative)</t>
  </si>
  <si>
    <t>Etsy Fee Rate:</t>
  </si>
  <si>
    <t>Shipping (5-10 day):</t>
  </si>
  <si>
    <t>Keyword</t>
  </si>
  <si>
    <t>Monthly Vol</t>
  </si>
  <si>
    <t>CPC</t>
  </si>
  <si>
    <t>Avg Sale Price</t>
  </si>
  <si>
    <t>Avg COGS+Ship</t>
  </si>
  <si>
    <t>Profit/Sale</t>
  </si>
  <si>
    <t>Clicks to 1 Sale</t>
  </si>
  <si>
    <t>Ad Cost/Sale</t>
  </si>
  <si>
    <t>Net After Ads</t>
  </si>
  <si>
    <t>ROAS</t>
  </si>
  <si>
    <t>Break-Even CVR</t>
  </si>
  <si>
    <t>Verdict</t>
  </si>
  <si>
    <t>dark floral dress</t>
  </si>
  <si>
    <t>boho maxi dress</t>
  </si>
  <si>
    <t>cottagecore dress</t>
  </si>
  <si>
    <t>celestial dress</t>
  </si>
  <si>
    <t>vintage floral dress</t>
  </si>
  <si>
    <t>whimsigoth dress</t>
  </si>
  <si>
    <t>boho floral maxi dress</t>
  </si>
  <si>
    <t>artsy dress</t>
  </si>
  <si>
    <t>boho print dress</t>
  </si>
  <si>
    <t>mushroom print dress</t>
  </si>
  <si>
    <t>botanical print dress</t>
  </si>
  <si>
    <t>japanese print dress</t>
  </si>
  <si>
    <t>celestial print dress</t>
  </si>
  <si>
    <t>KEY INSIGHT: At 1.5% conversion rate, every keyword except "boho floral maxi dress" ($0.66 CPC) delivers positive ROAS. Most keywords yield $2.50-$2.80 ROAS — meaning every $1 in ads returns $2.50-$2.80 in revenue. Break-even conversion rates are 0.6%-1.6% — well below the 1.57% industry average.</t>
  </si>
  <si>
    <t>GOOGLE SHOPPING ADS — DAILY BUDGET SCENARIOS</t>
  </si>
  <si>
    <t>Using weighted avg CPC of $0.36 across top 6 keywords, 1.5% conversion rate, $30 avg profit/sale</t>
  </si>
  <si>
    <t>Weighted Avg CPC:</t>
  </si>
  <si>
    <t>Avg Profit/Sale (after COGS+fees):</t>
  </si>
  <si>
    <t>Avg Sale Price:</t>
  </si>
  <si>
    <t>Daily Budget</t>
  </si>
  <si>
    <t>Monthly Ad Spend</t>
  </si>
  <si>
    <t>Clicks/Day</t>
  </si>
  <si>
    <t>Clicks/Month</t>
  </si>
  <si>
    <t>Sales/Day</t>
  </si>
  <si>
    <t>Sales/Month</t>
  </si>
  <si>
    <t>Revenue/Month</t>
  </si>
  <si>
    <t>Gross Profit/Month</t>
  </si>
  <si>
    <t>Net Profit After Ads</t>
  </si>
  <si>
    <t>Monthly ROAS</t>
  </si>
  <si>
    <t>Reviews in 90 Days</t>
  </si>
  <si>
    <t>RECOMMENDED STRATEGY</t>
  </si>
  <si>
    <t>PHASE 1 (Week 1-4): $5/day</t>
  </si>
  <si>
    <t>$150/month. ~3-4 sales/month, builds initial data. Focus on top 2 keywords: "dark floral dress" + "cottagecore dress" (lowest CPCs, highest volume). Goal: validate conversion rate + get first reviews.</t>
  </si>
  <si>
    <t>PHASE 2 (Month 2-3): $10/day</t>
  </si>
  <si>
    <t>$300/month. ~6-7 sales/month. Add "celestial dress" + "boho maxi dress". Goal: 15-20 reviews, optimize listing images based on click data.</t>
  </si>
  <si>
    <t>PHASE 3 (Month 4+): $15-20/day</t>
  </si>
  <si>
    <t>$450-600/month. Scale winners, kill losers. By now you have 20+ reviews, conversion rate should improve to 2%+. Reinvest profits into ads.</t>
  </si>
  <si>
    <t>BREAKEVEN SAFETY NET</t>
  </si>
  <si>
    <t>Even at HALF the industry conversion rate (0.75%), most keywords still break even or lose only $2-5/sale — which is worth it for the review velocity and organic ranking boost. At 1.5% CVR, you profit $6-8 per sale AFTER ad costs.</t>
  </si>
  <si>
    <t>WHY PAID ADS MAKE SENSE FOR LAUNCH (Beyond Direct ROAS)</t>
  </si>
  <si>
    <t>Review Velocity</t>
  </si>
  <si>
    <t>At $10/day, you'll get ~6-7 sales/month. With 15% review rate, that's ~1 review/month per listing. After 3 months = 3 reviews/listing. Organic buyers trust listings with reviews — this is the flywheel.</t>
  </si>
  <si>
    <t>Etsy Algorithm Boost</t>
  </si>
  <si>
    <t>Etsy rewards listings with sales velocity. Google Shopping sales count toward Etsy's "best seller" algorithm. Paid sales → organic ranking boost → free sales.</t>
  </si>
  <si>
    <t>Listing Image Optimization</t>
  </si>
  <si>
    <t>Google Shopping shows you which product images get clicked. This data is gold for optimizing your listing images for organic too.</t>
  </si>
  <si>
    <t>Competitive Moat</t>
  </si>
  <si>
    <t>Most POD sellers DON'T run Google Shopping ads. They only compete on Etsy search. You'd be capturing demand that competitors aren't even targeting.</t>
  </si>
  <si>
    <t>Low CPC Window</t>
  </si>
  <si>
    <t>These CPCs ($0.28-$0.45) are LOW. As more sellers discover these keywords, CPCs will rise. First-mover advantage is real.</t>
  </si>
  <si>
    <t>Organic SEO Spillover</t>
  </si>
  <si>
    <t>Google Shopping ads create brand signals. Buyers who see your product on Google Shopping may later search for your shop on Etsy directly.</t>
  </si>
  <si>
    <t>CONVERSION RATE SENSITIVITY — Net Profit Per Sale After Ads</t>
  </si>
  <si>
    <t>Shows net profit at different conversion rates. Green = profitable, Red = losing money, Yellow = near breakeven</t>
  </si>
  <si>
    <t>Daily Budget:</t>
  </si>
  <si>
    <t>Avg CPC:</t>
  </si>
  <si>
    <t>Keyword (CPC)</t>
  </si>
  <si>
    <t>0.5% (worst)</t>
  </si>
  <si>
    <t>0.75% (pessimistic)</t>
  </si>
  <si>
    <t>1.0% (below avg)</t>
  </si>
  <si>
    <t>1.5% (conservative)</t>
  </si>
  <si>
    <t>2.0% (avg w/ reviews)</t>
  </si>
  <si>
    <t>2.5% (good)</t>
  </si>
  <si>
    <t>3.0% (great)</t>
  </si>
  <si>
    <t>dark floral ($0.35)</t>
  </si>
  <si>
    <t>boho maxi ($0.34)</t>
  </si>
  <si>
    <t>cottagecore ($0.28)</t>
  </si>
  <si>
    <t>celestial ($0.45)</t>
  </si>
  <si>
    <t>vintage floral ($0.33)</t>
  </si>
  <si>
    <t>whimsigoth ($0.28)</t>
  </si>
  <si>
    <t>boho floral maxi ($0.66)</t>
  </si>
  <si>
    <t>artsy ($0.49)</t>
  </si>
  <si>
    <t>mushroom print ($0.54)</t>
  </si>
  <si>
    <t>INTERPRETATION: Even at a pessimistic 0.75% CVR, 6 of 9 keywords are profitable or near break-even. At the industry average of 1.5%, ALL keywords are profitable ($5-$12 net per sale after ads). The "boho floral maxi dress" keyword at $0.66 CPC is the riskiest — only profitable above 1.0% CVR.</t>
  </si>
  <si>
    <t>90-DAY SCENARIO: $10/day Budget on Top 4 Keywords</t>
  </si>
  <si>
    <t>Scenario</t>
  </si>
  <si>
    <t>CVR</t>
  </si>
  <si>
    <t>Sales in 90 days</t>
  </si>
  <si>
    <t>Revenue</t>
  </si>
  <si>
    <t>Ad Spend</t>
  </si>
  <si>
    <t>Gross Profit</t>
  </si>
  <si>
    <t>Est. Reviews</t>
  </si>
  <si>
    <t>Worst Case</t>
  </si>
  <si>
    <t>0.75%</t>
  </si>
  <si>
    <t>Conservative</t>
  </si>
  <si>
    <t>1.5%</t>
  </si>
  <si>
    <t>Industry Avg</t>
  </si>
  <si>
    <t>2.0%</t>
  </si>
  <si>
    <t>Optimized</t>
  </si>
  <si>
    <t>3.0%</t>
  </si>
  <si>
    <t>GOOGLE SHOPPING ADS PLAYBOOK — AOP Dress Launch</t>
  </si>
  <si>
    <t>SETUP REQUIREMENTS</t>
  </si>
  <si>
    <t>Google Merchant Center</t>
  </si>
  <si>
    <t>Free to set up. Upload product feed from Etsy (Etsy integrates natively with GMC). Requires business verification.</t>
  </si>
  <si>
    <t>Product Feed</t>
  </si>
  <si>
    <t>Etsy automatically syncs to Google Shopping via Etsy Offsite Ads OR manual feed. Title optimization is critical — include "dark floral dress", "celestial maxi dress" etc. in product titles.</t>
  </si>
  <si>
    <t>Google Ads Account</t>
  </si>
  <si>
    <t>Link GMC to Google Ads. Use Performance Max or Standard Shopping campaigns.</t>
  </si>
  <si>
    <t>Budget</t>
  </si>
  <si>
    <t>Start at $5-10/day. Google needs 2-4 weeks to optimize. Don't judge results in first 14 days.</t>
  </si>
  <si>
    <t>CAMPAIGN STRUCTURE</t>
  </si>
  <si>
    <t>Campaign 1: Dark Floral</t>
  </si>
  <si>
    <t>Keywords: dark floral dress, dark botanical dress. Products: Sleeveless Maxi, Sheer Mesh Maxi, V-neck Side Slit. Budget: $3-5/day.</t>
  </si>
  <si>
    <t>Campaign 2: Boho/Cottagecore</t>
  </si>
  <si>
    <t>Keywords: boho maxi dress, cottagecore dress, vintage floral. Products: Maxi Plus Size, Elastic Waist, Ruffle Hem. Budget: $3-5/day.</t>
  </si>
  <si>
    <t>Campaign 3: Celestial/Whimsigoth</t>
  </si>
  <si>
    <t>Keywords: celestial dress, whimsigoth dress. Products: Elegant Long, Kaftan Robe, Cami Dress. Budget: $2-3/day.</t>
  </si>
  <si>
    <t>OPTIMIZATION TIMELINE</t>
  </si>
  <si>
    <t>Week 1-2</t>
  </si>
  <si>
    <t>Let campaigns run. Collect data. DO NOT make changes. Google is learning.</t>
  </si>
  <si>
    <t>Week 3-4</t>
  </si>
  <si>
    <t>Review: Which products get clicks? Which get sales? Pause products with &gt;50 clicks and 0 sales.</t>
  </si>
  <si>
    <t>Month 2</t>
  </si>
  <si>
    <t>Scale winners. If "dark floral dress" converts at 2%+, increase budget to $5-7/day for that campaign alone.</t>
  </si>
  <si>
    <t>Month 3+</t>
  </si>
  <si>
    <t>Add new dress designs based on click data. If celestial gets most clicks but fewer sales, optimize listing images. If cottagecore converts best, create more cottagecore listings.</t>
  </si>
  <si>
    <t>ETSY OFFSITE ADS vs. GOOGLE SHOPPING DIRECT</t>
  </si>
  <si>
    <t>Etsy Offsite Ads</t>
  </si>
  <si>
    <t>Etsy charges 15% fee on sales from their ads (mandatory for shops &gt;$10K/yr). You have NO control over keywords, bids, or targeting. Etsy may show your products on irrelevant searches.</t>
  </si>
  <si>
    <t>Google Shopping Direct</t>
  </si>
  <si>
    <t>YOU control keywords, bids, budget. Lower effective cost (CPC of $0.28-$0.45 vs. Etsy's flat 15% of sale). Better targeting. BUT requires Google Merchant Center setup and manual management.</t>
  </si>
  <si>
    <t>Recommendation</t>
  </si>
  <si>
    <t>Run BOTH. Etsy Offsite Ads are mandatory anyway once you scale. Google Shopping gives you additional traffic with better targeting and lower cost-per-acquisition. They target different audiences.</t>
  </si>
  <si>
    <t>KEY METRICS TO TRACK</t>
  </si>
  <si>
    <t>ROAS (target: 2.0x+)</t>
  </si>
  <si>
    <t>Revenue ÷ Ad Spend. Below 1.0x = losing money. 2.0x = healthy. 3.0x+ = scale aggressively.</t>
  </si>
  <si>
    <t>CVR (target: 1.5%+)</t>
  </si>
  <si>
    <t>Sales ÷ Clicks. Below 0.75% = fix listing (photos, price, description). Above 2% = increase budget.</t>
  </si>
  <si>
    <t>CTR (target: 1%+)</t>
  </si>
  <si>
    <t>Clicks ÷ Impressions. Below 0.5% = fix product images or title. Above 2% = great product-market fit.</t>
  </si>
  <si>
    <t>CPA (target: &lt;$25)</t>
  </si>
  <si>
    <t>Ad Spend ÷ Sales. Must be lower than your profit per sale ($22-$39). Below $20 = very healthy.</t>
  </si>
  <si>
    <t>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</si>
</sst>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\$#,##0.00"/>
    <numFmt numFmtId="166" formatCode="0.0\x"/>
    <numFmt numFmtId="167" formatCode="\$#,##0"/>
    <numFmt numFmtId="168" formatCode="#,##0.0"/>
    <numFmt numFmtId="169" formatCode="0.0"/>
  </numFmts>
  <fonts count="18" x14ac:knownFonts="1">
    <font>
      <sz val="11"/>
      <color theme="1"/>
      <name val="Calibri"/>
      <family val="2"/>
      <charset val="1"/>
    </font>
    <font>
      <b/>
      <sz val="14"/>
      <color rgb="FF2F5496"/>
      <name val="Arial"/>
      <family val="2"/>
    </font>
    <font>
      <sz val="10"/>
      <color rgb="FF666666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9"/>
      <color rgb="FF666666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sz val="11"/>
      <color rgb="FF008000"/>
      <name val="Arial"/>
      <family val="2"/>
    </font>
    <font>
      <b/>
      <sz val="13"/>
      <color rgb="FFFFFFFF"/>
      <name val="Arial"/>
      <family val="2"/>
    </font>
    <font>
      <b/>
      <sz val="10"/>
      <color rgb="FF008000"/>
      <name val="Arial"/>
      <family val="2"/>
    </font>
    <font>
      <sz val="10"/>
      <color rgb="FF008000"/>
      <name val="Arial"/>
      <family val="2"/>
    </font>
    <font>
      <b/>
      <sz val="11"/>
      <color rgb="FF2F5496"/>
      <name val="Arial"/>
      <family val="2"/>
    </font>
    <font>
      <b/>
      <sz val="10"/>
      <color rgb="FFFF0000"/>
      <name val="Arial"/>
      <family val="2"/>
    </font>
    <font>
      <b/>
      <sz val="10"/>
      <color rgb="FFFF8C00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E8F5E9"/>
        <bgColor rgb="FFFFF2CC"/>
      </patternFill>
    </fill>
    <fill>
      <patternFill patternType="solid">
        <fgColor rgb="FF2E7D32"/>
        <bgColor rgb="FF008000"/>
      </patternFill>
    </fill>
    <fill>
      <patternFill patternType="solid">
        <fgColor rgb="FFD6E4F0"/>
        <bgColor rgb="FFE8F5E9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/>
    <xf numFmtId="0" fontId="3" fillId="0" borderId="0" xfId="0" applyFont="1" applyAlignment="1"/>
    <xf numFmtId="164" fontId="4" fillId="0" borderId="0" xfId="0" applyNumberFormat="1" applyFont="1" applyAlignment="1"/>
    <xf numFmtId="0" fontId="5" fillId="0" borderId="0" xfId="0" applyFont="1" applyAlignment="1"/>
    <xf numFmtId="165" fontId="4" fillId="0" borderId="0" xfId="0" applyNumberFormat="1" applyFont="1" applyAlignment="1"/>
    <xf numFmtId="0" fontId="6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vertical="top" wrapText="1"/>
    </xf>
    <xf numFmtId="3" fontId="7" fillId="0" borderId="1" xfId="0" applyNumberFormat="1" applyFont="1" applyBorder="1" applyAlignment="1">
      <alignment vertical="top" wrapText="1"/>
    </xf>
    <xf numFmtId="166" fontId="7" fillId="0" borderId="1" xfId="0" applyNumberFormat="1" applyFont="1" applyBorder="1" applyAlignment="1">
      <alignment vertical="top" wrapText="1"/>
    </xf>
    <xf numFmtId="167" fontId="7" fillId="0" borderId="1" xfId="0" applyNumberFormat="1" applyFont="1" applyBorder="1" applyAlignment="1">
      <alignment vertical="top" wrapText="1"/>
    </xf>
    <xf numFmtId="168" fontId="7" fillId="0" borderId="1" xfId="0" applyNumberFormat="1" applyFont="1" applyBorder="1" applyAlignment="1">
      <alignment vertical="top" wrapText="1"/>
    </xf>
    <xf numFmtId="169" fontId="7" fillId="0" borderId="1" xfId="0" applyNumberFormat="1" applyFont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/>
    <xf numFmtId="165" fontId="13" fillId="7" borderId="1" xfId="0" applyNumberFormat="1" applyFont="1" applyFill="1" applyBorder="1" applyAlignment="1">
      <alignment vertical="top" wrapText="1"/>
    </xf>
    <xf numFmtId="165" fontId="14" fillId="6" borderId="1" xfId="0" applyNumberFormat="1" applyFont="1" applyFill="1" applyBorder="1" applyAlignment="1">
      <alignment vertical="top" wrapText="1"/>
    </xf>
    <xf numFmtId="165" fontId="11" fillId="3" borderId="1" xfId="0" applyNumberFormat="1" applyFont="1" applyFill="1" applyBorder="1" applyAlignment="1">
      <alignment vertical="top" wrapText="1"/>
    </xf>
    <xf numFmtId="165" fontId="10" fillId="3" borderId="1" xfId="0" applyNumberFormat="1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7" fillId="0" borderId="0" xfId="0" applyFont="1"/>
    <xf numFmtId="3" fontId="7" fillId="0" borderId="1" xfId="0" applyNumberFormat="1" applyFont="1" applyBorder="1" applyAlignment="1">
      <alignment horizontal="center" vertical="top" wrapText="1"/>
    </xf>
    <xf numFmtId="165" fontId="7" fillId="0" borderId="1" xfId="0" applyNumberFormat="1" applyFont="1" applyBorder="1" applyAlignment="1">
      <alignment horizontal="center" vertical="top" wrapText="1"/>
    </xf>
    <xf numFmtId="166" fontId="7" fillId="0" borderId="1" xfId="0" applyNumberFormat="1" applyFont="1" applyBorder="1" applyAlignment="1">
      <alignment horizontal="center" vertical="top" wrapText="1"/>
    </xf>
    <xf numFmtId="10" fontId="7" fillId="0" borderId="1" xfId="0" applyNumberFormat="1" applyFont="1" applyBorder="1" applyAlignment="1">
      <alignment horizontal="center" vertical="top" wrapText="1"/>
    </xf>
    <xf numFmtId="3" fontId="16" fillId="0" borderId="1" xfId="0" applyNumberFormat="1" applyFont="1" applyBorder="1" applyAlignment="1">
      <alignment horizontal="center" vertical="top" wrapText="1"/>
    </xf>
    <xf numFmtId="165" fontId="16" fillId="0" borderId="1" xfId="0" applyNumberFormat="1" applyFont="1" applyBorder="1" applyAlignment="1">
      <alignment horizontal="center" vertical="top" wrapText="1"/>
    </xf>
    <xf numFmtId="166" fontId="16" fillId="0" borderId="1" xfId="0" applyNumberFormat="1" applyFont="1" applyBorder="1" applyAlignment="1">
      <alignment horizontal="center" vertical="top" wrapText="1"/>
    </xf>
    <xf numFmtId="10" fontId="16" fillId="0" borderId="1" xfId="0" applyNumberFormat="1" applyFont="1" applyBorder="1" applyAlignment="1">
      <alignment horizontal="center" vertical="top" wrapText="1"/>
    </xf>
    <xf numFmtId="0" fontId="1" fillId="0" borderId="0" xfId="0" applyFont="1" applyBorder="1" applyAlignment="1"/>
    <xf numFmtId="0" fontId="2" fillId="0" borderId="0" xfId="0" applyFont="1" applyBorder="1" applyAlignment="1"/>
    <xf numFmtId="0" fontId="8" fillId="3" borderId="0" xfId="0" applyFont="1" applyFill="1" applyBorder="1" applyAlignment="1"/>
    <xf numFmtId="0" fontId="7" fillId="0" borderId="2" xfId="0" applyFont="1" applyBorder="1" applyAlignment="1">
      <alignment vertical="top" wrapText="1"/>
    </xf>
    <xf numFmtId="0" fontId="12" fillId="5" borderId="0" xfId="0" applyFont="1" applyFill="1" applyBorder="1" applyAlignment="1"/>
    <xf numFmtId="0" fontId="9" fillId="4" borderId="0" xfId="0" applyFont="1" applyFill="1" applyBorder="1" applyAlignment="1"/>
    <xf numFmtId="0" fontId="15" fillId="5" borderId="0" xfId="0" applyFont="1" applyFill="1" applyBorder="1" applyAlignment="1"/>
    <xf numFmtId="0" fontId="6" fillId="2" borderId="3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8C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Normal="100" workbookViewId="0">
      <selection activeCell="P8" sqref="P8"/>
    </sheetView>
  </sheetViews>
  <sheetFormatPr defaultColWidth="8.6640625" defaultRowHeight="15" customHeight="1" x14ac:dyDescent="0.3"/>
  <cols>
    <col min="1" max="1" width="24" style="1" customWidth="1"/>
    <col min="2" max="2" width="12" style="1" customWidth="1"/>
    <col min="3" max="3" width="8" style="1" customWidth="1"/>
    <col min="4" max="4" width="12" style="1" customWidth="1"/>
    <col min="5" max="5" width="13" style="1" customWidth="1"/>
    <col min="6" max="6" width="10.6640625" style="1" bestFit="1" customWidth="1"/>
    <col min="7" max="9" width="12" style="1" customWidth="1"/>
    <col min="10" max="10" width="13.6640625" style="1" customWidth="1"/>
    <col min="11" max="11" width="13" style="1" customWidth="1"/>
    <col min="12" max="12" width="18" style="1" customWidth="1"/>
  </cols>
  <sheetData>
    <row r="1" spans="1:13" ht="17.25" customHeight="1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3" ht="15" customHeight="1" x14ac:dyDescent="0.3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1:13" ht="15" customHeight="1" x14ac:dyDescent="0.3">
      <c r="A4" s="2" t="s">
        <v>2</v>
      </c>
      <c r="B4" s="3">
        <v>1.4999999999999999E-2</v>
      </c>
      <c r="C4" s="4" t="s">
        <v>3</v>
      </c>
    </row>
    <row r="5" spans="1:13" ht="15" customHeight="1" x14ac:dyDescent="0.3">
      <c r="A5" s="2" t="s">
        <v>4</v>
      </c>
      <c r="B5" s="3">
        <v>0.13</v>
      </c>
    </row>
    <row r="6" spans="1:13" ht="15" customHeight="1" x14ac:dyDescent="0.3">
      <c r="A6" s="2" t="s">
        <v>5</v>
      </c>
      <c r="B6" s="5">
        <v>9.5</v>
      </c>
    </row>
    <row r="8" spans="1:13" ht="39" customHeight="1" x14ac:dyDescent="0.3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42" t="s">
        <v>150</v>
      </c>
      <c r="G8" s="6" t="s">
        <v>11</v>
      </c>
      <c r="H8" s="6" t="s">
        <v>12</v>
      </c>
      <c r="I8" s="6" t="s">
        <v>13</v>
      </c>
      <c r="J8" s="6" t="s">
        <v>14</v>
      </c>
      <c r="K8" s="6" t="s">
        <v>15</v>
      </c>
      <c r="L8" s="6" t="s">
        <v>16</v>
      </c>
      <c r="M8" s="6" t="s">
        <v>17</v>
      </c>
    </row>
    <row r="9" spans="1:13" ht="15" customHeight="1" x14ac:dyDescent="0.3">
      <c r="A9" s="25" t="s">
        <v>18</v>
      </c>
      <c r="B9" s="27">
        <v>9900</v>
      </c>
      <c r="C9" s="28">
        <v>0.35</v>
      </c>
      <c r="D9" s="28">
        <v>59.99</v>
      </c>
      <c r="E9" s="28">
        <v>20.86</v>
      </c>
      <c r="F9" s="43">
        <f>E9*0.5*0.3</f>
        <v>3.129</v>
      </c>
      <c r="G9" s="28">
        <f>D9-E9-D9*$B$5-F9</f>
        <v>28.202300000000001</v>
      </c>
      <c r="H9" s="27">
        <f t="shared" ref="H9:H21" si="0">1/$B$4</f>
        <v>66.666666666666671</v>
      </c>
      <c r="I9" s="28">
        <f>H9*C9</f>
        <v>23.333333333333332</v>
      </c>
      <c r="J9" s="28">
        <f t="shared" ref="J9:J21" si="1">G9-I9</f>
        <v>4.8689666666666689</v>
      </c>
      <c r="K9" s="29">
        <f>D9/I9</f>
        <v>2.5710000000000002</v>
      </c>
      <c r="L9" s="30">
        <f>IF(C9=0,"FREE",C9/G9)</f>
        <v>1.2410335327260541E-2</v>
      </c>
      <c r="M9" s="7"/>
    </row>
    <row r="10" spans="1:13" ht="15" customHeight="1" x14ac:dyDescent="0.3">
      <c r="A10" s="25" t="s">
        <v>19</v>
      </c>
      <c r="B10" s="27">
        <v>14800</v>
      </c>
      <c r="C10" s="28">
        <v>0.34</v>
      </c>
      <c r="D10" s="28">
        <v>54.99</v>
      </c>
      <c r="E10" s="28">
        <v>22.04</v>
      </c>
      <c r="F10" s="43">
        <f t="shared" ref="F10:F21" si="2">E10*0.5*0.3</f>
        <v>3.3059999999999996</v>
      </c>
      <c r="G10" s="28">
        <f t="shared" ref="G10:G21" si="3">D10-E10-D10*$B$5-F10</f>
        <v>22.4953</v>
      </c>
      <c r="H10" s="27">
        <f t="shared" si="0"/>
        <v>66.666666666666671</v>
      </c>
      <c r="I10" s="28">
        <f>H10*C10</f>
        <v>22.666666666666671</v>
      </c>
      <c r="J10" s="32">
        <f t="shared" si="1"/>
        <v>-0.17136666666667111</v>
      </c>
      <c r="K10" s="29">
        <f>D10/I10</f>
        <v>2.4260294117647057</v>
      </c>
      <c r="L10" s="30">
        <f>IF(C10=0,"FREE",C10/G10)</f>
        <v>1.5114268313825556E-2</v>
      </c>
      <c r="M10" s="7"/>
    </row>
    <row r="11" spans="1:13" ht="15" customHeight="1" x14ac:dyDescent="0.3">
      <c r="A11" s="25" t="s">
        <v>20</v>
      </c>
      <c r="B11" s="27">
        <v>6600</v>
      </c>
      <c r="C11" s="28">
        <v>0.28000000000000003</v>
      </c>
      <c r="D11" s="28">
        <v>49.99</v>
      </c>
      <c r="E11" s="28">
        <v>20.28</v>
      </c>
      <c r="F11" s="43">
        <f t="shared" si="2"/>
        <v>3.0420000000000003</v>
      </c>
      <c r="G11" s="28">
        <f t="shared" si="3"/>
        <v>20.1693</v>
      </c>
      <c r="H11" s="27">
        <f t="shared" si="0"/>
        <v>66.666666666666671</v>
      </c>
      <c r="I11" s="28">
        <f>H11*C11</f>
        <v>18.666666666666671</v>
      </c>
      <c r="J11" s="28">
        <f t="shared" si="1"/>
        <v>1.5026333333333284</v>
      </c>
      <c r="K11" s="29">
        <f>D11/I11</f>
        <v>2.6780357142857136</v>
      </c>
      <c r="L11" s="30">
        <f>IF(C11=0,"FREE",C11/G11)</f>
        <v>1.3882484766451986E-2</v>
      </c>
      <c r="M11" s="7"/>
    </row>
    <row r="12" spans="1:13" ht="15" customHeight="1" x14ac:dyDescent="0.3">
      <c r="A12" s="25" t="s">
        <v>21</v>
      </c>
      <c r="B12" s="27">
        <v>2900</v>
      </c>
      <c r="C12" s="28">
        <v>0.45</v>
      </c>
      <c r="D12" s="28">
        <v>64.989999999999995</v>
      </c>
      <c r="E12" s="28">
        <v>25.37</v>
      </c>
      <c r="F12" s="43">
        <f t="shared" si="2"/>
        <v>3.8054999999999999</v>
      </c>
      <c r="G12" s="28">
        <f t="shared" si="3"/>
        <v>27.365799999999993</v>
      </c>
      <c r="H12" s="27">
        <f t="shared" si="0"/>
        <v>66.666666666666671</v>
      </c>
      <c r="I12" s="28">
        <f>H12*C12</f>
        <v>30.000000000000004</v>
      </c>
      <c r="J12" s="32">
        <f t="shared" si="1"/>
        <v>-2.6342000000000105</v>
      </c>
      <c r="K12" s="29">
        <f>D12/I12</f>
        <v>2.1663333333333328</v>
      </c>
      <c r="L12" s="30">
        <f>IF(C12=0,"FREE",C12/G12)</f>
        <v>1.6443882510286566E-2</v>
      </c>
      <c r="M12" s="7"/>
    </row>
    <row r="13" spans="1:13" ht="15" customHeight="1" x14ac:dyDescent="0.3">
      <c r="A13" s="25" t="s">
        <v>22</v>
      </c>
      <c r="B13" s="27">
        <v>1600</v>
      </c>
      <c r="C13" s="28">
        <v>0.33</v>
      </c>
      <c r="D13" s="28">
        <v>49.99</v>
      </c>
      <c r="E13" s="28">
        <v>20.96</v>
      </c>
      <c r="F13" s="43">
        <f t="shared" si="2"/>
        <v>3.1440000000000001</v>
      </c>
      <c r="G13" s="28">
        <f t="shared" si="3"/>
        <v>19.387300000000003</v>
      </c>
      <c r="H13" s="27">
        <f t="shared" si="0"/>
        <v>66.666666666666671</v>
      </c>
      <c r="I13" s="28">
        <f>H13*C13</f>
        <v>22.000000000000004</v>
      </c>
      <c r="J13" s="32">
        <f t="shared" si="1"/>
        <v>-2.6127000000000002</v>
      </c>
      <c r="K13" s="29">
        <f>D13/I13</f>
        <v>2.272272727272727</v>
      </c>
      <c r="L13" s="30">
        <f>IF(C13=0,"FREE",C13/G13)</f>
        <v>1.7021452187772405E-2</v>
      </c>
      <c r="M13" s="7"/>
    </row>
    <row r="14" spans="1:13" ht="15" customHeight="1" x14ac:dyDescent="0.3">
      <c r="A14" s="25" t="s">
        <v>23</v>
      </c>
      <c r="B14" s="27">
        <v>880</v>
      </c>
      <c r="C14" s="28">
        <v>0.28000000000000003</v>
      </c>
      <c r="D14" s="28">
        <v>54.99</v>
      </c>
      <c r="E14" s="28">
        <v>20.47</v>
      </c>
      <c r="F14" s="43">
        <f t="shared" si="2"/>
        <v>3.0704999999999996</v>
      </c>
      <c r="G14" s="28">
        <f t="shared" si="3"/>
        <v>24.300800000000002</v>
      </c>
      <c r="H14" s="27">
        <f t="shared" si="0"/>
        <v>66.666666666666671</v>
      </c>
      <c r="I14" s="28">
        <f>H14*C14</f>
        <v>18.666666666666671</v>
      </c>
      <c r="J14" s="28">
        <f t="shared" si="1"/>
        <v>5.634133333333331</v>
      </c>
      <c r="K14" s="29">
        <f>D14/I14</f>
        <v>2.9458928571428564</v>
      </c>
      <c r="L14" s="30">
        <f>IF(C14=0,"FREE",C14/G14)</f>
        <v>1.1522254411377403E-2</v>
      </c>
      <c r="M14" s="7"/>
    </row>
    <row r="15" spans="1:13" ht="15" customHeight="1" x14ac:dyDescent="0.3">
      <c r="A15" s="7" t="s">
        <v>24</v>
      </c>
      <c r="B15" s="27">
        <v>480</v>
      </c>
      <c r="C15" s="28">
        <v>0.66</v>
      </c>
      <c r="D15" s="28">
        <v>54.99</v>
      </c>
      <c r="E15" s="28">
        <v>22.04</v>
      </c>
      <c r="F15" s="43">
        <f t="shared" si="2"/>
        <v>3.3059999999999996</v>
      </c>
      <c r="G15" s="28">
        <f t="shared" si="3"/>
        <v>22.4953</v>
      </c>
      <c r="H15" s="27">
        <f t="shared" si="0"/>
        <v>66.666666666666671</v>
      </c>
      <c r="I15" s="28">
        <f>H15*C15</f>
        <v>44.000000000000007</v>
      </c>
      <c r="J15" s="32">
        <f t="shared" si="1"/>
        <v>-21.504700000000007</v>
      </c>
      <c r="K15" s="29">
        <f>D15/I15</f>
        <v>1.249772727272727</v>
      </c>
      <c r="L15" s="30">
        <f>IF(C15=0,"FREE",C15/G15)</f>
        <v>2.9339462020955491E-2</v>
      </c>
      <c r="M15" s="7"/>
    </row>
    <row r="16" spans="1:13" ht="15" customHeight="1" x14ac:dyDescent="0.3">
      <c r="A16" s="7" t="s">
        <v>25</v>
      </c>
      <c r="B16" s="27">
        <v>390</v>
      </c>
      <c r="C16" s="28">
        <v>0.49</v>
      </c>
      <c r="D16" s="28">
        <v>49.99</v>
      </c>
      <c r="E16" s="28">
        <v>22.24</v>
      </c>
      <c r="F16" s="43">
        <f t="shared" si="2"/>
        <v>3.3359999999999999</v>
      </c>
      <c r="G16" s="28">
        <f t="shared" si="3"/>
        <v>17.915300000000006</v>
      </c>
      <c r="H16" s="27">
        <f t="shared" si="0"/>
        <v>66.666666666666671</v>
      </c>
      <c r="I16" s="28">
        <f>H16*C16</f>
        <v>32.666666666666671</v>
      </c>
      <c r="J16" s="32">
        <f t="shared" si="1"/>
        <v>-14.751366666666666</v>
      </c>
      <c r="K16" s="29">
        <f>D16/I16</f>
        <v>1.5303061224489793</v>
      </c>
      <c r="L16" s="30">
        <f>IF(C16=0,"FREE",C16/G16)</f>
        <v>2.7350923512305114E-2</v>
      </c>
      <c r="M16" s="7"/>
    </row>
    <row r="17" spans="1:13" s="26" customFormat="1" ht="15" customHeight="1" x14ac:dyDescent="0.3">
      <c r="A17" s="25" t="s">
        <v>26</v>
      </c>
      <c r="B17" s="31">
        <v>210</v>
      </c>
      <c r="C17" s="32">
        <v>0.38</v>
      </c>
      <c r="D17" s="32">
        <v>49.99</v>
      </c>
      <c r="E17" s="32">
        <v>20.28</v>
      </c>
      <c r="F17" s="43">
        <f t="shared" si="2"/>
        <v>3.0420000000000003</v>
      </c>
      <c r="G17" s="28">
        <f t="shared" si="3"/>
        <v>20.1693</v>
      </c>
      <c r="H17" s="31">
        <f t="shared" si="0"/>
        <v>66.666666666666671</v>
      </c>
      <c r="I17" s="32">
        <f>H17*C17</f>
        <v>25.333333333333336</v>
      </c>
      <c r="J17" s="32">
        <f t="shared" si="1"/>
        <v>-5.1640333333333359</v>
      </c>
      <c r="K17" s="33">
        <f>D17/I17</f>
        <v>1.9732894736842104</v>
      </c>
      <c r="L17" s="34">
        <f>IF(C17=0,"FREE",C17/G17)</f>
        <v>1.8840515040184837E-2</v>
      </c>
      <c r="M17" s="25"/>
    </row>
    <row r="18" spans="1:13" ht="15" customHeight="1" x14ac:dyDescent="0.3">
      <c r="A18" s="7" t="s">
        <v>27</v>
      </c>
      <c r="B18" s="27">
        <v>140</v>
      </c>
      <c r="C18" s="28">
        <v>0.54</v>
      </c>
      <c r="D18" s="28">
        <v>54.99</v>
      </c>
      <c r="E18" s="28">
        <v>24.1</v>
      </c>
      <c r="F18" s="43">
        <f t="shared" si="2"/>
        <v>3.6150000000000002</v>
      </c>
      <c r="G18" s="28">
        <f t="shared" si="3"/>
        <v>20.126300000000001</v>
      </c>
      <c r="H18" s="27">
        <f t="shared" si="0"/>
        <v>66.666666666666671</v>
      </c>
      <c r="I18" s="28">
        <f>H18*C18</f>
        <v>36.000000000000007</v>
      </c>
      <c r="J18" s="32">
        <f t="shared" si="1"/>
        <v>-15.873700000000007</v>
      </c>
      <c r="K18" s="29">
        <f>D18/I18</f>
        <v>1.5274999999999999</v>
      </c>
      <c r="L18" s="30">
        <f>IF(C18=0,"FREE",C18/G18)</f>
        <v>2.6830564982137799E-2</v>
      </c>
      <c r="M18" s="7"/>
    </row>
    <row r="19" spans="1:13" ht="15" customHeight="1" x14ac:dyDescent="0.3">
      <c r="A19" s="25" t="s">
        <v>28</v>
      </c>
      <c r="B19" s="27">
        <v>110</v>
      </c>
      <c r="C19" s="28">
        <v>0.43</v>
      </c>
      <c r="D19" s="28">
        <v>59.99</v>
      </c>
      <c r="E19" s="28">
        <v>25.18</v>
      </c>
      <c r="F19" s="43">
        <f t="shared" si="2"/>
        <v>3.7769999999999997</v>
      </c>
      <c r="G19" s="28">
        <f t="shared" si="3"/>
        <v>23.234300000000001</v>
      </c>
      <c r="H19" s="27">
        <f t="shared" si="0"/>
        <v>66.666666666666671</v>
      </c>
      <c r="I19" s="28">
        <f>H19*C19</f>
        <v>28.666666666666668</v>
      </c>
      <c r="J19" s="32">
        <f t="shared" si="1"/>
        <v>-5.4323666666666668</v>
      </c>
      <c r="K19" s="29">
        <f>D19/I19</f>
        <v>2.0926744186046511</v>
      </c>
      <c r="L19" s="30">
        <f>IF(C19=0,"FREE",C19/G19)</f>
        <v>1.8507120937579353E-2</v>
      </c>
      <c r="M19" s="7"/>
    </row>
    <row r="20" spans="1:13" ht="15" customHeight="1" x14ac:dyDescent="0.3">
      <c r="A20" s="7" t="s">
        <v>29</v>
      </c>
      <c r="B20" s="27">
        <v>110</v>
      </c>
      <c r="C20" s="28">
        <v>0</v>
      </c>
      <c r="D20" s="28">
        <v>69.989999999999995</v>
      </c>
      <c r="E20" s="28">
        <v>21.84</v>
      </c>
      <c r="F20" s="43">
        <f t="shared" si="2"/>
        <v>3.2759999999999998</v>
      </c>
      <c r="G20" s="28">
        <f t="shared" si="3"/>
        <v>35.775299999999987</v>
      </c>
      <c r="H20" s="27">
        <f t="shared" si="0"/>
        <v>66.666666666666671</v>
      </c>
      <c r="I20" s="28">
        <f>H20*C20</f>
        <v>0</v>
      </c>
      <c r="J20" s="28">
        <f t="shared" si="1"/>
        <v>35.775299999999987</v>
      </c>
      <c r="K20" s="29" t="str">
        <f>IF(I20=0,"∞",D20/I20)</f>
        <v>∞</v>
      </c>
      <c r="L20" s="30" t="str">
        <f>IF(C20=0,"FREE",C20/G20)</f>
        <v>FREE</v>
      </c>
      <c r="M20" s="7"/>
    </row>
    <row r="21" spans="1:13" ht="15" customHeight="1" x14ac:dyDescent="0.3">
      <c r="A21" s="7" t="s">
        <v>30</v>
      </c>
      <c r="B21" s="27">
        <v>90</v>
      </c>
      <c r="C21" s="28">
        <v>0.39</v>
      </c>
      <c r="D21" s="28">
        <v>59.99</v>
      </c>
      <c r="E21" s="28">
        <v>21.84</v>
      </c>
      <c r="F21" s="43">
        <f t="shared" si="2"/>
        <v>3.2759999999999998</v>
      </c>
      <c r="G21" s="28">
        <f t="shared" si="3"/>
        <v>27.075300000000006</v>
      </c>
      <c r="H21" s="27">
        <f t="shared" si="0"/>
        <v>66.666666666666671</v>
      </c>
      <c r="I21" s="28">
        <f>H21*C21</f>
        <v>26.000000000000004</v>
      </c>
      <c r="J21" s="32">
        <f t="shared" si="1"/>
        <v>1.0753000000000021</v>
      </c>
      <c r="K21" s="29">
        <f>D21/I21</f>
        <v>2.3073076923076923</v>
      </c>
      <c r="L21" s="30">
        <f>IF(C21=0,"FREE",C21/G21)</f>
        <v>1.4404272528836243E-2</v>
      </c>
      <c r="M21" s="7"/>
    </row>
    <row r="23" spans="1:13" ht="45" customHeight="1" x14ac:dyDescent="0.3">
      <c r="A23" s="37" t="s">
        <v>31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</row>
  </sheetData>
  <mergeCells count="3">
    <mergeCell ref="A1:L1"/>
    <mergeCell ref="A2:L2"/>
    <mergeCell ref="A23:L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topLeftCell="A16" zoomScaleNormal="100" workbookViewId="0">
      <selection activeCell="B31" sqref="B31:K31"/>
    </sheetView>
  </sheetViews>
  <sheetFormatPr defaultColWidth="8.6640625" defaultRowHeight="15" customHeight="1" x14ac:dyDescent="0.3"/>
  <cols>
    <col min="1" max="1" width="26" style="1" customWidth="1"/>
    <col min="2" max="2" width="14" style="1" customWidth="1"/>
    <col min="3" max="3" width="12" style="1" customWidth="1"/>
    <col min="4" max="4" width="13" style="1" customWidth="1"/>
    <col min="5" max="5" width="10" style="1" customWidth="1"/>
    <col min="6" max="6" width="13" style="1" customWidth="1"/>
    <col min="7" max="7" width="15" style="1" customWidth="1"/>
    <col min="8" max="8" width="16" style="1" customWidth="1"/>
    <col min="9" max="9" width="17" style="1" customWidth="1"/>
    <col min="10" max="10" width="12" style="1" customWidth="1"/>
    <col min="11" max="11" width="16" style="1" customWidth="1"/>
  </cols>
  <sheetData>
    <row r="1" spans="1:11" ht="17.25" customHeight="1" x14ac:dyDescent="0.3">
      <c r="A1" s="35" t="s">
        <v>32</v>
      </c>
      <c r="B1" s="35"/>
      <c r="C1" s="35"/>
      <c r="D1" s="35"/>
      <c r="E1" s="35"/>
      <c r="F1" s="35"/>
      <c r="G1" s="35"/>
      <c r="H1" s="35"/>
      <c r="I1" s="35"/>
    </row>
    <row r="2" spans="1:11" ht="15" customHeight="1" x14ac:dyDescent="0.3">
      <c r="A2" s="36" t="s">
        <v>33</v>
      </c>
      <c r="B2" s="36"/>
      <c r="C2" s="36"/>
      <c r="D2" s="36"/>
      <c r="E2" s="36"/>
      <c r="F2" s="36"/>
      <c r="G2" s="36"/>
      <c r="H2" s="36"/>
      <c r="I2" s="36"/>
    </row>
    <row r="4" spans="1:11" ht="15" customHeight="1" x14ac:dyDescent="0.3">
      <c r="A4" s="2" t="s">
        <v>34</v>
      </c>
      <c r="B4" s="5">
        <v>0.36</v>
      </c>
    </row>
    <row r="5" spans="1:11" ht="15" customHeight="1" x14ac:dyDescent="0.3">
      <c r="A5" s="2" t="s">
        <v>2</v>
      </c>
      <c r="B5" s="3">
        <v>1.4999999999999999E-2</v>
      </c>
    </row>
    <row r="6" spans="1:11" ht="15" customHeight="1" x14ac:dyDescent="0.3">
      <c r="A6" s="2" t="s">
        <v>35</v>
      </c>
      <c r="B6" s="5">
        <v>30</v>
      </c>
    </row>
    <row r="7" spans="1:11" ht="15" customHeight="1" x14ac:dyDescent="0.3">
      <c r="A7" s="2" t="s">
        <v>36</v>
      </c>
      <c r="B7" s="5">
        <v>55</v>
      </c>
    </row>
    <row r="9" spans="1:11" ht="26.25" customHeight="1" x14ac:dyDescent="0.3">
      <c r="A9" s="6" t="s">
        <v>37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43</v>
      </c>
      <c r="H9" s="6" t="s">
        <v>44</v>
      </c>
      <c r="I9" s="6" t="s">
        <v>45</v>
      </c>
      <c r="J9" s="6" t="s">
        <v>46</v>
      </c>
      <c r="K9" s="6" t="s">
        <v>47</v>
      </c>
    </row>
    <row r="10" spans="1:11" ht="21.75" customHeight="1" x14ac:dyDescent="0.3">
      <c r="A10" s="10">
        <v>3</v>
      </c>
      <c r="B10" s="10">
        <f t="shared" ref="B10:B16" si="0">A10*30</f>
        <v>90</v>
      </c>
      <c r="C10" s="11">
        <f t="shared" ref="C10:C16" si="1">A10/$B$4</f>
        <v>8.3333333333333339</v>
      </c>
      <c r="D10" s="8">
        <f t="shared" ref="D10:D16" si="2">C10*30</f>
        <v>250.00000000000003</v>
      </c>
      <c r="E10" s="12">
        <f t="shared" ref="E10:E16" si="3">C10*$B$5</f>
        <v>0.125</v>
      </c>
      <c r="F10" s="11">
        <f t="shared" ref="F10:F16" si="4">E10*30</f>
        <v>3.75</v>
      </c>
      <c r="G10" s="10">
        <f t="shared" ref="G10:G16" si="5">F10*$B$7</f>
        <v>206.25</v>
      </c>
      <c r="H10" s="10">
        <f t="shared" ref="H10:H16" si="6">F10*$B$6</f>
        <v>112.5</v>
      </c>
      <c r="I10" s="10">
        <f t="shared" ref="I10:I16" si="7">H10-B10</f>
        <v>22.5</v>
      </c>
      <c r="J10" s="9">
        <f t="shared" ref="J10:J16" si="8">G10/B10</f>
        <v>2.2916666666666665</v>
      </c>
      <c r="K10" s="8">
        <f t="shared" ref="K10:K16" si="9">F10*3*0.15</f>
        <v>1.6875</v>
      </c>
    </row>
    <row r="11" spans="1:11" ht="21.75" customHeight="1" x14ac:dyDescent="0.3">
      <c r="A11" s="10">
        <v>5</v>
      </c>
      <c r="B11" s="10">
        <f t="shared" si="0"/>
        <v>150</v>
      </c>
      <c r="C11" s="11">
        <f t="shared" si="1"/>
        <v>13.888888888888889</v>
      </c>
      <c r="D11" s="8">
        <f t="shared" si="2"/>
        <v>416.66666666666669</v>
      </c>
      <c r="E11" s="12">
        <f t="shared" si="3"/>
        <v>0.20833333333333334</v>
      </c>
      <c r="F11" s="11">
        <f t="shared" si="4"/>
        <v>6.25</v>
      </c>
      <c r="G11" s="10">
        <f t="shared" si="5"/>
        <v>343.75</v>
      </c>
      <c r="H11" s="10">
        <f t="shared" si="6"/>
        <v>187.5</v>
      </c>
      <c r="I11" s="10">
        <f t="shared" si="7"/>
        <v>37.5</v>
      </c>
      <c r="J11" s="9">
        <f t="shared" si="8"/>
        <v>2.2916666666666665</v>
      </c>
      <c r="K11" s="8">
        <f t="shared" si="9"/>
        <v>2.8125</v>
      </c>
    </row>
    <row r="12" spans="1:11" ht="21.75" customHeight="1" x14ac:dyDescent="0.3">
      <c r="A12" s="10">
        <v>10</v>
      </c>
      <c r="B12" s="10">
        <f t="shared" si="0"/>
        <v>300</v>
      </c>
      <c r="C12" s="11">
        <f t="shared" si="1"/>
        <v>27.777777777777779</v>
      </c>
      <c r="D12" s="8">
        <f t="shared" si="2"/>
        <v>833.33333333333337</v>
      </c>
      <c r="E12" s="12">
        <f t="shared" si="3"/>
        <v>0.41666666666666669</v>
      </c>
      <c r="F12" s="11">
        <f t="shared" si="4"/>
        <v>12.5</v>
      </c>
      <c r="G12" s="10">
        <f t="shared" si="5"/>
        <v>687.5</v>
      </c>
      <c r="H12" s="10">
        <f t="shared" si="6"/>
        <v>375</v>
      </c>
      <c r="I12" s="10">
        <f t="shared" si="7"/>
        <v>75</v>
      </c>
      <c r="J12" s="9">
        <f t="shared" si="8"/>
        <v>2.2916666666666665</v>
      </c>
      <c r="K12" s="8">
        <f t="shared" si="9"/>
        <v>5.625</v>
      </c>
    </row>
    <row r="13" spans="1:11" ht="21.75" customHeight="1" x14ac:dyDescent="0.3">
      <c r="A13" s="10">
        <v>15</v>
      </c>
      <c r="B13" s="10">
        <f t="shared" si="0"/>
        <v>450</v>
      </c>
      <c r="C13" s="11">
        <f t="shared" si="1"/>
        <v>41.666666666666671</v>
      </c>
      <c r="D13" s="8">
        <f t="shared" si="2"/>
        <v>1250.0000000000002</v>
      </c>
      <c r="E13" s="12">
        <f t="shared" si="3"/>
        <v>0.625</v>
      </c>
      <c r="F13" s="11">
        <f t="shared" si="4"/>
        <v>18.75</v>
      </c>
      <c r="G13" s="10">
        <f t="shared" si="5"/>
        <v>1031.25</v>
      </c>
      <c r="H13" s="10">
        <f t="shared" si="6"/>
        <v>562.5</v>
      </c>
      <c r="I13" s="10">
        <f t="shared" si="7"/>
        <v>112.5</v>
      </c>
      <c r="J13" s="9">
        <f t="shared" si="8"/>
        <v>2.2916666666666665</v>
      </c>
      <c r="K13" s="8">
        <f t="shared" si="9"/>
        <v>8.4375</v>
      </c>
    </row>
    <row r="14" spans="1:11" ht="21.75" customHeight="1" x14ac:dyDescent="0.3">
      <c r="A14" s="10">
        <v>20</v>
      </c>
      <c r="B14" s="10">
        <f t="shared" si="0"/>
        <v>600</v>
      </c>
      <c r="C14" s="11">
        <f t="shared" si="1"/>
        <v>55.555555555555557</v>
      </c>
      <c r="D14" s="8">
        <f t="shared" si="2"/>
        <v>1666.6666666666667</v>
      </c>
      <c r="E14" s="12">
        <f t="shared" si="3"/>
        <v>0.83333333333333337</v>
      </c>
      <c r="F14" s="11">
        <f t="shared" si="4"/>
        <v>25</v>
      </c>
      <c r="G14" s="10">
        <f t="shared" si="5"/>
        <v>1375</v>
      </c>
      <c r="H14" s="10">
        <f t="shared" si="6"/>
        <v>750</v>
      </c>
      <c r="I14" s="10">
        <f t="shared" si="7"/>
        <v>150</v>
      </c>
      <c r="J14" s="9">
        <f t="shared" si="8"/>
        <v>2.2916666666666665</v>
      </c>
      <c r="K14" s="8">
        <f t="shared" si="9"/>
        <v>11.25</v>
      </c>
    </row>
    <row r="15" spans="1:11" ht="21.75" customHeight="1" x14ac:dyDescent="0.3">
      <c r="A15" s="10">
        <v>30</v>
      </c>
      <c r="B15" s="10">
        <f t="shared" si="0"/>
        <v>900</v>
      </c>
      <c r="C15" s="11">
        <f t="shared" si="1"/>
        <v>83.333333333333343</v>
      </c>
      <c r="D15" s="8">
        <f t="shared" si="2"/>
        <v>2500.0000000000005</v>
      </c>
      <c r="E15" s="12">
        <f t="shared" si="3"/>
        <v>1.25</v>
      </c>
      <c r="F15" s="11">
        <f t="shared" si="4"/>
        <v>37.5</v>
      </c>
      <c r="G15" s="10">
        <f t="shared" si="5"/>
        <v>2062.5</v>
      </c>
      <c r="H15" s="10">
        <f t="shared" si="6"/>
        <v>1125</v>
      </c>
      <c r="I15" s="10">
        <f t="shared" si="7"/>
        <v>225</v>
      </c>
      <c r="J15" s="9">
        <f t="shared" si="8"/>
        <v>2.2916666666666665</v>
      </c>
      <c r="K15" s="8">
        <f t="shared" si="9"/>
        <v>16.875</v>
      </c>
    </row>
    <row r="16" spans="1:11" ht="21.75" customHeight="1" x14ac:dyDescent="0.3">
      <c r="A16" s="10">
        <v>50</v>
      </c>
      <c r="B16" s="10">
        <f t="shared" si="0"/>
        <v>1500</v>
      </c>
      <c r="C16" s="11">
        <f t="shared" si="1"/>
        <v>138.88888888888889</v>
      </c>
      <c r="D16" s="8">
        <f t="shared" si="2"/>
        <v>4166.666666666667</v>
      </c>
      <c r="E16" s="12">
        <f t="shared" si="3"/>
        <v>2.083333333333333</v>
      </c>
      <c r="F16" s="11">
        <f t="shared" si="4"/>
        <v>62.499999999999993</v>
      </c>
      <c r="G16" s="10">
        <f t="shared" si="5"/>
        <v>3437.4999999999995</v>
      </c>
      <c r="H16" s="10">
        <f t="shared" si="6"/>
        <v>1874.9999999999998</v>
      </c>
      <c r="I16" s="10">
        <f t="shared" si="7"/>
        <v>374.99999999999977</v>
      </c>
      <c r="J16" s="9">
        <f t="shared" si="8"/>
        <v>2.2916666666666665</v>
      </c>
      <c r="K16" s="8">
        <f t="shared" si="9"/>
        <v>28.124999999999996</v>
      </c>
    </row>
    <row r="19" spans="1:11" ht="15.75" customHeight="1" x14ac:dyDescent="0.3">
      <c r="A19" s="40" t="s">
        <v>48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</row>
    <row r="20" spans="1:11" ht="45" customHeight="1" x14ac:dyDescent="0.3">
      <c r="A20" s="13" t="s">
        <v>49</v>
      </c>
      <c r="B20" s="38" t="s">
        <v>50</v>
      </c>
      <c r="C20" s="38"/>
      <c r="D20" s="38"/>
      <c r="E20" s="38"/>
      <c r="F20" s="38"/>
      <c r="G20" s="38"/>
      <c r="H20" s="38"/>
      <c r="I20" s="38"/>
      <c r="J20" s="38"/>
      <c r="K20" s="38"/>
    </row>
    <row r="21" spans="1:11" ht="45" customHeight="1" x14ac:dyDescent="0.3">
      <c r="A21" s="14" t="s">
        <v>51</v>
      </c>
      <c r="B21" s="38" t="s">
        <v>52</v>
      </c>
      <c r="C21" s="38"/>
      <c r="D21" s="38"/>
      <c r="E21" s="38"/>
      <c r="F21" s="38"/>
      <c r="G21" s="38"/>
      <c r="H21" s="38"/>
      <c r="I21" s="38"/>
      <c r="J21" s="38"/>
      <c r="K21" s="38"/>
    </row>
    <row r="22" spans="1:11" ht="45" customHeight="1" x14ac:dyDescent="0.3">
      <c r="A22" s="15" t="s">
        <v>53</v>
      </c>
      <c r="B22" s="38" t="s">
        <v>54</v>
      </c>
      <c r="C22" s="38"/>
      <c r="D22" s="38"/>
      <c r="E22" s="38"/>
      <c r="F22" s="38"/>
      <c r="G22" s="38"/>
      <c r="H22" s="38"/>
      <c r="I22" s="38"/>
      <c r="J22" s="38"/>
      <c r="K22" s="38"/>
    </row>
    <row r="23" spans="1:11" ht="45" customHeight="1" x14ac:dyDescent="0.3">
      <c r="A23" s="16" t="s">
        <v>55</v>
      </c>
      <c r="B23" s="38" t="s">
        <v>56</v>
      </c>
      <c r="C23" s="38"/>
      <c r="D23" s="38"/>
      <c r="E23" s="38"/>
      <c r="F23" s="38"/>
      <c r="G23" s="38"/>
      <c r="H23" s="38"/>
      <c r="I23" s="38"/>
      <c r="J23" s="38"/>
      <c r="K23" s="38"/>
    </row>
    <row r="25" spans="1:11" ht="15" customHeight="1" x14ac:dyDescent="0.3">
      <c r="A25" s="39" t="s">
        <v>57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 ht="39.75" customHeight="1" x14ac:dyDescent="0.3">
      <c r="A26" s="17" t="s">
        <v>58</v>
      </c>
      <c r="B26" s="38" t="s">
        <v>59</v>
      </c>
      <c r="C26" s="38"/>
      <c r="D26" s="38"/>
      <c r="E26" s="38"/>
      <c r="F26" s="38"/>
      <c r="G26" s="38"/>
      <c r="H26" s="38"/>
      <c r="I26" s="38"/>
      <c r="J26" s="38"/>
      <c r="K26" s="38"/>
    </row>
    <row r="27" spans="1:11" ht="39.75" customHeight="1" x14ac:dyDescent="0.3">
      <c r="A27" s="17" t="s">
        <v>60</v>
      </c>
      <c r="B27" s="38" t="s">
        <v>61</v>
      </c>
      <c r="C27" s="38"/>
      <c r="D27" s="38"/>
      <c r="E27" s="38"/>
      <c r="F27" s="38"/>
      <c r="G27" s="38"/>
      <c r="H27" s="38"/>
      <c r="I27" s="38"/>
      <c r="J27" s="38"/>
      <c r="K27" s="38"/>
    </row>
    <row r="28" spans="1:11" ht="39.75" customHeight="1" x14ac:dyDescent="0.3">
      <c r="A28" s="17" t="s">
        <v>62</v>
      </c>
      <c r="B28" s="38" t="s">
        <v>63</v>
      </c>
      <c r="C28" s="38"/>
      <c r="D28" s="38"/>
      <c r="E28" s="38"/>
      <c r="F28" s="38"/>
      <c r="G28" s="38"/>
      <c r="H28" s="38"/>
      <c r="I28" s="38"/>
      <c r="J28" s="38"/>
      <c r="K28" s="38"/>
    </row>
    <row r="29" spans="1:11" ht="39.75" customHeight="1" x14ac:dyDescent="0.3">
      <c r="A29" s="17" t="s">
        <v>64</v>
      </c>
      <c r="B29" s="38" t="s">
        <v>65</v>
      </c>
      <c r="C29" s="38"/>
      <c r="D29" s="38"/>
      <c r="E29" s="38"/>
      <c r="F29" s="38"/>
      <c r="G29" s="38"/>
      <c r="H29" s="38"/>
      <c r="I29" s="38"/>
      <c r="J29" s="38"/>
      <c r="K29" s="38"/>
    </row>
    <row r="30" spans="1:11" ht="39.75" customHeight="1" x14ac:dyDescent="0.3">
      <c r="A30" s="17" t="s">
        <v>66</v>
      </c>
      <c r="B30" s="38" t="s">
        <v>67</v>
      </c>
      <c r="C30" s="38"/>
      <c r="D30" s="38"/>
      <c r="E30" s="38"/>
      <c r="F30" s="38"/>
      <c r="G30" s="38"/>
      <c r="H30" s="38"/>
      <c r="I30" s="38"/>
      <c r="J30" s="38"/>
      <c r="K30" s="38"/>
    </row>
    <row r="31" spans="1:11" ht="39.75" customHeight="1" x14ac:dyDescent="0.3">
      <c r="A31" s="17" t="s">
        <v>68</v>
      </c>
      <c r="B31" s="38" t="s">
        <v>69</v>
      </c>
      <c r="C31" s="38"/>
      <c r="D31" s="38"/>
      <c r="E31" s="38"/>
      <c r="F31" s="38"/>
      <c r="G31" s="38"/>
      <c r="H31" s="38"/>
      <c r="I31" s="38"/>
      <c r="J31" s="38"/>
      <c r="K31" s="38"/>
    </row>
  </sheetData>
  <mergeCells count="14">
    <mergeCell ref="A1:I1"/>
    <mergeCell ref="A2:I2"/>
    <mergeCell ref="A19:K19"/>
    <mergeCell ref="B20:K20"/>
    <mergeCell ref="B21:K21"/>
    <mergeCell ref="B28:K28"/>
    <mergeCell ref="B29:K29"/>
    <mergeCell ref="B30:K30"/>
    <mergeCell ref="B31:K31"/>
    <mergeCell ref="B22:K22"/>
    <mergeCell ref="B23:K23"/>
    <mergeCell ref="A25:K25"/>
    <mergeCell ref="B26:K26"/>
    <mergeCell ref="B27:K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zoomScaleNormal="100" workbookViewId="0">
      <selection sqref="A1:H1"/>
    </sheetView>
  </sheetViews>
  <sheetFormatPr defaultColWidth="8.6640625" defaultRowHeight="15" customHeight="1" x14ac:dyDescent="0.3"/>
  <cols>
    <col min="1" max="1" width="24" style="1" customWidth="1"/>
    <col min="2" max="2" width="16" style="1" customWidth="1"/>
    <col min="3" max="3" width="14" style="1" customWidth="1"/>
    <col min="4" max="8" width="16" style="1" customWidth="1"/>
  </cols>
  <sheetData>
    <row r="1" spans="1:8" ht="17.25" customHeight="1" x14ac:dyDescent="0.3">
      <c r="A1" s="35" t="s">
        <v>70</v>
      </c>
      <c r="B1" s="35"/>
      <c r="C1" s="35"/>
      <c r="D1" s="35"/>
      <c r="E1" s="35"/>
      <c r="F1" s="35"/>
      <c r="G1" s="35"/>
      <c r="H1" s="35"/>
    </row>
    <row r="2" spans="1:8" ht="15" customHeight="1" x14ac:dyDescent="0.3">
      <c r="A2" s="36" t="s">
        <v>71</v>
      </c>
      <c r="B2" s="36"/>
      <c r="C2" s="36"/>
      <c r="D2" s="36"/>
      <c r="E2" s="36"/>
      <c r="F2" s="36"/>
      <c r="G2" s="36"/>
      <c r="H2" s="36"/>
    </row>
    <row r="3" spans="1:8" ht="15" customHeight="1" x14ac:dyDescent="0.3">
      <c r="E3" s="2" t="s">
        <v>72</v>
      </c>
      <c r="F3" s="18">
        <v>10</v>
      </c>
      <c r="G3" s="2" t="s">
        <v>73</v>
      </c>
      <c r="H3" s="18">
        <v>0.36</v>
      </c>
    </row>
    <row r="4" spans="1:8" ht="39" customHeight="1" x14ac:dyDescent="0.3">
      <c r="A4" s="6" t="s">
        <v>74</v>
      </c>
      <c r="B4" s="6" t="s">
        <v>75</v>
      </c>
      <c r="C4" s="6" t="s">
        <v>76</v>
      </c>
      <c r="D4" s="6" t="s">
        <v>77</v>
      </c>
      <c r="E4" s="6" t="s">
        <v>78</v>
      </c>
      <c r="F4" s="6" t="s">
        <v>79</v>
      </c>
      <c r="G4" s="6" t="s">
        <v>80</v>
      </c>
      <c r="H4" s="6" t="s">
        <v>81</v>
      </c>
    </row>
    <row r="5" spans="1:8" ht="15" customHeight="1" x14ac:dyDescent="0.3">
      <c r="A5" s="17" t="s">
        <v>82</v>
      </c>
      <c r="B5" s="19">
        <v>-38.67</v>
      </c>
      <c r="C5" s="19">
        <v>-15.34</v>
      </c>
      <c r="D5" s="20">
        <v>-3.67</v>
      </c>
      <c r="E5" s="21">
        <v>8</v>
      </c>
      <c r="F5" s="22">
        <v>13.83</v>
      </c>
      <c r="G5" s="22">
        <v>17.329999999999998</v>
      </c>
      <c r="H5" s="22">
        <v>19.66</v>
      </c>
    </row>
    <row r="6" spans="1:8" ht="15" customHeight="1" x14ac:dyDescent="0.3">
      <c r="A6" s="17" t="s">
        <v>83</v>
      </c>
      <c r="B6" s="19">
        <v>-42.2</v>
      </c>
      <c r="C6" s="19">
        <v>-19.53</v>
      </c>
      <c r="D6" s="19">
        <v>-8.1999999999999993</v>
      </c>
      <c r="E6" s="21">
        <v>3.13</v>
      </c>
      <c r="F6" s="21">
        <v>8.8000000000000007</v>
      </c>
      <c r="G6" s="22">
        <v>12.2</v>
      </c>
      <c r="H6" s="22">
        <v>14.47</v>
      </c>
    </row>
    <row r="7" spans="1:8" ht="15" customHeight="1" x14ac:dyDescent="0.3">
      <c r="A7" s="17" t="s">
        <v>84</v>
      </c>
      <c r="B7" s="19">
        <v>-32.79</v>
      </c>
      <c r="C7" s="19">
        <v>-14.12</v>
      </c>
      <c r="D7" s="20">
        <v>-4.79</v>
      </c>
      <c r="E7" s="21">
        <v>4.54</v>
      </c>
      <c r="F7" s="21">
        <v>9.2100000000000009</v>
      </c>
      <c r="G7" s="22">
        <v>12.01</v>
      </c>
      <c r="H7" s="22">
        <v>13.88</v>
      </c>
    </row>
    <row r="8" spans="1:8" ht="15" customHeight="1" x14ac:dyDescent="0.3">
      <c r="A8" s="17" t="s">
        <v>85</v>
      </c>
      <c r="B8" s="19">
        <v>-58.83</v>
      </c>
      <c r="C8" s="19">
        <v>-28.83</v>
      </c>
      <c r="D8" s="19">
        <v>-13.83</v>
      </c>
      <c r="E8" s="21">
        <v>1.17</v>
      </c>
      <c r="F8" s="21">
        <v>8.67</v>
      </c>
      <c r="G8" s="22">
        <v>13.17</v>
      </c>
      <c r="H8" s="22">
        <v>16.170000000000002</v>
      </c>
    </row>
    <row r="9" spans="1:8" ht="15" customHeight="1" x14ac:dyDescent="0.3">
      <c r="A9" s="17" t="s">
        <v>86</v>
      </c>
      <c r="B9" s="19">
        <v>-43.47</v>
      </c>
      <c r="C9" s="19">
        <v>-21.47</v>
      </c>
      <c r="D9" s="19">
        <v>-10.47</v>
      </c>
      <c r="E9" s="21">
        <v>0.53</v>
      </c>
      <c r="F9" s="21">
        <v>6.03</v>
      </c>
      <c r="G9" s="21">
        <v>9.33</v>
      </c>
      <c r="H9" s="22">
        <v>11.53</v>
      </c>
    </row>
    <row r="10" spans="1:8" ht="15" customHeight="1" x14ac:dyDescent="0.3">
      <c r="A10" s="17" t="s">
        <v>87</v>
      </c>
      <c r="B10" s="19">
        <v>-28.63</v>
      </c>
      <c r="C10" s="19">
        <v>-9.9600000000000009</v>
      </c>
      <c r="D10" s="20">
        <v>-0.63</v>
      </c>
      <c r="E10" s="21">
        <v>8.6999999999999993</v>
      </c>
      <c r="F10" s="22">
        <v>13.37</v>
      </c>
      <c r="G10" s="22">
        <v>16.170000000000002</v>
      </c>
      <c r="H10" s="22">
        <v>18.04</v>
      </c>
    </row>
    <row r="11" spans="1:8" ht="15" customHeight="1" x14ac:dyDescent="0.3">
      <c r="A11" s="17" t="s">
        <v>88</v>
      </c>
      <c r="B11" s="19">
        <v>-106.2</v>
      </c>
      <c r="C11" s="19">
        <v>-62.2</v>
      </c>
      <c r="D11" s="19">
        <v>-40.200000000000003</v>
      </c>
      <c r="E11" s="19">
        <v>-18.2</v>
      </c>
      <c r="F11" s="19">
        <v>-7.2</v>
      </c>
      <c r="G11" s="20">
        <v>-0.6</v>
      </c>
      <c r="H11" s="21">
        <v>3.8</v>
      </c>
    </row>
    <row r="12" spans="1:8" ht="15" customHeight="1" x14ac:dyDescent="0.3">
      <c r="A12" s="17" t="s">
        <v>89</v>
      </c>
      <c r="B12" s="19">
        <v>-76.75</v>
      </c>
      <c r="C12" s="19">
        <v>-44.08</v>
      </c>
      <c r="D12" s="19">
        <v>-27.75</v>
      </c>
      <c r="E12" s="19">
        <v>-11.42</v>
      </c>
      <c r="F12" s="20">
        <v>-3.25</v>
      </c>
      <c r="G12" s="21">
        <v>1.65</v>
      </c>
      <c r="H12" s="21">
        <v>4.92</v>
      </c>
    </row>
    <row r="13" spans="1:8" ht="15" customHeight="1" x14ac:dyDescent="0.3">
      <c r="A13" s="17" t="s">
        <v>90</v>
      </c>
      <c r="B13" s="19">
        <v>-84.26</v>
      </c>
      <c r="C13" s="19">
        <v>-48.26</v>
      </c>
      <c r="D13" s="19">
        <v>-30.26</v>
      </c>
      <c r="E13" s="19">
        <v>-12.26</v>
      </c>
      <c r="F13" s="20">
        <v>-3.26</v>
      </c>
      <c r="G13" s="21">
        <v>2.14</v>
      </c>
      <c r="H13" s="21">
        <v>5.74</v>
      </c>
    </row>
    <row r="15" spans="1:8" ht="49.5" customHeight="1" x14ac:dyDescent="0.3">
      <c r="A15" s="41" t="s">
        <v>91</v>
      </c>
      <c r="B15" s="41"/>
      <c r="C15" s="41"/>
      <c r="D15" s="41"/>
      <c r="E15" s="41"/>
      <c r="F15" s="41"/>
      <c r="G15" s="41"/>
      <c r="H15" s="41"/>
    </row>
    <row r="17" spans="1:8" ht="15" customHeight="1" x14ac:dyDescent="0.3">
      <c r="A17" s="39" t="s">
        <v>92</v>
      </c>
      <c r="B17" s="39"/>
      <c r="C17" s="39"/>
      <c r="D17" s="39"/>
      <c r="E17" s="39"/>
      <c r="F17" s="39"/>
      <c r="G17" s="39"/>
      <c r="H17" s="39"/>
    </row>
    <row r="18" spans="1:8" ht="26.25" customHeight="1" x14ac:dyDescent="0.3">
      <c r="A18" s="6" t="s">
        <v>93</v>
      </c>
      <c r="B18" s="6" t="s">
        <v>94</v>
      </c>
      <c r="C18" s="6" t="s">
        <v>95</v>
      </c>
      <c r="D18" s="6" t="s">
        <v>96</v>
      </c>
      <c r="E18" s="6" t="s">
        <v>97</v>
      </c>
      <c r="F18" s="6" t="s">
        <v>98</v>
      </c>
      <c r="G18" s="6" t="s">
        <v>14</v>
      </c>
      <c r="H18" s="6" t="s">
        <v>99</v>
      </c>
    </row>
    <row r="19" spans="1:8" ht="15" customHeight="1" x14ac:dyDescent="0.3">
      <c r="A19" s="23" t="s">
        <v>100</v>
      </c>
      <c r="B19" s="7" t="s">
        <v>101</v>
      </c>
      <c r="C19" s="8">
        <f>90*($F$3/$H$3)*0.0075</f>
        <v>18.75</v>
      </c>
      <c r="D19" s="10">
        <f>C19*55</f>
        <v>1031.25</v>
      </c>
      <c r="E19" s="10">
        <f>90*10</f>
        <v>900</v>
      </c>
      <c r="F19" s="10">
        <f>C19*30</f>
        <v>562.5</v>
      </c>
      <c r="G19" s="10">
        <f>F19-E19</f>
        <v>-337.5</v>
      </c>
      <c r="H19" s="8">
        <f>C19*0.15</f>
        <v>2.8125</v>
      </c>
    </row>
    <row r="20" spans="1:8" ht="15" customHeight="1" x14ac:dyDescent="0.3">
      <c r="A20" s="16" t="s">
        <v>102</v>
      </c>
      <c r="B20" s="7" t="s">
        <v>103</v>
      </c>
      <c r="C20" s="8">
        <f>90*($F$3/$H$3)*0.015</f>
        <v>37.5</v>
      </c>
      <c r="D20" s="10">
        <f>C20*55</f>
        <v>2062.5</v>
      </c>
      <c r="E20" s="10">
        <f>90*10</f>
        <v>900</v>
      </c>
      <c r="F20" s="10">
        <f>C20*30</f>
        <v>1125</v>
      </c>
      <c r="G20" s="10">
        <f>F20-E20</f>
        <v>225</v>
      </c>
      <c r="H20" s="8">
        <f>C20*0.15</f>
        <v>5.625</v>
      </c>
    </row>
    <row r="21" spans="1:8" ht="15" customHeight="1" x14ac:dyDescent="0.3">
      <c r="A21" s="24" t="s">
        <v>104</v>
      </c>
      <c r="B21" s="7" t="s">
        <v>105</v>
      </c>
      <c r="C21" s="8">
        <f>90*($F$3/$H$3)*0.02</f>
        <v>50</v>
      </c>
      <c r="D21" s="10">
        <f>C21*55</f>
        <v>2750</v>
      </c>
      <c r="E21" s="10">
        <f>90*10</f>
        <v>900</v>
      </c>
      <c r="F21" s="10">
        <f>C21*30</f>
        <v>1500</v>
      </c>
      <c r="G21" s="10">
        <f>F21-E21</f>
        <v>600</v>
      </c>
      <c r="H21" s="8">
        <f>C21*0.15</f>
        <v>7.5</v>
      </c>
    </row>
    <row r="22" spans="1:8" ht="15" customHeight="1" x14ac:dyDescent="0.3">
      <c r="A22" s="24" t="s">
        <v>106</v>
      </c>
      <c r="B22" s="7" t="s">
        <v>107</v>
      </c>
      <c r="C22" s="8">
        <f>90*($F$3/$H$3)*0.03</f>
        <v>75</v>
      </c>
      <c r="D22" s="10">
        <f>C22*55</f>
        <v>4125</v>
      </c>
      <c r="E22" s="10">
        <f>90*10</f>
        <v>900</v>
      </c>
      <c r="F22" s="10">
        <f>C22*30</f>
        <v>2250</v>
      </c>
      <c r="G22" s="10">
        <f>F22-E22</f>
        <v>1350</v>
      </c>
      <c r="H22" s="8">
        <f>C22*0.15</f>
        <v>11.25</v>
      </c>
    </row>
  </sheetData>
  <mergeCells count="4">
    <mergeCell ref="A1:H1"/>
    <mergeCell ref="A2:H2"/>
    <mergeCell ref="A15:H15"/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zoomScaleNormal="100" workbookViewId="0"/>
  </sheetViews>
  <sheetFormatPr defaultColWidth="8.6640625" defaultRowHeight="15" customHeight="1" x14ac:dyDescent="0.3"/>
  <cols>
    <col min="1" max="1" width="28" style="1" customWidth="1"/>
    <col min="2" max="2" width="40" style="1" customWidth="1"/>
    <col min="3" max="3" width="30" style="1" customWidth="1"/>
    <col min="4" max="4" width="25" style="1" customWidth="1"/>
  </cols>
  <sheetData>
    <row r="1" spans="1:4" ht="17.25" customHeight="1" x14ac:dyDescent="0.3">
      <c r="A1" s="35" t="s">
        <v>108</v>
      </c>
      <c r="B1" s="35"/>
      <c r="C1" s="35"/>
      <c r="D1" s="35"/>
    </row>
    <row r="3" spans="1:4" ht="15" customHeight="1" x14ac:dyDescent="0.3">
      <c r="A3" s="39" t="s">
        <v>109</v>
      </c>
      <c r="B3" s="39"/>
      <c r="C3" s="39"/>
      <c r="D3" s="39"/>
    </row>
    <row r="4" spans="1:4" ht="45" customHeight="1" x14ac:dyDescent="0.3">
      <c r="A4" s="17" t="s">
        <v>110</v>
      </c>
      <c r="B4" s="38" t="s">
        <v>111</v>
      </c>
      <c r="C4" s="38"/>
      <c r="D4" s="38"/>
    </row>
    <row r="5" spans="1:4" ht="45" customHeight="1" x14ac:dyDescent="0.3">
      <c r="A5" s="17" t="s">
        <v>112</v>
      </c>
      <c r="B5" s="38" t="s">
        <v>113</v>
      </c>
      <c r="C5" s="38"/>
      <c r="D5" s="38"/>
    </row>
    <row r="6" spans="1:4" ht="45" customHeight="1" x14ac:dyDescent="0.3">
      <c r="A6" s="17" t="s">
        <v>114</v>
      </c>
      <c r="B6" s="38" t="s">
        <v>115</v>
      </c>
      <c r="C6" s="38"/>
      <c r="D6" s="38"/>
    </row>
    <row r="7" spans="1:4" ht="45" customHeight="1" x14ac:dyDescent="0.3">
      <c r="A7" s="17" t="s">
        <v>116</v>
      </c>
      <c r="B7" s="38" t="s">
        <v>117</v>
      </c>
      <c r="C7" s="38"/>
      <c r="D7" s="38"/>
    </row>
    <row r="9" spans="1:4" ht="15" customHeight="1" x14ac:dyDescent="0.3">
      <c r="A9" s="39" t="s">
        <v>118</v>
      </c>
      <c r="B9" s="39"/>
      <c r="C9" s="39"/>
      <c r="D9" s="39"/>
    </row>
    <row r="10" spans="1:4" ht="45" customHeight="1" x14ac:dyDescent="0.3">
      <c r="A10" s="17" t="s">
        <v>119</v>
      </c>
      <c r="B10" s="38" t="s">
        <v>120</v>
      </c>
      <c r="C10" s="38"/>
      <c r="D10" s="38"/>
    </row>
    <row r="11" spans="1:4" ht="45" customHeight="1" x14ac:dyDescent="0.3">
      <c r="A11" s="17" t="s">
        <v>121</v>
      </c>
      <c r="B11" s="38" t="s">
        <v>122</v>
      </c>
      <c r="C11" s="38"/>
      <c r="D11" s="38"/>
    </row>
    <row r="12" spans="1:4" ht="45" customHeight="1" x14ac:dyDescent="0.3">
      <c r="A12" s="17" t="s">
        <v>123</v>
      </c>
      <c r="B12" s="38" t="s">
        <v>124</v>
      </c>
      <c r="C12" s="38"/>
      <c r="D12" s="38"/>
    </row>
    <row r="14" spans="1:4" ht="15" customHeight="1" x14ac:dyDescent="0.3">
      <c r="A14" s="39" t="s">
        <v>125</v>
      </c>
      <c r="B14" s="39"/>
      <c r="C14" s="39"/>
      <c r="D14" s="39"/>
    </row>
    <row r="15" spans="1:4" ht="45" customHeight="1" x14ac:dyDescent="0.3">
      <c r="A15" s="17" t="s">
        <v>126</v>
      </c>
      <c r="B15" s="38" t="s">
        <v>127</v>
      </c>
      <c r="C15" s="38"/>
      <c r="D15" s="38"/>
    </row>
    <row r="16" spans="1:4" ht="45" customHeight="1" x14ac:dyDescent="0.3">
      <c r="A16" s="17" t="s">
        <v>128</v>
      </c>
      <c r="B16" s="38" t="s">
        <v>129</v>
      </c>
      <c r="C16" s="38"/>
      <c r="D16" s="38"/>
    </row>
    <row r="17" spans="1:4" ht="45" customHeight="1" x14ac:dyDescent="0.3">
      <c r="A17" s="17" t="s">
        <v>130</v>
      </c>
      <c r="B17" s="38" t="s">
        <v>131</v>
      </c>
      <c r="C17" s="38"/>
      <c r="D17" s="38"/>
    </row>
    <row r="18" spans="1:4" ht="45" customHeight="1" x14ac:dyDescent="0.3">
      <c r="A18" s="17" t="s">
        <v>132</v>
      </c>
      <c r="B18" s="38" t="s">
        <v>133</v>
      </c>
      <c r="C18" s="38"/>
      <c r="D18" s="38"/>
    </row>
    <row r="20" spans="1:4" ht="15" customHeight="1" x14ac:dyDescent="0.3">
      <c r="A20" s="39" t="s">
        <v>134</v>
      </c>
      <c r="B20" s="39"/>
      <c r="C20" s="39"/>
      <c r="D20" s="39"/>
    </row>
    <row r="21" spans="1:4" ht="45" customHeight="1" x14ac:dyDescent="0.3">
      <c r="A21" s="17" t="s">
        <v>135</v>
      </c>
      <c r="B21" s="38" t="s">
        <v>136</v>
      </c>
      <c r="C21" s="38"/>
      <c r="D21" s="38"/>
    </row>
    <row r="22" spans="1:4" ht="45" customHeight="1" x14ac:dyDescent="0.3">
      <c r="A22" s="17" t="s">
        <v>137</v>
      </c>
      <c r="B22" s="38" t="s">
        <v>138</v>
      </c>
      <c r="C22" s="38"/>
      <c r="D22" s="38"/>
    </row>
    <row r="23" spans="1:4" ht="45" customHeight="1" x14ac:dyDescent="0.3">
      <c r="A23" s="17" t="s">
        <v>139</v>
      </c>
      <c r="B23" s="38" t="s">
        <v>140</v>
      </c>
      <c r="C23" s="38"/>
      <c r="D23" s="38"/>
    </row>
    <row r="25" spans="1:4" ht="15" customHeight="1" x14ac:dyDescent="0.3">
      <c r="A25" s="39" t="s">
        <v>141</v>
      </c>
      <c r="B25" s="39"/>
      <c r="C25" s="39"/>
      <c r="D25" s="39"/>
    </row>
    <row r="26" spans="1:4" ht="45" customHeight="1" x14ac:dyDescent="0.3">
      <c r="A26" s="17" t="s">
        <v>142</v>
      </c>
      <c r="B26" s="38" t="s">
        <v>143</v>
      </c>
      <c r="C26" s="38"/>
      <c r="D26" s="38"/>
    </row>
    <row r="27" spans="1:4" ht="45" customHeight="1" x14ac:dyDescent="0.3">
      <c r="A27" s="17" t="s">
        <v>144</v>
      </c>
      <c r="B27" s="38" t="s">
        <v>145</v>
      </c>
      <c r="C27" s="38"/>
      <c r="D27" s="38"/>
    </row>
    <row r="28" spans="1:4" ht="45" customHeight="1" x14ac:dyDescent="0.3">
      <c r="A28" s="17" t="s">
        <v>146</v>
      </c>
      <c r="B28" s="38" t="s">
        <v>147</v>
      </c>
      <c r="C28" s="38"/>
      <c r="D28" s="38"/>
    </row>
    <row r="29" spans="1:4" ht="45" customHeight="1" x14ac:dyDescent="0.3">
      <c r="A29" s="17" t="s">
        <v>148</v>
      </c>
      <c r="B29" s="38" t="s">
        <v>149</v>
      </c>
      <c r="C29" s="38"/>
      <c r="D29" s="38"/>
    </row>
  </sheetData>
  <mergeCells count="24">
    <mergeCell ref="A1:D1"/>
    <mergeCell ref="A3:D3"/>
    <mergeCell ref="B4:D4"/>
    <mergeCell ref="B5:D5"/>
    <mergeCell ref="B6:D6"/>
    <mergeCell ref="B7:D7"/>
    <mergeCell ref="A9:D9"/>
    <mergeCell ref="B10:D10"/>
    <mergeCell ref="B11:D11"/>
    <mergeCell ref="B12:D12"/>
    <mergeCell ref="A14:D14"/>
    <mergeCell ref="B15:D15"/>
    <mergeCell ref="B16:D16"/>
    <mergeCell ref="B17:D17"/>
    <mergeCell ref="B18:D18"/>
    <mergeCell ref="B26:D26"/>
    <mergeCell ref="B27:D27"/>
    <mergeCell ref="B28:D28"/>
    <mergeCell ref="B29:D29"/>
    <mergeCell ref="A20:D20"/>
    <mergeCell ref="B21:D21"/>
    <mergeCell ref="B22:D22"/>
    <mergeCell ref="B23:D23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ROAS Per Keyword</vt:lpstr>
      <vt:lpstr>Budget Scenarios</vt:lpstr>
      <vt:lpstr>CVR Sensitivity</vt:lpstr>
      <vt:lpstr>Ad Strategy Playbook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Owner</cp:lastModifiedBy>
  <cp:revision>0</cp:revision>
  <dcterms:created xsi:type="dcterms:W3CDTF">2026-02-24T16:47:04Z</dcterms:created>
  <dcterms:modified xsi:type="dcterms:W3CDTF">2026-02-27T00:06:52Z</dcterms:modified>
  <dc:language>en-US</dc:language>
</cp:coreProperties>
</file>