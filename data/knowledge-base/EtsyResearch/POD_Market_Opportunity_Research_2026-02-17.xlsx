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Keyword Research" sheetId="2" state="visible" r:id="rId4"/>
    <sheet name="12 POD Opportunities" sheetId="3" state="visible" r:id="rId5"/>
    <sheet name="Printify Costs &amp; Margins" sheetId="4" state="visible" r:id="rId6"/>
    <sheet name="Everbee Competitor Data" sheetId="5" state="visible" r:id="rId7"/>
    <sheet name="Revenue Model" sheetId="6" state="visible" r:id="rId8"/>
    <sheet name="Action Pl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<sst xmlns="http://schemas.openxmlformats.org/spreadsheetml/2006/main" count="819" uniqueCount="551">
  <si>
    <t xml:space="preserve">POD Market Opportunity Analysis — Beyond Hoodies &amp; T-Shirts</t>
  </si>
  <si>
    <t xml:space="preserve">LunarAuraDesignStore | February 2026 | Data: Keywords Everywhere + Everbee + Printify</t>
  </si>
  <si>
    <t xml:space="preserve">KEY FINDINGS</t>
  </si>
  <si>
    <t xml:space="preserve">Total addressable market (combined search volume across 12 opportunities)</t>
  </si>
  <si>
    <t xml:space="preserve">~250,000+ monthly searches</t>
  </si>
  <si>
    <t xml:space="preserve">"Whimsigoth" keyword: 22,200/mo volume, competition score 0.25 (EXTREMELY LOW)</t>
  </si>
  <si>
    <t xml:space="preserve">Golden niche keyword — aligns 100% with our ICP</t>
  </si>
  <si>
    <t xml:space="preserve">"Dark cottagecore" keyword: 3,600/mo, competition 0.29</t>
  </si>
  <si>
    <t xml:space="preserve">Second golden niche — very low competition, growing trend</t>
  </si>
  <si>
    <t xml:space="preserve">Strongest POD category: Phone Cases (40,500/mo Google, 90,500/mo Etsy)</t>
  </si>
  <si>
    <t xml:space="preserve">Low base cost ($5-8), high markup potential</t>
  </si>
  <si>
    <t xml:space="preserve">Best margin opportunity: Tapestry Wall Hangings (9,900/mo)</t>
  </si>
  <si>
    <t xml:space="preserve">Low Printify cost (~$15), sell $35-50, 50-65% margin</t>
  </si>
  <si>
    <t xml:space="preserve">Highest gift potential: Custom Mugs spike to 60,500/mo in Jan</t>
  </si>
  <si>
    <t xml:space="preserve">Seasonal goldmine for Q4 holiday push</t>
  </si>
  <si>
    <t xml:space="preserve">Recommended initial investment: $500-1,500 (Etsy fees + first ad spend)</t>
  </si>
  <si>
    <t xml:space="preserve">Target: Break even in 60-90 days, $10K/mo by month 6</t>
  </si>
  <si>
    <t xml:space="preserve">Estimated products needed for $10K/mo: 80-150 listings across 3-4 categories</t>
  </si>
  <si>
    <t xml:space="preserve">Leverage AI automation for rapid catalog building</t>
  </si>
  <si>
    <t xml:space="preserve">TOP 5 IMMEDIATE OPPORTUNITIES (Ranked by Score)</t>
  </si>
  <si>
    <t xml:space="preserve">Rank</t>
  </si>
  <si>
    <t xml:space="preserve">Opportunity</t>
  </si>
  <si>
    <t xml:space="preserve">Category</t>
  </si>
  <si>
    <t xml:space="preserve">Monthly Searches</t>
  </si>
  <si>
    <t xml:space="preserve">Est. Sale Price</t>
  </si>
  <si>
    <t xml:space="preserve">Est. Margin</t>
  </si>
  <si>
    <t xml:space="preserve">Competition</t>
  </si>
  <si>
    <t xml:space="preserve">Automatable?</t>
  </si>
  <si>
    <t xml:space="preserve">Score /100</t>
  </si>
  <si>
    <t xml:space="preserve">Whimsigoth Phone Cases</t>
  </si>
  <si>
    <t xml:space="preserve">Accessories</t>
  </si>
  <si>
    <t xml:space="preserve">40,500 + niche 1,910</t>
  </si>
  <si>
    <t xml:space="preserve">$24.99</t>
  </si>
  <si>
    <t xml:space="preserve">65-70%</t>
  </si>
  <si>
    <t xml:space="preserve">Very Low (0.25)</t>
  </si>
  <si>
    <t xml:space="preserve">YES — AI art</t>
  </si>
  <si>
    <t xml:space="preserve">Gothic/Celestial Tapestries</t>
  </si>
  <si>
    <t xml:space="preserve">Home Decor</t>
  </si>
  <si>
    <t xml:space="preserve">9,900 + niche 2,080</t>
  </si>
  <si>
    <t xml:space="preserve">$39.99</t>
  </si>
  <si>
    <t xml:space="preserve">55-65%</t>
  </si>
  <si>
    <t xml:space="preserve">Low-Med</t>
  </si>
  <si>
    <t xml:space="preserve">Dark Aesthetic Tote Bags</t>
  </si>
  <si>
    <t xml:space="preserve">22,200 + niche 1,020</t>
  </si>
  <si>
    <t xml:space="preserve">$29.99</t>
  </si>
  <si>
    <t xml:space="preserve">55-60%</t>
  </si>
  <si>
    <t xml:space="preserve">Low (niche)</t>
  </si>
  <si>
    <t xml:space="preserve">Witchy/Celestial Mugs</t>
  </si>
  <si>
    <t xml:space="preserve">Drinkware</t>
  </si>
  <si>
    <t xml:space="preserve">27,100 + niche 960</t>
  </si>
  <si>
    <t xml:space="preserve">$19.99</t>
  </si>
  <si>
    <t xml:space="preserve">50-60%</t>
  </si>
  <si>
    <t xml:space="preserve">Med</t>
  </si>
  <si>
    <t xml:space="preserve">Moon Phase Throw Blankets</t>
  </si>
  <si>
    <t xml:space="preserve">3,600 + niche 720</t>
  </si>
  <si>
    <t xml:space="preserve">$44.99</t>
  </si>
  <si>
    <t xml:space="preserve">45-55%</t>
  </si>
  <si>
    <t xml:space="preserve">Low</t>
  </si>
  <si>
    <t xml:space="preserve">Etsy + Google Keyword Research — All Categories</t>
  </si>
  <si>
    <t xml:space="preserve">Source: Keywords Everywhere (Google data) + Etsy Search (Etsy-specific volumes) | February 2026</t>
  </si>
  <si>
    <t xml:space="preserve">Keyword</t>
  </si>
  <si>
    <t xml:space="preserve">Google Vol/mo</t>
  </si>
  <si>
    <t xml:space="preserve">Etsy Vol/mo</t>
  </si>
  <si>
    <t xml:space="preserve">CPC ($)</t>
  </si>
  <si>
    <t xml:space="preserve">Comp. Level</t>
  </si>
  <si>
    <t xml:space="preserve">Peak Month</t>
  </si>
  <si>
    <t xml:space="preserve">Peak Volume</t>
  </si>
  <si>
    <t xml:space="preserve">Low Month</t>
  </si>
  <si>
    <t xml:space="preserve">Low Volume</t>
  </si>
  <si>
    <t xml:space="preserve">Seasonality</t>
  </si>
  <si>
    <t xml:space="preserve">Niche Fit</t>
  </si>
  <si>
    <t xml:space="preserve">POD Viable?</t>
  </si>
  <si>
    <t xml:space="preserve">Notes</t>
  </si>
  <si>
    <t xml:space="preserve">custom phone case</t>
  </si>
  <si>
    <t xml:space="preserve">High</t>
  </si>
  <si>
    <t xml:space="preserve">Sep-Oct</t>
  </si>
  <si>
    <t xml:space="preserve">Aug</t>
  </si>
  <si>
    <t xml:space="preserve">Moderate</t>
  </si>
  <si>
    <t xml:space="preserve">HIGH</t>
  </si>
  <si>
    <t xml:space="preserve">YES</t>
  </si>
  <si>
    <t xml:space="preserve">Massive volume; niche variants low comp</t>
  </si>
  <si>
    <t xml:space="preserve">gothic phone case</t>
  </si>
  <si>
    <t xml:space="preserve">Apr</t>
  </si>
  <si>
    <t xml:space="preserve">Jul-Aug</t>
  </si>
  <si>
    <t xml:space="preserve">PERFECT</t>
  </si>
  <si>
    <t xml:space="preserve">Direct ICP match</t>
  </si>
  <si>
    <t xml:space="preserve">witchy phone case</t>
  </si>
  <si>
    <t xml:space="preserve">Med-High</t>
  </si>
  <si>
    <t xml:space="preserve">Oct</t>
  </si>
  <si>
    <t xml:space="preserve">Apr/Jun</t>
  </si>
  <si>
    <t xml:space="preserve">Slight Oct spike</t>
  </si>
  <si>
    <t xml:space="preserve">Halloween seasonal boost</t>
  </si>
  <si>
    <t xml:space="preserve">mushroom phone case</t>
  </si>
  <si>
    <t xml:space="preserve">Feb-Mar</t>
  </si>
  <si>
    <t xml:space="preserve">Jan</t>
  </si>
  <si>
    <t xml:space="preserve">Cottagecore crossover</t>
  </si>
  <si>
    <t xml:space="preserve">celestial phone case</t>
  </si>
  <si>
    <t xml:space="preserve">Feb</t>
  </si>
  <si>
    <t xml:space="preserve">Jul</t>
  </si>
  <si>
    <t xml:space="preserve">Moon/star aesthetic</t>
  </si>
  <si>
    <t xml:space="preserve">custom tote bag</t>
  </si>
  <si>
    <t xml:space="preserve">Steady</t>
  </si>
  <si>
    <t xml:space="preserve">Very Steady</t>
  </si>
  <si>
    <t xml:space="preserve">Top seller: 2,730 sales/mo</t>
  </si>
  <si>
    <t xml:space="preserve">gothic tote bag</t>
  </si>
  <si>
    <t xml:space="preserve">Sep</t>
  </si>
  <si>
    <t xml:space="preserve">Nov</t>
  </si>
  <si>
    <t xml:space="preserve">Niche differentiator</t>
  </si>
  <si>
    <t xml:space="preserve">tapestry wall hanging</t>
  </si>
  <si>
    <t xml:space="preserve">Jun-Jul</t>
  </si>
  <si>
    <t xml:space="preserve">Moon/gothic themes ideal</t>
  </si>
  <si>
    <t xml:space="preserve">gothic tapestry</t>
  </si>
  <si>
    <t xml:space="preserve">Nov-Dec</t>
  </si>
  <si>
    <t xml:space="preserve">Jun-Aug</t>
  </si>
  <si>
    <t xml:space="preserve">Slight Q4 bump</t>
  </si>
  <si>
    <t xml:space="preserve">Low CPC, direct niche</t>
  </si>
  <si>
    <t xml:space="preserve">mushroom tapestry</t>
  </si>
  <si>
    <t xml:space="preserve">moon tapestry</t>
  </si>
  <si>
    <t xml:space="preserve">Feb/Sep</t>
  </si>
  <si>
    <t xml:space="preserve">Very low CPC</t>
  </si>
  <si>
    <t xml:space="preserve">custom mug</t>
  </si>
  <si>
    <t xml:space="preserve">VERY HIGH (holiday)</t>
  </si>
  <si>
    <t xml:space="preserve">Huge Dec-Jan spike</t>
  </si>
  <si>
    <t xml:space="preserve">witchy mug</t>
  </si>
  <si>
    <t xml:space="preserve">Oct-Dec</t>
  </si>
  <si>
    <t xml:space="preserve">Strong Oct spike</t>
  </si>
  <si>
    <t xml:space="preserve">Halloween + holiday</t>
  </si>
  <si>
    <t xml:space="preserve">gothic mug</t>
  </si>
  <si>
    <t xml:space="preserve">Apr-Jun</t>
  </si>
  <si>
    <t xml:space="preserve">Moderate Q4</t>
  </si>
  <si>
    <t xml:space="preserve">Year-round + holiday boost</t>
  </si>
  <si>
    <t xml:space="preserve">custom throw pillow</t>
  </si>
  <si>
    <t xml:space="preserve">Feb/Jan</t>
  </si>
  <si>
    <t xml:space="preserve">Mar-Apr</t>
  </si>
  <si>
    <t xml:space="preserve">Etsy volume much higher</t>
  </si>
  <si>
    <t xml:space="preserve">gothic pillow</t>
  </si>
  <si>
    <t xml:space="preserve">Apr/Nov</t>
  </si>
  <si>
    <t xml:space="preserve">Low competition in niche</t>
  </si>
  <si>
    <t xml:space="preserve">moon pillow</t>
  </si>
  <si>
    <t xml:space="preserve">Feb/Sep/Dec-Jan</t>
  </si>
  <si>
    <t xml:space="preserve">Jun</t>
  </si>
  <si>
    <t xml:space="preserve">Celestial aesthetic</t>
  </si>
  <si>
    <t xml:space="preserve">custom throw blanket</t>
  </si>
  <si>
    <t xml:space="preserve">HIGH (winter)</t>
  </si>
  <si>
    <t xml:space="preserve">Major Q4 opportunity</t>
  </si>
  <si>
    <t xml:space="preserve">gothic blanket</t>
  </si>
  <si>
    <t xml:space="preserve">Oct/Feb</t>
  </si>
  <si>
    <t xml:space="preserve">Winter + gothic niche</t>
  </si>
  <si>
    <t xml:space="preserve">custom tumbler</t>
  </si>
  <si>
    <t xml:space="preserve">MEDIUM</t>
  </si>
  <si>
    <t xml:space="preserve">Good gift item</t>
  </si>
  <si>
    <t xml:space="preserve">custom apron</t>
  </si>
  <si>
    <t xml:space="preserve">Apr-Sep</t>
  </si>
  <si>
    <t xml:space="preserve">HIGH (holiday)</t>
  </si>
  <si>
    <t xml:space="preserve">Massive holiday spike</t>
  </si>
  <si>
    <t xml:space="preserve">custom puzzle</t>
  </si>
  <si>
    <t xml:space="preserve">4.01% conv rate!</t>
  </si>
  <si>
    <t xml:space="preserve">custom poster print</t>
  </si>
  <si>
    <t xml:space="preserve">Low production cost</t>
  </si>
  <si>
    <t xml:space="preserve">aesthetic wall art</t>
  </si>
  <si>
    <t xml:space="preserve">Broad aesthetic term</t>
  </si>
  <si>
    <t xml:space="preserve">whimsigoth</t>
  </si>
  <si>
    <t xml:space="preserve">VERY LOW</t>
  </si>
  <si>
    <t xml:space="preserve">GOLDEN KEYWORD</t>
  </si>
  <si>
    <t xml:space="preserve">dark cottagecore</t>
  </si>
  <si>
    <t xml:space="preserve">Mar-Apr/Nov-Dec</t>
  </si>
  <si>
    <t xml:space="preserve">boho goth</t>
  </si>
  <si>
    <t xml:space="preserve">Medium</t>
  </si>
  <si>
    <t xml:space="preserve">Mar</t>
  </si>
  <si>
    <t xml:space="preserve">Crossover niche</t>
  </si>
  <si>
    <t xml:space="preserve">personalized pet portrait</t>
  </si>
  <si>
    <t xml:space="preserve">Dec-Jan</t>
  </si>
  <si>
    <t xml:space="preserve">YES (AI)</t>
  </si>
  <si>
    <t xml:space="preserve">AI-generatable</t>
  </si>
  <si>
    <t xml:space="preserve">aesthetic room decor</t>
  </si>
  <si>
    <t xml:space="preserve">Ultra-low CPC</t>
  </si>
  <si>
    <t xml:space="preserve">12 POD Opportunity Ideas — Detailed Analysis</t>
  </si>
  <si>
    <t xml:space="preserve">Ranked by composite score (demand × margin × automation fit × niche alignment × competition advantage)</t>
  </si>
  <si>
    <t xml:space="preserve">#</t>
  </si>
  <si>
    <t xml:space="preserve">Product Type</t>
  </si>
  <si>
    <t xml:space="preserve">Primary Keywords</t>
  </si>
  <si>
    <t xml:space="preserve">Combined Search Vol/mo</t>
  </si>
  <si>
    <t xml:space="preserve">Printify Base Cost</t>
  </si>
  <si>
    <t xml:space="preserve">Target Sale Price</t>
  </si>
  <si>
    <t xml:space="preserve">Est. Margin %</t>
  </si>
  <si>
    <t xml:space="preserve">Competition Score</t>
  </si>
  <si>
    <t xml:space="preserve">Niche Fit (ICP)</t>
  </si>
  <si>
    <t xml:space="preserve">AI Automatable</t>
  </si>
  <si>
    <t xml:space="preserve">Seasonal Peak</t>
  </si>
  <si>
    <t xml:space="preserve"># Products Needed</t>
  </si>
  <si>
    <t xml:space="preserve">Monthly Rev Target</t>
  </si>
  <si>
    <t xml:space="preserve">Investment Needed</t>
  </si>
  <si>
    <t xml:space="preserve">Composite Score</t>
  </si>
  <si>
    <t xml:space="preserve">Whimsigoth/Gothic Phone Cases</t>
  </si>
  <si>
    <t xml:space="preserve">Phone Case</t>
  </si>
  <si>
    <t xml:space="preserve">custom phone case, gothic phone case, witchy phone case, celestial phone case</t>
  </si>
  <si>
    <t xml:space="preserve">$5-8</t>
  </si>
  <si>
    <t xml:space="preserve">$22.99-29.99</t>
  </si>
  <si>
    <t xml:space="preserve">Very Low (niche 0.25)</t>
  </si>
  <si>
    <t xml:space="preserve">10/10</t>
  </si>
  <si>
    <t xml:space="preserve">Full AI pipeline</t>
  </si>
  <si>
    <t xml:space="preserve">Sep-Jan</t>
  </si>
  <si>
    <t xml:space="preserve">30-40 designs</t>
  </si>
  <si>
    <t xml:space="preserve">$2,500-4,000/mo</t>
  </si>
  <si>
    <t xml:space="preserve">$200-400</t>
  </si>
  <si>
    <t xml:space="preserve">Gothic/Celestial Tapestry Hangings</t>
  </si>
  <si>
    <t xml:space="preserve">Tapestry</t>
  </si>
  <si>
    <t xml:space="preserve">tapestry wall hanging, gothic tapestry, moon tapestry, mushroom tapestry</t>
  </si>
  <si>
    <t xml:space="preserve">$14-18</t>
  </si>
  <si>
    <t xml:space="preserve">$34.99-49.99</t>
  </si>
  <si>
    <t xml:space="preserve">Low-Medium</t>
  </si>
  <si>
    <t xml:space="preserve">20-30 designs</t>
  </si>
  <si>
    <t xml:space="preserve">$2,000-3,500/mo</t>
  </si>
  <si>
    <t xml:space="preserve">$150-300</t>
  </si>
  <si>
    <t xml:space="preserve">Dark Aesthetic Canvas Tote Bags</t>
  </si>
  <si>
    <t xml:space="preserve">Tote Bag</t>
  </si>
  <si>
    <t xml:space="preserve">custom tote bag, gothic tote bag, witchy tote bag</t>
  </si>
  <si>
    <t xml:space="preserve">$8-12</t>
  </si>
  <si>
    <t xml:space="preserve">$24.99-34.99</t>
  </si>
  <si>
    <t xml:space="preserve">Low in niche</t>
  </si>
  <si>
    <t xml:space="preserve">Year-round</t>
  </si>
  <si>
    <t xml:space="preserve">25-35 designs</t>
  </si>
  <si>
    <t xml:space="preserve">$2,000-3,000/mo</t>
  </si>
  <si>
    <t xml:space="preserve">Witchy/Celestial Ceramic Mugs</t>
  </si>
  <si>
    <t xml:space="preserve">Mug</t>
  </si>
  <si>
    <t xml:space="preserve">custom mug, witchy mug, gothic mug</t>
  </si>
  <si>
    <t xml:space="preserve">$17.99-24.99</t>
  </si>
  <si>
    <t xml:space="preserve">Oct-Jan</t>
  </si>
  <si>
    <t xml:space="preserve">25-40 designs</t>
  </si>
  <si>
    <t xml:space="preserve">$150-350</t>
  </si>
  <si>
    <t xml:space="preserve">Blanket</t>
  </si>
  <si>
    <t xml:space="preserve">custom throw blanket, gothic blanket, moon blanket</t>
  </si>
  <si>
    <t xml:space="preserve">$18-25</t>
  </si>
  <si>
    <t xml:space="preserve">$39.99-54.99</t>
  </si>
  <si>
    <t xml:space="preserve">15-20 designs</t>
  </si>
  <si>
    <t xml:space="preserve">$1,500-2,500/mo</t>
  </si>
  <si>
    <t xml:space="preserve">Celestial/Gothic Throw Pillows</t>
  </si>
  <si>
    <t xml:space="preserve">Pillow</t>
  </si>
  <si>
    <t xml:space="preserve">custom throw pillow, gothic pillow, moon pillow</t>
  </si>
  <si>
    <t xml:space="preserve">$10-15</t>
  </si>
  <si>
    <t xml:space="preserve">20-25 designs</t>
  </si>
  <si>
    <t xml:space="preserve">$1,200-2,000/mo</t>
  </si>
  <si>
    <t xml:space="preserve">$150-250</t>
  </si>
  <si>
    <t xml:space="preserve">Aesthetic Poster/Wall Art Sets</t>
  </si>
  <si>
    <t xml:space="preserve">Poster</t>
  </si>
  <si>
    <t xml:space="preserve">custom poster print, aesthetic wall art, personalized wall art</t>
  </si>
  <si>
    <t xml:space="preserve">$4-8</t>
  </si>
  <si>
    <t xml:space="preserve">$14.99-29.99</t>
  </si>
  <si>
    <t xml:space="preserve">55-70%</t>
  </si>
  <si>
    <t xml:space="preserve">30-50 designs</t>
  </si>
  <si>
    <t xml:space="preserve">$100-200</t>
  </si>
  <si>
    <t xml:space="preserve">AI Pet Portrait Products (Mug+Canvas+Pillow)</t>
  </si>
  <si>
    <t xml:space="preserve">Multi-product</t>
  </si>
  <si>
    <t xml:space="preserve">personalized pet portrait, custom pet mug</t>
  </si>
  <si>
    <t xml:space="preserve">$5-15</t>
  </si>
  <si>
    <t xml:space="preserve">$19.99-44.99</t>
  </si>
  <si>
    <t xml:space="preserve">50-65%</t>
  </si>
  <si>
    <t xml:space="preserve">High (but AI edge)</t>
  </si>
  <si>
    <t xml:space="preserve">9/10</t>
  </si>
  <si>
    <t xml:space="preserve">AI portrait gen</t>
  </si>
  <si>
    <t xml:space="preserve">Dec-Feb</t>
  </si>
  <si>
    <t xml:space="preserve">10-15 templates</t>
  </si>
  <si>
    <t xml:space="preserve">$1,000-2,000/mo</t>
  </si>
  <si>
    <t xml:space="preserve">Dark Fantasy Custom Puzzles</t>
  </si>
  <si>
    <t xml:space="preserve">Puzzle</t>
  </si>
  <si>
    <t xml:space="preserve">custom puzzle, gothic puzzle, dark art puzzle</t>
  </si>
  <si>
    <t xml:space="preserve">Nov-Jan</t>
  </si>
  <si>
    <t xml:space="preserve">$1,000-1,500/mo</t>
  </si>
  <si>
    <t xml:space="preserve">Gothic/Witchy Custom Tumblers</t>
  </si>
  <si>
    <t xml:space="preserve">Tumbler</t>
  </si>
  <si>
    <t xml:space="preserve">custom tumbler, witchy tumbler, gothic tumbler</t>
  </si>
  <si>
    <t xml:space="preserve">8/10</t>
  </si>
  <si>
    <t xml:space="preserve">AI art + wrap design</t>
  </si>
  <si>
    <t xml:space="preserve">Whimsigoth Aprons (Kitchen/Craft)</t>
  </si>
  <si>
    <t xml:space="preserve">Apron</t>
  </si>
  <si>
    <t xml:space="preserve">custom apron, gothic apron, witchy apron</t>
  </si>
  <si>
    <t xml:space="preserve">$12-18</t>
  </si>
  <si>
    <t xml:space="preserve">$29.99-39.99</t>
  </si>
  <si>
    <t xml:space="preserve">Low (niche specific)</t>
  </si>
  <si>
    <t xml:space="preserve">$100-250</t>
  </si>
  <si>
    <t xml:space="preserve">Gothic Home Decor Bundle (Shower Curtain + Doormat)</t>
  </si>
  <si>
    <t xml:space="preserve">custom shower curtain, custom doormat, gothic home decor</t>
  </si>
  <si>
    <t xml:space="preserve">$15-25</t>
  </si>
  <si>
    <t xml:space="preserve">40-50%</t>
  </si>
  <si>
    <t xml:space="preserve">Low (niche bundle)</t>
  </si>
  <si>
    <t xml:space="preserve">AI art pipeline</t>
  </si>
  <si>
    <t xml:space="preserve">10-15 bundles</t>
  </si>
  <si>
    <t xml:space="preserve">$800-1,500/mo</t>
  </si>
  <si>
    <t xml:space="preserve">Printify Product Cost &amp; Margin Analysis</t>
  </si>
  <si>
    <t xml:space="preserve">Printify Blueprint</t>
  </si>
  <si>
    <t xml:space="preserve">Print Provider</t>
  </si>
  <si>
    <t xml:space="preserve">Base Cost (USD)</t>
  </si>
  <si>
    <t xml:space="preserve">Shipping (US)</t>
  </si>
  <si>
    <t xml:space="preserve">Total COGS</t>
  </si>
  <si>
    <t xml:space="preserve">Etsy Fees (~13%)</t>
  </si>
  <si>
    <t xml:space="preserve">Net Profit/Unit</t>
  </si>
  <si>
    <t xml:space="preserve">Margin %</t>
  </si>
  <si>
    <t xml:space="preserve">Units for $10K/mo</t>
  </si>
  <si>
    <t xml:space="preserve">Phone Case (Tough)</t>
  </si>
  <si>
    <t xml:space="preserve">Tough Phone Cases</t>
  </si>
  <si>
    <t xml:space="preserve">The Dream Junction</t>
  </si>
  <si>
    <t xml:space="preserve">Canvas Tote Bag</t>
  </si>
  <si>
    <t xml:space="preserve">Cotton Canvas Tote</t>
  </si>
  <si>
    <t xml:space="preserve">Awkward Styles</t>
  </si>
  <si>
    <t xml:space="preserve">Wall Tapestry</t>
  </si>
  <si>
    <t xml:space="preserve">Indoor Wall Tapestry</t>
  </si>
  <si>
    <t xml:space="preserve">MWW On Demand</t>
  </si>
  <si>
    <t xml:space="preserve">Ceramic Mug 11oz</t>
  </si>
  <si>
    <t xml:space="preserve">White Ceramic Mug</t>
  </si>
  <si>
    <t xml:space="preserve">Generic / Printify Choice</t>
  </si>
  <si>
    <t xml:space="preserve">Throw Blanket (Velveteen)</t>
  </si>
  <si>
    <t xml:space="preserve">Velveteen Plush Blanket</t>
  </si>
  <si>
    <t xml:space="preserve">Throw Pillow 18x18</t>
  </si>
  <si>
    <t xml:space="preserve">Spun Polyester Pillow</t>
  </si>
  <si>
    <t xml:space="preserve">Poster Print (18x24)</t>
  </si>
  <si>
    <t xml:space="preserve">Enhanced Matte Poster</t>
  </si>
  <si>
    <t xml:space="preserve">Printify Choice</t>
  </si>
  <si>
    <t xml:space="preserve">Custom Puzzle 500pc</t>
  </si>
  <si>
    <t xml:space="preserve">Jigsaw Puzzle</t>
  </si>
  <si>
    <t xml:space="preserve">Stainless Tumbler 20oz</t>
  </si>
  <si>
    <t xml:space="preserve">Skinny Tumbler 20oz</t>
  </si>
  <si>
    <t xml:space="preserve">Generic</t>
  </si>
  <si>
    <t xml:space="preserve">Shower Curtain</t>
  </si>
  <si>
    <t xml:space="preserve">AOP Hoodie (existing)</t>
  </si>
  <si>
    <t xml:space="preserve">AOP Hoodie BP450</t>
  </si>
  <si>
    <t xml:space="preserve">T-Shirt Bella 3001</t>
  </si>
  <si>
    <t xml:space="preserve">Bella+Canvas 3001</t>
  </si>
  <si>
    <t xml:space="preserve">Various</t>
  </si>
  <si>
    <t xml:space="preserve">Everbee Sales Intelligence — Top Etsy Sellers by Category</t>
  </si>
  <si>
    <t xml:space="preserve">Shop Name</t>
  </si>
  <si>
    <t xml:space="preserve">Monthly Sales</t>
  </si>
  <si>
    <t xml:space="preserve">Monthly Views</t>
  </si>
  <si>
    <t xml:space="preserve">Conv. Rate</t>
  </si>
  <si>
    <t xml:space="preserve">Listing Age (Mo)</t>
  </si>
  <si>
    <t xml:space="preserve">Price Point</t>
  </si>
  <si>
    <t xml:space="preserve">Reviews</t>
  </si>
  <si>
    <t xml:space="preserve">Custom Tote Bag</t>
  </si>
  <si>
    <t xml:space="preserve">Peaspinkmemory</t>
  </si>
  <si>
    <t xml:space="preserve">3.01%</t>
  </si>
  <si>
    <t xml:space="preserve">CA$0.11-0.37</t>
  </si>
  <si>
    <t xml:space="preserve">9.1k</t>
  </si>
  <si>
    <t xml:space="preserve">Top seller, personalized logo totes</t>
  </si>
  <si>
    <t xml:space="preserve">AylaDesignCo23</t>
  </si>
  <si>
    <t xml:space="preserve">2.95%</t>
  </si>
  <si>
    <t xml:space="preserve">CA$1.30-2.40</t>
  </si>
  <si>
    <t xml:space="preserve">3.2k</t>
  </si>
  <si>
    <t xml:space="preserve">Bridesmaid/beach bags</t>
  </si>
  <si>
    <t xml:space="preserve">AnselMaggieShop</t>
  </si>
  <si>
    <t xml:space="preserve">2.55%</t>
  </si>
  <si>
    <t xml:space="preserve">CA$1.41-5.65</t>
  </si>
  <si>
    <t xml:space="preserve">7.8k</t>
  </si>
  <si>
    <t xml:space="preserve">Bridesmaid gifts</t>
  </si>
  <si>
    <t xml:space="preserve">Custom Backpack</t>
  </si>
  <si>
    <t xml:space="preserve">BabyShowerBasket</t>
  </si>
  <si>
    <t xml:space="preserve">2.67%</t>
  </si>
  <si>
    <t xml:space="preserve">CA$16.47</t>
  </si>
  <si>
    <t xml:space="preserve">3k</t>
  </si>
  <si>
    <t xml:space="preserve">Custom toddler backpacks</t>
  </si>
  <si>
    <t xml:space="preserve">SonaMade</t>
  </si>
  <si>
    <t xml:space="preserve">2.81%</t>
  </si>
  <si>
    <t xml:space="preserve">CA$19.32</t>
  </si>
  <si>
    <t xml:space="preserve">3.1k</t>
  </si>
  <si>
    <t xml:space="preserve">Personalized corduroy</t>
  </si>
  <si>
    <t xml:space="preserve">Custom Puzzle</t>
  </si>
  <si>
    <t xml:space="preserve">JessicaStore125</t>
  </si>
  <si>
    <t xml:space="preserve">4.01%</t>
  </si>
  <si>
    <t xml:space="preserve">CA$13.86</t>
  </si>
  <si>
    <t xml:space="preserve">378</t>
  </si>
  <si>
    <t xml:space="preserve">Photo puzzles — highest conv rate!</t>
  </si>
  <si>
    <t xml:space="preserve">GiftArtByMike</t>
  </si>
  <si>
    <t xml:space="preserve">1.90%</t>
  </si>
  <si>
    <t xml:space="preserve">CA$11.12</t>
  </si>
  <si>
    <t xml:space="preserve">10.8k</t>
  </si>
  <si>
    <t xml:space="preserve">Personalized jigsaw</t>
  </si>
  <si>
    <t xml:space="preserve">ArtfullyCustom</t>
  </si>
  <si>
    <t xml:space="preserve">3.62%</t>
  </si>
  <si>
    <t xml:space="preserve">CA$14.12</t>
  </si>
  <si>
    <t xml:space="preserve">2.6k</t>
  </si>
  <si>
    <t xml:space="preserve">Custom photo puzzle</t>
  </si>
  <si>
    <t xml:space="preserve">CerseiGift</t>
  </si>
  <si>
    <t xml:space="preserve">3.63%</t>
  </si>
  <si>
    <t xml:space="preserve">CA$22.05</t>
  </si>
  <si>
    <t xml:space="preserve">2.3k</t>
  </si>
  <si>
    <t xml:space="preserve">Premium puzzle</t>
  </si>
  <si>
    <t xml:space="preserve">SarvayaCreation</t>
  </si>
  <si>
    <t xml:space="preserve">0.42%</t>
  </si>
  <si>
    <t xml:space="preserve">CA$66.32</t>
  </si>
  <si>
    <t xml:space="preserve">459</t>
  </si>
  <si>
    <t xml:space="preserve">Indian vintage tapestries</t>
  </si>
  <si>
    <t xml:space="preserve">HippieNTapestryWorld</t>
  </si>
  <si>
    <t xml:space="preserve">0.76%</t>
  </si>
  <si>
    <t xml:space="preserve">CA$20.28</t>
  </si>
  <si>
    <t xml:space="preserve">160</t>
  </si>
  <si>
    <t xml:space="preserve">Mandala wall hangings</t>
  </si>
  <si>
    <t xml:space="preserve">GildenHome</t>
  </si>
  <si>
    <t xml:space="preserve">0.21%</t>
  </si>
  <si>
    <t xml:space="preserve">CA$95.04</t>
  </si>
  <si>
    <t xml:space="preserve">340</t>
  </si>
  <si>
    <t xml:space="preserve">French woven, premium</t>
  </si>
  <si>
    <t xml:space="preserve">HeartArtPrint</t>
  </si>
  <si>
    <t xml:space="preserve">0.57%</t>
  </si>
  <si>
    <t xml:space="preserve">CA$43.51</t>
  </si>
  <si>
    <t xml:space="preserve">448</t>
  </si>
  <si>
    <t xml:space="preserve">Moth &amp; Moon Phases — our aesthetic!</t>
  </si>
  <si>
    <t xml:space="preserve">SpaceEmbellishment</t>
  </si>
  <si>
    <t xml:space="preserve">3.15%</t>
  </si>
  <si>
    <t xml:space="preserve">CA$17.83</t>
  </si>
  <si>
    <t xml:space="preserve">7.1k</t>
  </si>
  <si>
    <t xml:space="preserve">Custom photo curtains</t>
  </si>
  <si>
    <t xml:space="preserve">JoyOfPlants</t>
  </si>
  <si>
    <t xml:space="preserve">0.07%</t>
  </si>
  <si>
    <t xml:space="preserve">CA$113.10</t>
  </si>
  <si>
    <t xml:space="preserve">8.2k</t>
  </si>
  <si>
    <t xml:space="preserve">Botanical aesthetic — premium price</t>
  </si>
  <si>
    <t xml:space="preserve">ModPawsUS</t>
  </si>
  <si>
    <t xml:space="preserve">-</t>
  </si>
  <si>
    <t xml:space="preserve">CA$8.56</t>
  </si>
  <si>
    <t xml:space="preserve">69.8k</t>
  </si>
  <si>
    <t xml:space="preserve">Pet phone cases, MASSIVE shop</t>
  </si>
  <si>
    <t xml:space="preserve">Blackcurrant74</t>
  </si>
  <si>
    <t xml:space="preserve">CA$34.64</t>
  </si>
  <si>
    <t xml:space="preserve">19</t>
  </si>
  <si>
    <t xml:space="preserve">Whimsigoth iPhone cases — our niche!</t>
  </si>
  <si>
    <t xml:space="preserve">FrostyCovers</t>
  </si>
  <si>
    <t xml:space="preserve">CA$24.08</t>
  </si>
  <si>
    <t xml:space="preserve">11.4k</t>
  </si>
  <si>
    <t xml:space="preserve">Custom image phone cases</t>
  </si>
  <si>
    <t xml:space="preserve">Pet Portrait</t>
  </si>
  <si>
    <t xml:space="preserve">CA$8.54</t>
  </si>
  <si>
    <t xml:space="preserve">Watercolor pet portraits from photo</t>
  </si>
  <si>
    <t xml:space="preserve">ArtsifOfficial</t>
  </si>
  <si>
    <t xml:space="preserve">CA$9.27</t>
  </si>
  <si>
    <t xml:space="preserve">20.7k</t>
  </si>
  <si>
    <t xml:space="preserve">Personalized watercolor prints</t>
  </si>
  <si>
    <t xml:space="preserve">PawsitiveMinds</t>
  </si>
  <si>
    <t xml:space="preserve">CA$11.00</t>
  </si>
  <si>
    <t xml:space="preserve">541</t>
  </si>
  <si>
    <t xml:space="preserve">Custom photo mugs, Ships from CA</t>
  </si>
  <si>
    <t xml:space="preserve">CA$14.26</t>
  </si>
  <si>
    <t xml:space="preserve">Custom pet striped mugs</t>
  </si>
  <si>
    <t xml:space="preserve">$10K/Month Revenue Model — Path to Goal</t>
  </si>
  <si>
    <t xml:space="preserve">Based on multi-category POD strategy with AI-automated design generation</t>
  </si>
  <si>
    <t xml:space="preserve">KEY ASSUMPTIONS</t>
  </si>
  <si>
    <t xml:space="preserve">Etsy conversion rate (organic)</t>
  </si>
  <si>
    <t xml:space="preserve">2.0-3.0%</t>
  </si>
  <si>
    <t xml:space="preserve">Based on Everbee data from top sellers</t>
  </si>
  <si>
    <t xml:space="preserve">Etsy conversion rate (ads)</t>
  </si>
  <si>
    <t xml:space="preserve">1.5-2.5%</t>
  </si>
  <si>
    <t xml:space="preserve">Typically lower than organic</t>
  </si>
  <si>
    <t xml:space="preserve">Average order value (blended)</t>
  </si>
  <si>
    <t xml:space="preserve">$28.00</t>
  </si>
  <si>
    <t xml:space="preserve">Weighted across product mix</t>
  </si>
  <si>
    <t xml:space="preserve">Average profit margin (blended)</t>
  </si>
  <si>
    <t xml:space="preserve">52%</t>
  </si>
  <si>
    <t xml:space="preserve">After COGS, Etsy fees, shipping</t>
  </si>
  <si>
    <t xml:space="preserve">Etsy listing fee per listing</t>
  </si>
  <si>
    <t xml:space="preserve">$0.20</t>
  </si>
  <si>
    <t xml:space="preserve">Per listing, renews every 4 months</t>
  </si>
  <si>
    <t xml:space="preserve">Etsy transaction fee</t>
  </si>
  <si>
    <t xml:space="preserve">6.5%</t>
  </si>
  <si>
    <t xml:space="preserve">Of sale price including shipping</t>
  </si>
  <si>
    <t xml:space="preserve">Etsy payment processing</t>
  </si>
  <si>
    <t xml:space="preserve">3% + $0.25</t>
  </si>
  <si>
    <t xml:space="preserve">Per transaction</t>
  </si>
  <si>
    <t xml:space="preserve">Etsy ads budget (month 1-3)</t>
  </si>
  <si>
    <t xml:space="preserve">$300-500/mo</t>
  </si>
  <si>
    <t xml:space="preserve">Ramp up as data shows winners</t>
  </si>
  <si>
    <t xml:space="preserve">Designs per week (AI automated)</t>
  </si>
  <si>
    <t xml:space="preserve">15-25</t>
  </si>
  <si>
    <t xml:space="preserve">Using Gemini + pipeline automation</t>
  </si>
  <si>
    <t xml:space="preserve">Time to rank organically</t>
  </si>
  <si>
    <t xml:space="preserve">2-4 months</t>
  </si>
  <si>
    <t xml:space="preserve">Per listing, with proper SEO</t>
  </si>
  <si>
    <t xml:space="preserve">MONTHLY RAMP PLAN</t>
  </si>
  <si>
    <t xml:space="preserve">Month</t>
  </si>
  <si>
    <t xml:space="preserve">New Listings</t>
  </si>
  <si>
    <t xml:space="preserve">Total Listings</t>
  </si>
  <si>
    <t xml:space="preserve">Organic Sales/day</t>
  </si>
  <si>
    <t xml:space="preserve">Ad Sales/day</t>
  </si>
  <si>
    <t xml:space="preserve">Total Sales/day</t>
  </si>
  <si>
    <t xml:space="preserve">Avg Order Value</t>
  </si>
  <si>
    <t xml:space="preserve">Monthly Revenue</t>
  </si>
  <si>
    <t xml:space="preserve">Monthly Profit</t>
  </si>
  <si>
    <t xml:space="preserve">Cumulative Invest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</si>
  <si>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</si>
  <si>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</si>
  <si>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</si>
  <si>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</si>
  <si>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</si>
  <si>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</si>
  <si>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</si>
  <si>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</si>
  <si>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</si>
  <si>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</si>
  <si>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</si>
  <si>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</si>
  <si>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Implementation Action Plan — First 90 Days</t>
  </si>
  <si>
    <t xml:space="preserve">Phase</t>
  </si>
  <si>
    <t xml:space="preserve">Week</t>
  </si>
  <si>
    <t xml:space="preserve">Action</t>
  </si>
  <si>
    <t xml:space="preserve">Category Focus</t>
  </si>
  <si>
    <t xml:space="preserve">Deliverable</t>
  </si>
  <si>
    <t xml:space="preserve">Est. Listings</t>
  </si>
  <si>
    <t xml:space="preserve">Ad Budget</t>
  </si>
  <si>
    <t xml:space="preserve">Phase 1: Launch</t>
  </si>
  <si>
    <t xml:space="preserve">Week 1-2</t>
  </si>
  <si>
    <t xml:space="preserve">Setup Printify blueprints for Phone Cases, Totes, Mugs</t>
  </si>
  <si>
    <t xml:space="preserve">Phone Cases + Totes</t>
  </si>
  <si>
    <t xml:space="preserve">Blueprint templates configured</t>
  </si>
  <si>
    <t xml:space="preserve">$0</t>
  </si>
  <si>
    <t xml:space="preserve">Configure design pipeline for new product types</t>
  </si>
  <si>
    <t xml:space="preserve">Week 2-3</t>
  </si>
  <si>
    <t xml:space="preserve">Generate 15 whimsigoth phone case designs via AI</t>
  </si>
  <si>
    <t xml:space="preserve">Phone Cases</t>
  </si>
  <si>
    <t xml:space="preserve">15 published listings</t>
  </si>
  <si>
    <t xml:space="preserve">Use existing Gemini pipeline adapted for phone cases</t>
  </si>
  <si>
    <t xml:space="preserve">Week 3-4</t>
  </si>
  <si>
    <t xml:space="preserve">Generate 10 gothic/celestial tote bag designs</t>
  </si>
  <si>
    <t xml:space="preserve">Tote Bags</t>
  </si>
  <si>
    <t xml:space="preserve">10 published listings</t>
  </si>
  <si>
    <t xml:space="preserve">$100</t>
  </si>
  <si>
    <t xml:space="preserve">Start Etsy Ads on top 3 phone cases</t>
  </si>
  <si>
    <t xml:space="preserve">Phase 2: Expand</t>
  </si>
  <si>
    <t xml:space="preserve">Week 5-6</t>
  </si>
  <si>
    <t xml:space="preserve">Generate 10 tapestry designs + 10 mug designs</t>
  </si>
  <si>
    <t xml:space="preserve">Tapestries + Mugs</t>
  </si>
  <si>
    <t xml:space="preserve">20 published listings</t>
  </si>
  <si>
    <t xml:space="preserve">$200</t>
  </si>
  <si>
    <t xml:space="preserve">Scale ads on winners, pause losers</t>
  </si>
  <si>
    <t xml:space="preserve">Week 7-8</t>
  </si>
  <si>
    <t xml:space="preserve">Generate 10 throw pillows + 5 blanket designs</t>
  </si>
  <si>
    <t xml:space="preserve">Pillows + Blankets</t>
  </si>
  <si>
    <t xml:space="preserve">$300</t>
  </si>
  <si>
    <t xml:space="preserve">Analyze first sales data, optimize titles/tags</t>
  </si>
  <si>
    <t xml:space="preserve">Phase 3: Optimize</t>
  </si>
  <si>
    <t xml:space="preserve">Week 9-10</t>
  </si>
  <si>
    <t xml:space="preserve">Refresh underperformers, generate 10 poster/wall art</t>
  </si>
  <si>
    <t xml:space="preserve">Posters + Optimization</t>
  </si>
  <si>
    <t xml:space="preserve">10 new + refreshed</t>
  </si>
  <si>
    <t xml:space="preserve">$400</t>
  </si>
  <si>
    <t xml:space="preserve">A/B test listing images and pricing</t>
  </si>
  <si>
    <t xml:space="preserve">Week 11-12</t>
  </si>
  <si>
    <t xml:space="preserve">Add puzzles, tumblers, aprons + holiday prep</t>
  </si>
  <si>
    <t xml:space="preserve">Seasonal + Gift Items</t>
  </si>
  <si>
    <t xml:space="preserve">$500</t>
  </si>
  <si>
    <t xml:space="preserve">Prepare Q4 holiday inventory if timing aligns</t>
  </si>
  <si>
    <t xml:space="preserve">TOTALS (90 Days)</t>
  </si>
  <si>
    <t xml:space="preserve">7 Product Categories</t>
  </si>
  <si>
    <t xml:space="preserve">~85 Listings Live</t>
  </si>
  <si>
    <t xml:space="preserve">$1,500</t>
  </si>
  <si>
    <t xml:space="preserve">Target: $3,000-5,000/mo revenue by end of Month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</si>
</sst>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#,##0"/>
    <numFmt numFmtId="168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0F3460"/>
      <name val="Arial"/>
      <family val="0"/>
      <charset val="1"/>
    </font>
    <font>
      <sz val="9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3460"/>
        <bgColor rgb="FF16213E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1B5E20"/>
        <bgColor rgb="FF333333"/>
      </patternFill>
    </fill>
    <fill>
      <patternFill patternType="solid">
        <fgColor rgb="FF16213E"/>
        <bgColor rgb="FF1A1A2E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3460"/>
      <rgbColor rgb="FF339966"/>
      <rgbColor rgb="FF16213E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2" min="9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5" t="s">
        <v>4</v>
      </c>
      <c r="I5" s="5"/>
      <c r="J5" s="5"/>
      <c r="K5" s="5"/>
      <c r="L5" s="5"/>
    </row>
    <row r="6" customFormat="false" ht="27.75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5" t="s">
        <v>6</v>
      </c>
      <c r="I6" s="5"/>
      <c r="J6" s="5"/>
      <c r="K6" s="5"/>
      <c r="L6" s="5"/>
    </row>
    <row r="7" customFormat="false" ht="27.75" hidden="false" customHeight="true" outlineLevel="0" collapsed="false">
      <c r="A7" s="4" t="s">
        <v>7</v>
      </c>
      <c r="B7" s="4"/>
      <c r="C7" s="4"/>
      <c r="D7" s="4"/>
      <c r="E7" s="4"/>
      <c r="F7" s="4"/>
      <c r="G7" s="4"/>
      <c r="H7" s="5" t="s">
        <v>8</v>
      </c>
      <c r="I7" s="5"/>
      <c r="J7" s="5"/>
      <c r="K7" s="5"/>
      <c r="L7" s="5"/>
    </row>
    <row r="8" customFormat="false" ht="27.75" hidden="false" customHeight="true" outlineLevel="0" collapsed="false">
      <c r="A8" s="6" t="s">
        <v>9</v>
      </c>
      <c r="B8" s="6"/>
      <c r="C8" s="6"/>
      <c r="D8" s="6"/>
      <c r="E8" s="6"/>
      <c r="F8" s="6"/>
      <c r="G8" s="6"/>
      <c r="H8" s="6" t="s">
        <v>10</v>
      </c>
      <c r="I8" s="6"/>
      <c r="J8" s="6"/>
      <c r="K8" s="6"/>
      <c r="L8" s="6"/>
    </row>
    <row r="9" customFormat="false" ht="27.75" hidden="false" customHeight="true" outlineLevel="0" collapsed="false">
      <c r="A9" s="6" t="s">
        <v>11</v>
      </c>
      <c r="B9" s="6"/>
      <c r="C9" s="6"/>
      <c r="D9" s="6"/>
      <c r="E9" s="6"/>
      <c r="F9" s="6"/>
      <c r="G9" s="6"/>
      <c r="H9" s="6" t="s">
        <v>12</v>
      </c>
      <c r="I9" s="6"/>
      <c r="J9" s="6"/>
      <c r="K9" s="6"/>
      <c r="L9" s="6"/>
    </row>
    <row r="10" customFormat="false" ht="27.75" hidden="false" customHeight="true" outlineLevel="0" collapsed="false">
      <c r="A10" s="6" t="s">
        <v>13</v>
      </c>
      <c r="B10" s="6"/>
      <c r="C10" s="6"/>
      <c r="D10" s="6"/>
      <c r="E10" s="6"/>
      <c r="F10" s="6"/>
      <c r="G10" s="6"/>
      <c r="H10" s="6" t="s">
        <v>14</v>
      </c>
      <c r="I10" s="6"/>
      <c r="J10" s="6"/>
      <c r="K10" s="6"/>
      <c r="L10" s="6"/>
    </row>
    <row r="11" customFormat="false" ht="27.75" hidden="false" customHeight="true" outlineLevel="0" collapsed="false">
      <c r="A11" s="6" t="s">
        <v>15</v>
      </c>
      <c r="B11" s="6"/>
      <c r="C11" s="6"/>
      <c r="D11" s="6"/>
      <c r="E11" s="6"/>
      <c r="F11" s="6"/>
      <c r="G11" s="6"/>
      <c r="H11" s="6" t="s">
        <v>16</v>
      </c>
      <c r="I11" s="6"/>
      <c r="J11" s="6"/>
      <c r="K11" s="6"/>
      <c r="L11" s="6"/>
    </row>
    <row r="12" customFormat="false" ht="27.75" hidden="false" customHeight="true" outlineLevel="0" collapsed="false">
      <c r="A12" s="6" t="s">
        <v>17</v>
      </c>
      <c r="B12" s="6"/>
      <c r="C12" s="6"/>
      <c r="D12" s="6"/>
      <c r="E12" s="6"/>
      <c r="F12" s="6"/>
      <c r="G12" s="6"/>
      <c r="H12" s="6" t="s">
        <v>18</v>
      </c>
      <c r="I12" s="6"/>
      <c r="J12" s="6"/>
      <c r="K12" s="6"/>
      <c r="L12" s="6"/>
    </row>
    <row r="14" customFormat="false" ht="27.75" hidden="false" customHeight="true" outlineLevel="0" collapsed="false">
      <c r="A14" s="7" t="s">
        <v>19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26.85" hidden="false" customHeight="false" outlineLevel="0" collapsed="false">
      <c r="A15" s="8" t="s">
        <v>20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26</v>
      </c>
      <c r="H15" s="8" t="s">
        <v>27</v>
      </c>
      <c r="I15" s="8" t="s">
        <v>28</v>
      </c>
    </row>
    <row r="16" customFormat="false" ht="24" hidden="false" customHeight="true" outlineLevel="0" collapsed="false">
      <c r="A16" s="9" t="n">
        <v>1</v>
      </c>
      <c r="B16" s="10" t="s">
        <v>29</v>
      </c>
      <c r="C16" s="10" t="s">
        <v>30</v>
      </c>
      <c r="D16" s="10" t="s">
        <v>31</v>
      </c>
      <c r="E16" s="10" t="s">
        <v>32</v>
      </c>
      <c r="F16" s="10" t="s">
        <v>33</v>
      </c>
      <c r="G16" s="10" t="s">
        <v>34</v>
      </c>
      <c r="H16" s="10" t="s">
        <v>35</v>
      </c>
      <c r="I16" s="10" t="n">
        <v>95</v>
      </c>
    </row>
    <row r="17" customFormat="false" ht="24" hidden="false" customHeight="true" outlineLevel="0" collapsed="false">
      <c r="A17" s="11" t="n">
        <v>2</v>
      </c>
      <c r="B17" s="12" t="s">
        <v>36</v>
      </c>
      <c r="C17" s="12" t="s">
        <v>37</v>
      </c>
      <c r="D17" s="12" t="s">
        <v>38</v>
      </c>
      <c r="E17" s="12" t="s">
        <v>39</v>
      </c>
      <c r="F17" s="12" t="s">
        <v>40</v>
      </c>
      <c r="G17" s="12" t="s">
        <v>41</v>
      </c>
      <c r="H17" s="12" t="s">
        <v>35</v>
      </c>
      <c r="I17" s="12" t="n">
        <v>91</v>
      </c>
    </row>
    <row r="18" customFormat="false" ht="24" hidden="false" customHeight="true" outlineLevel="0" collapsed="false">
      <c r="A18" s="13" t="n">
        <v>3</v>
      </c>
      <c r="B18" s="14" t="s">
        <v>42</v>
      </c>
      <c r="C18" s="14" t="s">
        <v>30</v>
      </c>
      <c r="D18" s="14" t="s">
        <v>43</v>
      </c>
      <c r="E18" s="14" t="s">
        <v>44</v>
      </c>
      <c r="F18" s="14" t="s">
        <v>45</v>
      </c>
      <c r="G18" s="14" t="s">
        <v>46</v>
      </c>
      <c r="H18" s="14" t="s">
        <v>35</v>
      </c>
      <c r="I18" s="14" t="n">
        <v>88</v>
      </c>
    </row>
    <row r="19" customFormat="false" ht="24" hidden="false" customHeight="true" outlineLevel="0" collapsed="false">
      <c r="A19" s="11" t="n">
        <v>4</v>
      </c>
      <c r="B19" s="12" t="s">
        <v>47</v>
      </c>
      <c r="C19" s="12" t="s">
        <v>48</v>
      </c>
      <c r="D19" s="12" t="s">
        <v>49</v>
      </c>
      <c r="E19" s="12" t="s">
        <v>50</v>
      </c>
      <c r="F19" s="12" t="s">
        <v>51</v>
      </c>
      <c r="G19" s="12" t="s">
        <v>52</v>
      </c>
      <c r="H19" s="12" t="s">
        <v>35</v>
      </c>
      <c r="I19" s="12" t="n">
        <v>85</v>
      </c>
    </row>
    <row r="20" customFormat="false" ht="24" hidden="false" customHeight="true" outlineLevel="0" collapsed="false">
      <c r="A20" s="13" t="n">
        <v>5</v>
      </c>
      <c r="B20" s="14" t="s">
        <v>53</v>
      </c>
      <c r="C20" s="14" t="s">
        <v>37</v>
      </c>
      <c r="D20" s="14" t="s">
        <v>54</v>
      </c>
      <c r="E20" s="14" t="s">
        <v>55</v>
      </c>
      <c r="F20" s="14" t="s">
        <v>56</v>
      </c>
      <c r="G20" s="14" t="s">
        <v>57</v>
      </c>
      <c r="H20" s="14" t="s">
        <v>35</v>
      </c>
      <c r="I20" s="14" t="n">
        <v>82</v>
      </c>
    </row>
  </sheetData>
  <mergeCells count="20">
    <mergeCell ref="A1:L1"/>
    <mergeCell ref="A2:L2"/>
    <mergeCell ref="A4:L4"/>
    <mergeCell ref="A5:G5"/>
    <mergeCell ref="H5:L5"/>
    <mergeCell ref="A6:G6"/>
    <mergeCell ref="H6:L6"/>
    <mergeCell ref="A7:G7"/>
    <mergeCell ref="H7:L7"/>
    <mergeCell ref="A8:G8"/>
    <mergeCell ref="H8:L8"/>
    <mergeCell ref="A9:G9"/>
    <mergeCell ref="H9:L9"/>
    <mergeCell ref="A10:G10"/>
    <mergeCell ref="H10:L10"/>
    <mergeCell ref="A11:G11"/>
    <mergeCell ref="H11:L11"/>
    <mergeCell ref="A12:G12"/>
    <mergeCell ref="H12:L12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15" t="s">
        <v>58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5" hidden="false" customHeight="false" outlineLevel="0" collapsed="false">
      <c r="A2" s="16" t="s">
        <v>59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customFormat="false" ht="26.85" hidden="false" customHeight="false" outlineLevel="0" collapsed="false">
      <c r="A4" s="17" t="s">
        <v>60</v>
      </c>
      <c r="B4" s="17" t="s">
        <v>61</v>
      </c>
      <c r="C4" s="17" t="s">
        <v>62</v>
      </c>
      <c r="D4" s="17" t="s">
        <v>63</v>
      </c>
      <c r="E4" s="17" t="s">
        <v>26</v>
      </c>
      <c r="F4" s="17" t="s">
        <v>64</v>
      </c>
      <c r="G4" s="17" t="s">
        <v>65</v>
      </c>
      <c r="H4" s="17" t="s">
        <v>66</v>
      </c>
      <c r="I4" s="17" t="s">
        <v>67</v>
      </c>
      <c r="J4" s="17" t="s">
        <v>68</v>
      </c>
      <c r="K4" s="17" t="s">
        <v>69</v>
      </c>
      <c r="L4" s="17" t="s">
        <v>70</v>
      </c>
      <c r="M4" s="17" t="s">
        <v>71</v>
      </c>
      <c r="N4" s="17" t="s">
        <v>72</v>
      </c>
    </row>
    <row r="5" customFormat="false" ht="21.75" hidden="false" customHeight="true" outlineLevel="0" collapsed="false">
      <c r="A5" s="18" t="s">
        <v>73</v>
      </c>
      <c r="B5" s="14" t="n">
        <v>40500</v>
      </c>
      <c r="C5" s="14" t="n">
        <v>90500</v>
      </c>
      <c r="D5" s="14" t="n">
        <v>0.68</v>
      </c>
      <c r="E5" s="14" t="n">
        <v>1</v>
      </c>
      <c r="F5" s="14" t="s">
        <v>74</v>
      </c>
      <c r="G5" s="14" t="s">
        <v>75</v>
      </c>
      <c r="H5" s="14" t="n">
        <v>60500</v>
      </c>
      <c r="I5" s="14" t="s">
        <v>76</v>
      </c>
      <c r="J5" s="14" t="n">
        <v>27100</v>
      </c>
      <c r="K5" s="14" t="s">
        <v>77</v>
      </c>
      <c r="L5" s="14" t="s">
        <v>78</v>
      </c>
      <c r="M5" s="14" t="s">
        <v>79</v>
      </c>
      <c r="N5" s="14" t="s">
        <v>80</v>
      </c>
    </row>
    <row r="6" customFormat="false" ht="21.75" hidden="false" customHeight="true" outlineLevel="0" collapsed="false">
      <c r="A6" s="19" t="s">
        <v>81</v>
      </c>
      <c r="B6" s="20" t="n">
        <v>880</v>
      </c>
      <c r="C6" s="20" t="n">
        <v>880</v>
      </c>
      <c r="D6" s="20" t="n">
        <v>0.24</v>
      </c>
      <c r="E6" s="20" t="n">
        <v>1</v>
      </c>
      <c r="F6" s="20" t="s">
        <v>74</v>
      </c>
      <c r="G6" s="20" t="s">
        <v>82</v>
      </c>
      <c r="H6" s="20" t="n">
        <v>1300</v>
      </c>
      <c r="I6" s="20" t="s">
        <v>83</v>
      </c>
      <c r="J6" s="20" t="n">
        <v>720</v>
      </c>
      <c r="K6" s="20" t="s">
        <v>57</v>
      </c>
      <c r="L6" s="20" t="s">
        <v>84</v>
      </c>
      <c r="M6" s="20" t="s">
        <v>79</v>
      </c>
      <c r="N6" s="20" t="s">
        <v>85</v>
      </c>
    </row>
    <row r="7" customFormat="false" ht="21.75" hidden="false" customHeight="true" outlineLevel="0" collapsed="false">
      <c r="A7" s="19" t="s">
        <v>86</v>
      </c>
      <c r="B7" s="20" t="n">
        <v>320</v>
      </c>
      <c r="C7" s="20" t="n">
        <v>320</v>
      </c>
      <c r="D7" s="20" t="n">
        <v>0.44</v>
      </c>
      <c r="E7" s="20" t="n">
        <v>0.99</v>
      </c>
      <c r="F7" s="20" t="s">
        <v>87</v>
      </c>
      <c r="G7" s="20" t="s">
        <v>88</v>
      </c>
      <c r="H7" s="20" t="n">
        <v>590</v>
      </c>
      <c r="I7" s="20" t="s">
        <v>89</v>
      </c>
      <c r="J7" s="20" t="n">
        <v>260</v>
      </c>
      <c r="K7" s="20" t="s">
        <v>90</v>
      </c>
      <c r="L7" s="20" t="s">
        <v>84</v>
      </c>
      <c r="M7" s="20" t="s">
        <v>79</v>
      </c>
      <c r="N7" s="20" t="s">
        <v>91</v>
      </c>
    </row>
    <row r="8" customFormat="false" ht="21.75" hidden="false" customHeight="true" outlineLevel="0" collapsed="false">
      <c r="A8" s="21" t="s">
        <v>92</v>
      </c>
      <c r="B8" s="22" t="n">
        <v>390</v>
      </c>
      <c r="C8" s="22" t="n">
        <v>390</v>
      </c>
      <c r="D8" s="22" t="n">
        <v>0.32</v>
      </c>
      <c r="E8" s="22" t="n">
        <v>0.98</v>
      </c>
      <c r="F8" s="22" t="s">
        <v>87</v>
      </c>
      <c r="G8" s="22" t="s">
        <v>93</v>
      </c>
      <c r="H8" s="22" t="n">
        <v>590</v>
      </c>
      <c r="I8" s="22" t="s">
        <v>94</v>
      </c>
      <c r="J8" s="22" t="n">
        <v>260</v>
      </c>
      <c r="K8" s="22" t="s">
        <v>57</v>
      </c>
      <c r="L8" s="22" t="s">
        <v>78</v>
      </c>
      <c r="M8" s="22" t="s">
        <v>79</v>
      </c>
      <c r="N8" s="22" t="s">
        <v>95</v>
      </c>
    </row>
    <row r="9" customFormat="false" ht="21.75" hidden="false" customHeight="true" outlineLevel="0" collapsed="false">
      <c r="A9" s="19" t="s">
        <v>96</v>
      </c>
      <c r="B9" s="20" t="n">
        <v>320</v>
      </c>
      <c r="C9" s="20" t="n">
        <v>320</v>
      </c>
      <c r="D9" s="20" t="n">
        <v>0.43</v>
      </c>
      <c r="E9" s="20" t="n">
        <v>1</v>
      </c>
      <c r="F9" s="20" t="s">
        <v>74</v>
      </c>
      <c r="G9" s="20" t="s">
        <v>97</v>
      </c>
      <c r="H9" s="20" t="n">
        <v>480</v>
      </c>
      <c r="I9" s="20" t="s">
        <v>98</v>
      </c>
      <c r="J9" s="20" t="n">
        <v>170</v>
      </c>
      <c r="K9" s="20" t="s">
        <v>57</v>
      </c>
      <c r="L9" s="20" t="s">
        <v>84</v>
      </c>
      <c r="M9" s="20" t="s">
        <v>79</v>
      </c>
      <c r="N9" s="20" t="s">
        <v>99</v>
      </c>
    </row>
    <row r="10" customFormat="false" ht="21.75" hidden="false" customHeight="true" outlineLevel="0" collapsed="false">
      <c r="A10" s="21" t="s">
        <v>100</v>
      </c>
      <c r="B10" s="22" t="n">
        <v>22200</v>
      </c>
      <c r="C10" s="22" t="n">
        <v>33100</v>
      </c>
      <c r="D10" s="22" t="n">
        <v>1.08</v>
      </c>
      <c r="E10" s="22" t="n">
        <v>1</v>
      </c>
      <c r="F10" s="22" t="s">
        <v>74</v>
      </c>
      <c r="G10" s="22" t="s">
        <v>101</v>
      </c>
      <c r="H10" s="22" t="n">
        <v>22200</v>
      </c>
      <c r="I10" s="22" t="s">
        <v>101</v>
      </c>
      <c r="J10" s="22" t="n">
        <v>18100</v>
      </c>
      <c r="K10" s="22" t="s">
        <v>102</v>
      </c>
      <c r="L10" s="22" t="s">
        <v>78</v>
      </c>
      <c r="M10" s="22" t="s">
        <v>79</v>
      </c>
      <c r="N10" s="22" t="s">
        <v>103</v>
      </c>
    </row>
    <row r="11" customFormat="false" ht="21.75" hidden="false" customHeight="true" outlineLevel="0" collapsed="false">
      <c r="A11" s="19" t="s">
        <v>104</v>
      </c>
      <c r="B11" s="20" t="n">
        <v>880</v>
      </c>
      <c r="C11" s="20" t="n">
        <v>880</v>
      </c>
      <c r="D11" s="20" t="n">
        <v>0.3</v>
      </c>
      <c r="E11" s="20" t="n">
        <v>1</v>
      </c>
      <c r="F11" s="20" t="s">
        <v>74</v>
      </c>
      <c r="G11" s="20" t="s">
        <v>105</v>
      </c>
      <c r="H11" s="20" t="n">
        <v>1000</v>
      </c>
      <c r="I11" s="20" t="s">
        <v>106</v>
      </c>
      <c r="J11" s="20" t="n">
        <v>590</v>
      </c>
      <c r="K11" s="20" t="s">
        <v>57</v>
      </c>
      <c r="L11" s="20" t="s">
        <v>84</v>
      </c>
      <c r="M11" s="20" t="s">
        <v>79</v>
      </c>
      <c r="N11" s="20" t="s">
        <v>107</v>
      </c>
    </row>
    <row r="12" customFormat="false" ht="21.75" hidden="false" customHeight="true" outlineLevel="0" collapsed="false">
      <c r="A12" s="21" t="s">
        <v>108</v>
      </c>
      <c r="B12" s="22" t="n">
        <v>9900</v>
      </c>
      <c r="C12" s="22" t="n">
        <v>22200</v>
      </c>
      <c r="D12" s="22" t="n">
        <v>0.3</v>
      </c>
      <c r="E12" s="22" t="n">
        <v>1</v>
      </c>
      <c r="F12" s="22" t="s">
        <v>74</v>
      </c>
      <c r="G12" s="22" t="s">
        <v>105</v>
      </c>
      <c r="H12" s="22" t="n">
        <v>14800</v>
      </c>
      <c r="I12" s="22" t="s">
        <v>109</v>
      </c>
      <c r="J12" s="22" t="n">
        <v>8100</v>
      </c>
      <c r="K12" s="22" t="s">
        <v>77</v>
      </c>
      <c r="L12" s="22" t="s">
        <v>78</v>
      </c>
      <c r="M12" s="22" t="s">
        <v>79</v>
      </c>
      <c r="N12" s="22" t="s">
        <v>110</v>
      </c>
    </row>
    <row r="13" customFormat="false" ht="21.75" hidden="false" customHeight="true" outlineLevel="0" collapsed="false">
      <c r="A13" s="19" t="s">
        <v>111</v>
      </c>
      <c r="B13" s="20" t="n">
        <v>880</v>
      </c>
      <c r="C13" s="20" t="n">
        <v>880</v>
      </c>
      <c r="D13" s="20" t="n">
        <v>0.25</v>
      </c>
      <c r="E13" s="20" t="n">
        <v>1</v>
      </c>
      <c r="F13" s="20" t="s">
        <v>74</v>
      </c>
      <c r="G13" s="20" t="s">
        <v>112</v>
      </c>
      <c r="H13" s="20" t="n">
        <v>1000</v>
      </c>
      <c r="I13" s="20" t="s">
        <v>113</v>
      </c>
      <c r="J13" s="20" t="n">
        <v>720</v>
      </c>
      <c r="K13" s="20" t="s">
        <v>114</v>
      </c>
      <c r="L13" s="20" t="s">
        <v>84</v>
      </c>
      <c r="M13" s="20" t="s">
        <v>79</v>
      </c>
      <c r="N13" s="20" t="s">
        <v>115</v>
      </c>
    </row>
    <row r="14" customFormat="false" ht="21.75" hidden="false" customHeight="true" outlineLevel="0" collapsed="false">
      <c r="A14" s="21" t="s">
        <v>116</v>
      </c>
      <c r="B14" s="22" t="n">
        <v>720</v>
      </c>
      <c r="C14" s="22" t="n">
        <v>720</v>
      </c>
      <c r="D14" s="22" t="n">
        <v>0.32</v>
      </c>
      <c r="E14" s="22" t="n">
        <v>0.99</v>
      </c>
      <c r="F14" s="22" t="s">
        <v>87</v>
      </c>
      <c r="G14" s="22" t="s">
        <v>97</v>
      </c>
      <c r="H14" s="22" t="n">
        <v>1000</v>
      </c>
      <c r="I14" s="22" t="s">
        <v>112</v>
      </c>
      <c r="J14" s="22" t="n">
        <v>590</v>
      </c>
      <c r="K14" s="22" t="s">
        <v>57</v>
      </c>
      <c r="L14" s="22" t="s">
        <v>78</v>
      </c>
      <c r="M14" s="22" t="s">
        <v>79</v>
      </c>
      <c r="N14" s="22" t="s">
        <v>95</v>
      </c>
    </row>
    <row r="15" customFormat="false" ht="21.75" hidden="false" customHeight="true" outlineLevel="0" collapsed="false">
      <c r="A15" s="19" t="s">
        <v>117</v>
      </c>
      <c r="B15" s="20" t="n">
        <v>480</v>
      </c>
      <c r="C15" s="20" t="n">
        <v>480</v>
      </c>
      <c r="D15" s="20" t="n">
        <v>0.2</v>
      </c>
      <c r="E15" s="20" t="n">
        <v>1</v>
      </c>
      <c r="F15" s="20" t="s">
        <v>74</v>
      </c>
      <c r="G15" s="20" t="s">
        <v>118</v>
      </c>
      <c r="H15" s="20" t="n">
        <v>720</v>
      </c>
      <c r="I15" s="20" t="s">
        <v>106</v>
      </c>
      <c r="J15" s="20" t="n">
        <v>390</v>
      </c>
      <c r="K15" s="20" t="s">
        <v>57</v>
      </c>
      <c r="L15" s="20" t="s">
        <v>84</v>
      </c>
      <c r="M15" s="20" t="s">
        <v>79</v>
      </c>
      <c r="N15" s="20" t="s">
        <v>119</v>
      </c>
    </row>
    <row r="16" customFormat="false" ht="21.75" hidden="false" customHeight="true" outlineLevel="0" collapsed="false">
      <c r="A16" s="21" t="s">
        <v>120</v>
      </c>
      <c r="B16" s="22" t="n">
        <v>27100</v>
      </c>
      <c r="C16" s="22" t="n">
        <v>60500</v>
      </c>
      <c r="D16" s="22" t="n">
        <v>1.21</v>
      </c>
      <c r="E16" s="22" t="n">
        <v>1</v>
      </c>
      <c r="F16" s="22" t="s">
        <v>74</v>
      </c>
      <c r="G16" s="22" t="s">
        <v>94</v>
      </c>
      <c r="H16" s="22" t="n">
        <v>60500</v>
      </c>
      <c r="I16" s="22" t="s">
        <v>76</v>
      </c>
      <c r="J16" s="22" t="n">
        <v>14800</v>
      </c>
      <c r="K16" s="22" t="s">
        <v>121</v>
      </c>
      <c r="L16" s="22" t="s">
        <v>78</v>
      </c>
      <c r="M16" s="22" t="s">
        <v>79</v>
      </c>
      <c r="N16" s="22" t="s">
        <v>122</v>
      </c>
    </row>
    <row r="17" customFormat="false" ht="21.75" hidden="false" customHeight="true" outlineLevel="0" collapsed="false">
      <c r="A17" s="19" t="s">
        <v>123</v>
      </c>
      <c r="B17" s="20" t="n">
        <v>480</v>
      </c>
      <c r="C17" s="20" t="n">
        <v>480</v>
      </c>
      <c r="D17" s="20" t="n">
        <v>0.4</v>
      </c>
      <c r="E17" s="20" t="n">
        <v>1</v>
      </c>
      <c r="F17" s="20" t="s">
        <v>74</v>
      </c>
      <c r="G17" s="20" t="s">
        <v>124</v>
      </c>
      <c r="H17" s="20" t="n">
        <v>880</v>
      </c>
      <c r="I17" s="20" t="s">
        <v>82</v>
      </c>
      <c r="J17" s="20" t="n">
        <v>260</v>
      </c>
      <c r="K17" s="20" t="s">
        <v>125</v>
      </c>
      <c r="L17" s="20" t="s">
        <v>84</v>
      </c>
      <c r="M17" s="20" t="s">
        <v>79</v>
      </c>
      <c r="N17" s="20" t="s">
        <v>126</v>
      </c>
    </row>
    <row r="18" customFormat="false" ht="21.75" hidden="false" customHeight="true" outlineLevel="0" collapsed="false">
      <c r="A18" s="19" t="s">
        <v>127</v>
      </c>
      <c r="B18" s="20" t="n">
        <v>480</v>
      </c>
      <c r="C18" s="20" t="n">
        <v>480</v>
      </c>
      <c r="D18" s="20" t="n">
        <v>0.32</v>
      </c>
      <c r="E18" s="20" t="n">
        <v>1</v>
      </c>
      <c r="F18" s="20" t="s">
        <v>74</v>
      </c>
      <c r="G18" s="20" t="s">
        <v>94</v>
      </c>
      <c r="H18" s="20" t="n">
        <v>880</v>
      </c>
      <c r="I18" s="20" t="s">
        <v>128</v>
      </c>
      <c r="J18" s="20" t="n">
        <v>390</v>
      </c>
      <c r="K18" s="20" t="s">
        <v>129</v>
      </c>
      <c r="L18" s="20" t="s">
        <v>84</v>
      </c>
      <c r="M18" s="20" t="s">
        <v>79</v>
      </c>
      <c r="N18" s="20" t="s">
        <v>130</v>
      </c>
    </row>
    <row r="19" customFormat="false" ht="21.75" hidden="false" customHeight="true" outlineLevel="0" collapsed="false">
      <c r="A19" s="18" t="s">
        <v>131</v>
      </c>
      <c r="B19" s="14" t="n">
        <v>1300</v>
      </c>
      <c r="C19" s="14" t="n">
        <v>22200</v>
      </c>
      <c r="D19" s="14" t="n">
        <v>0.87</v>
      </c>
      <c r="E19" s="14" t="n">
        <v>1</v>
      </c>
      <c r="F19" s="14" t="s">
        <v>74</v>
      </c>
      <c r="G19" s="14" t="s">
        <v>132</v>
      </c>
      <c r="H19" s="14" t="n">
        <v>1900</v>
      </c>
      <c r="I19" s="14" t="s">
        <v>133</v>
      </c>
      <c r="J19" s="14" t="n">
        <v>880</v>
      </c>
      <c r="K19" s="14" t="s">
        <v>57</v>
      </c>
      <c r="L19" s="14" t="s">
        <v>78</v>
      </c>
      <c r="M19" s="14" t="s">
        <v>79</v>
      </c>
      <c r="N19" s="14" t="s">
        <v>134</v>
      </c>
    </row>
    <row r="20" customFormat="false" ht="21.75" hidden="false" customHeight="true" outlineLevel="0" collapsed="false">
      <c r="A20" s="19" t="s">
        <v>135</v>
      </c>
      <c r="B20" s="20" t="n">
        <v>320</v>
      </c>
      <c r="C20" s="20" t="n">
        <v>320</v>
      </c>
      <c r="D20" s="20" t="n">
        <v>0.24</v>
      </c>
      <c r="E20" s="20" t="n">
        <v>1</v>
      </c>
      <c r="F20" s="20" t="s">
        <v>74</v>
      </c>
      <c r="G20" s="20" t="s">
        <v>75</v>
      </c>
      <c r="H20" s="20" t="n">
        <v>390</v>
      </c>
      <c r="I20" s="20" t="s">
        <v>136</v>
      </c>
      <c r="J20" s="20" t="n">
        <v>260</v>
      </c>
      <c r="K20" s="20" t="s">
        <v>57</v>
      </c>
      <c r="L20" s="20" t="s">
        <v>84</v>
      </c>
      <c r="M20" s="20" t="s">
        <v>79</v>
      </c>
      <c r="N20" s="20" t="s">
        <v>137</v>
      </c>
    </row>
    <row r="21" customFormat="false" ht="21.75" hidden="false" customHeight="true" outlineLevel="0" collapsed="false">
      <c r="A21" s="19" t="s">
        <v>138</v>
      </c>
      <c r="B21" s="20" t="n">
        <v>1000</v>
      </c>
      <c r="C21" s="20" t="n">
        <v>1000</v>
      </c>
      <c r="D21" s="20" t="n">
        <v>0.41</v>
      </c>
      <c r="E21" s="20" t="n">
        <v>1</v>
      </c>
      <c r="F21" s="20" t="s">
        <v>74</v>
      </c>
      <c r="G21" s="20" t="s">
        <v>139</v>
      </c>
      <c r="H21" s="20" t="n">
        <v>1300</v>
      </c>
      <c r="I21" s="20" t="s">
        <v>140</v>
      </c>
      <c r="J21" s="20" t="n">
        <v>880</v>
      </c>
      <c r="K21" s="20" t="s">
        <v>57</v>
      </c>
      <c r="L21" s="20" t="s">
        <v>84</v>
      </c>
      <c r="M21" s="20" t="s">
        <v>79</v>
      </c>
      <c r="N21" s="20" t="s">
        <v>141</v>
      </c>
    </row>
    <row r="22" customFormat="false" ht="21.75" hidden="false" customHeight="true" outlineLevel="0" collapsed="false">
      <c r="A22" s="21" t="s">
        <v>142</v>
      </c>
      <c r="B22" s="22" t="n">
        <v>3600</v>
      </c>
      <c r="C22" s="22" t="n">
        <v>4400</v>
      </c>
      <c r="D22" s="22" t="n">
        <v>0.96</v>
      </c>
      <c r="E22" s="22" t="n">
        <v>1</v>
      </c>
      <c r="F22" s="22" t="s">
        <v>74</v>
      </c>
      <c r="G22" s="22" t="s">
        <v>94</v>
      </c>
      <c r="H22" s="22" t="n">
        <v>8100</v>
      </c>
      <c r="I22" s="22" t="s">
        <v>98</v>
      </c>
      <c r="J22" s="22" t="n">
        <v>1900</v>
      </c>
      <c r="K22" s="22" t="s">
        <v>143</v>
      </c>
      <c r="L22" s="22" t="s">
        <v>78</v>
      </c>
      <c r="M22" s="22" t="s">
        <v>79</v>
      </c>
      <c r="N22" s="22" t="s">
        <v>144</v>
      </c>
    </row>
    <row r="23" customFormat="false" ht="21.75" hidden="false" customHeight="true" outlineLevel="0" collapsed="false">
      <c r="A23" s="19" t="s">
        <v>145</v>
      </c>
      <c r="B23" s="20" t="n">
        <v>720</v>
      </c>
      <c r="C23" s="20" t="n">
        <v>720</v>
      </c>
      <c r="D23" s="20" t="n">
        <v>0.39</v>
      </c>
      <c r="E23" s="20" t="n">
        <v>1</v>
      </c>
      <c r="F23" s="20" t="s">
        <v>74</v>
      </c>
      <c r="G23" s="20" t="s">
        <v>146</v>
      </c>
      <c r="H23" s="20" t="n">
        <v>1000</v>
      </c>
      <c r="I23" s="20" t="s">
        <v>140</v>
      </c>
      <c r="J23" s="20" t="n">
        <v>390</v>
      </c>
      <c r="K23" s="20" t="s">
        <v>129</v>
      </c>
      <c r="L23" s="20" t="s">
        <v>84</v>
      </c>
      <c r="M23" s="20" t="s">
        <v>79</v>
      </c>
      <c r="N23" s="20" t="s">
        <v>147</v>
      </c>
    </row>
    <row r="24" customFormat="false" ht="21.75" hidden="false" customHeight="true" outlineLevel="0" collapsed="false">
      <c r="A24" s="21" t="s">
        <v>148</v>
      </c>
      <c r="B24" s="22" t="n">
        <v>8100</v>
      </c>
      <c r="C24" s="22" t="n">
        <v>14800</v>
      </c>
      <c r="D24" s="22" t="n">
        <v>0.74</v>
      </c>
      <c r="E24" s="22" t="n">
        <v>1</v>
      </c>
      <c r="F24" s="22" t="s">
        <v>74</v>
      </c>
      <c r="G24" s="22" t="s">
        <v>94</v>
      </c>
      <c r="H24" s="22" t="n">
        <v>12100</v>
      </c>
      <c r="I24" s="22" t="s">
        <v>75</v>
      </c>
      <c r="J24" s="22" t="n">
        <v>6600</v>
      </c>
      <c r="K24" s="22" t="s">
        <v>77</v>
      </c>
      <c r="L24" s="22" t="s">
        <v>149</v>
      </c>
      <c r="M24" s="22" t="s">
        <v>79</v>
      </c>
      <c r="N24" s="22" t="s">
        <v>150</v>
      </c>
    </row>
    <row r="25" customFormat="false" ht="21.75" hidden="false" customHeight="true" outlineLevel="0" collapsed="false">
      <c r="A25" s="18" t="s">
        <v>151</v>
      </c>
      <c r="B25" s="14" t="n">
        <v>9900</v>
      </c>
      <c r="C25" s="14" t="n">
        <v>18100</v>
      </c>
      <c r="D25" s="14" t="n">
        <v>1.14</v>
      </c>
      <c r="E25" s="14" t="n">
        <v>1</v>
      </c>
      <c r="F25" s="14" t="s">
        <v>74</v>
      </c>
      <c r="G25" s="14" t="s">
        <v>94</v>
      </c>
      <c r="H25" s="14" t="n">
        <v>22200</v>
      </c>
      <c r="I25" s="14" t="s">
        <v>152</v>
      </c>
      <c r="J25" s="14" t="n">
        <v>8100</v>
      </c>
      <c r="K25" s="14" t="s">
        <v>153</v>
      </c>
      <c r="L25" s="14" t="s">
        <v>149</v>
      </c>
      <c r="M25" s="14" t="s">
        <v>79</v>
      </c>
      <c r="N25" s="14" t="s">
        <v>154</v>
      </c>
    </row>
    <row r="26" customFormat="false" ht="21.75" hidden="false" customHeight="true" outlineLevel="0" collapsed="false">
      <c r="A26" s="21" t="s">
        <v>155</v>
      </c>
      <c r="B26" s="22" t="n">
        <v>1600</v>
      </c>
      <c r="C26" s="22" t="n">
        <v>2400</v>
      </c>
      <c r="D26" s="22" t="n">
        <v>1.3</v>
      </c>
      <c r="E26" s="22" t="n">
        <v>1</v>
      </c>
      <c r="F26" s="22" t="s">
        <v>74</v>
      </c>
      <c r="G26" s="22" t="s">
        <v>94</v>
      </c>
      <c r="H26" s="22" t="n">
        <v>5400</v>
      </c>
      <c r="I26" s="22" t="s">
        <v>105</v>
      </c>
      <c r="J26" s="22" t="n">
        <v>720</v>
      </c>
      <c r="K26" s="22" t="s">
        <v>121</v>
      </c>
      <c r="L26" s="22" t="s">
        <v>149</v>
      </c>
      <c r="M26" s="22" t="s">
        <v>79</v>
      </c>
      <c r="N26" s="22" t="s">
        <v>156</v>
      </c>
    </row>
    <row r="27" customFormat="false" ht="21.75" hidden="false" customHeight="true" outlineLevel="0" collapsed="false">
      <c r="A27" s="18" t="s">
        <v>157</v>
      </c>
      <c r="B27" s="14" t="n">
        <v>1900</v>
      </c>
      <c r="C27" s="14" t="n">
        <v>1900</v>
      </c>
      <c r="D27" s="14" t="n">
        <v>1.17</v>
      </c>
      <c r="E27" s="14" t="n">
        <v>1</v>
      </c>
      <c r="F27" s="14" t="s">
        <v>74</v>
      </c>
      <c r="G27" s="14" t="s">
        <v>75</v>
      </c>
      <c r="H27" s="14" t="n">
        <v>3600</v>
      </c>
      <c r="I27" s="14" t="s">
        <v>82</v>
      </c>
      <c r="J27" s="14" t="n">
        <v>1300</v>
      </c>
      <c r="K27" s="14" t="s">
        <v>77</v>
      </c>
      <c r="L27" s="14" t="s">
        <v>78</v>
      </c>
      <c r="M27" s="14" t="s">
        <v>79</v>
      </c>
      <c r="N27" s="14" t="s">
        <v>158</v>
      </c>
    </row>
    <row r="28" customFormat="false" ht="21.75" hidden="false" customHeight="true" outlineLevel="0" collapsed="false">
      <c r="A28" s="21" t="s">
        <v>159</v>
      </c>
      <c r="B28" s="22" t="n">
        <v>880</v>
      </c>
      <c r="C28" s="22" t="n">
        <v>880</v>
      </c>
      <c r="D28" s="22" t="n">
        <v>0.32</v>
      </c>
      <c r="E28" s="22" t="n">
        <v>0.99</v>
      </c>
      <c r="F28" s="22" t="s">
        <v>87</v>
      </c>
      <c r="G28" s="22" t="s">
        <v>82</v>
      </c>
      <c r="H28" s="22" t="n">
        <v>1600</v>
      </c>
      <c r="I28" s="22" t="s">
        <v>113</v>
      </c>
      <c r="J28" s="22" t="n">
        <v>590</v>
      </c>
      <c r="K28" s="22" t="s">
        <v>57</v>
      </c>
      <c r="L28" s="22" t="s">
        <v>78</v>
      </c>
      <c r="M28" s="22" t="s">
        <v>79</v>
      </c>
      <c r="N28" s="22" t="s">
        <v>160</v>
      </c>
    </row>
    <row r="29" customFormat="false" ht="21.75" hidden="false" customHeight="true" outlineLevel="0" collapsed="false">
      <c r="A29" s="23" t="s">
        <v>161</v>
      </c>
      <c r="B29" s="24" t="n">
        <v>22200</v>
      </c>
      <c r="C29" s="24" t="n">
        <v>22200</v>
      </c>
      <c r="D29" s="24" t="n">
        <v>0.26</v>
      </c>
      <c r="E29" s="24" t="n">
        <v>0.25</v>
      </c>
      <c r="F29" s="24" t="s">
        <v>162</v>
      </c>
      <c r="G29" s="24" t="s">
        <v>128</v>
      </c>
      <c r="H29" s="24" t="n">
        <v>27100</v>
      </c>
      <c r="I29" s="24" t="s">
        <v>94</v>
      </c>
      <c r="J29" s="24" t="n">
        <v>14800</v>
      </c>
      <c r="K29" s="24" t="s">
        <v>57</v>
      </c>
      <c r="L29" s="24" t="s">
        <v>84</v>
      </c>
      <c r="M29" s="24" t="s">
        <v>79</v>
      </c>
      <c r="N29" s="24" t="s">
        <v>163</v>
      </c>
    </row>
    <row r="30" customFormat="false" ht="21.75" hidden="false" customHeight="true" outlineLevel="0" collapsed="false">
      <c r="A30" s="23" t="s">
        <v>164</v>
      </c>
      <c r="B30" s="24" t="n">
        <v>3600</v>
      </c>
      <c r="C30" s="24" t="n">
        <v>3600</v>
      </c>
      <c r="D30" s="24" t="n">
        <v>0.37</v>
      </c>
      <c r="E30" s="24" t="n">
        <v>0.29</v>
      </c>
      <c r="F30" s="24" t="s">
        <v>162</v>
      </c>
      <c r="G30" s="24" t="s">
        <v>88</v>
      </c>
      <c r="H30" s="24" t="n">
        <v>4400</v>
      </c>
      <c r="I30" s="24" t="s">
        <v>165</v>
      </c>
      <c r="J30" s="24" t="n">
        <v>2900</v>
      </c>
      <c r="K30" s="24" t="s">
        <v>57</v>
      </c>
      <c r="L30" s="24" t="s">
        <v>84</v>
      </c>
      <c r="M30" s="24" t="s">
        <v>79</v>
      </c>
      <c r="N30" s="24" t="s">
        <v>163</v>
      </c>
    </row>
    <row r="31" customFormat="false" ht="21.75" hidden="false" customHeight="true" outlineLevel="0" collapsed="false">
      <c r="A31" s="18" t="s">
        <v>166</v>
      </c>
      <c r="B31" s="14" t="n">
        <v>1000</v>
      </c>
      <c r="C31" s="14" t="n">
        <v>1000</v>
      </c>
      <c r="D31" s="14" t="n">
        <v>0.31</v>
      </c>
      <c r="E31" s="14" t="n">
        <v>0.75</v>
      </c>
      <c r="F31" s="14" t="s">
        <v>167</v>
      </c>
      <c r="G31" s="14" t="s">
        <v>105</v>
      </c>
      <c r="H31" s="14" t="n">
        <v>1300</v>
      </c>
      <c r="I31" s="14" t="s">
        <v>168</v>
      </c>
      <c r="J31" s="14" t="n">
        <v>720</v>
      </c>
      <c r="K31" s="14" t="s">
        <v>57</v>
      </c>
      <c r="L31" s="14" t="s">
        <v>78</v>
      </c>
      <c r="M31" s="14" t="s">
        <v>79</v>
      </c>
      <c r="N31" s="14" t="s">
        <v>169</v>
      </c>
    </row>
    <row r="32" customFormat="false" ht="21.75" hidden="false" customHeight="true" outlineLevel="0" collapsed="false">
      <c r="A32" s="21" t="s">
        <v>170</v>
      </c>
      <c r="B32" s="22" t="n">
        <v>6600</v>
      </c>
      <c r="C32" s="22" t="n">
        <v>6600</v>
      </c>
      <c r="D32" s="22" t="n">
        <v>0.85</v>
      </c>
      <c r="E32" s="22" t="n">
        <v>1</v>
      </c>
      <c r="F32" s="22" t="s">
        <v>74</v>
      </c>
      <c r="G32" s="22" t="s">
        <v>171</v>
      </c>
      <c r="H32" s="22" t="n">
        <v>8100</v>
      </c>
      <c r="I32" s="22" t="s">
        <v>140</v>
      </c>
      <c r="J32" s="22" t="n">
        <v>4400</v>
      </c>
      <c r="K32" s="22" t="s">
        <v>77</v>
      </c>
      <c r="L32" s="22" t="s">
        <v>149</v>
      </c>
      <c r="M32" s="22" t="s">
        <v>172</v>
      </c>
      <c r="N32" s="22" t="s">
        <v>173</v>
      </c>
    </row>
    <row r="33" customFormat="false" ht="21.75" hidden="false" customHeight="true" outlineLevel="0" collapsed="false">
      <c r="A33" s="18" t="s">
        <v>174</v>
      </c>
      <c r="B33" s="14" t="n">
        <v>22200</v>
      </c>
      <c r="C33" s="14" t="n">
        <v>22200</v>
      </c>
      <c r="D33" s="14" t="n">
        <v>0.03</v>
      </c>
      <c r="E33" s="14" t="n">
        <v>0.91</v>
      </c>
      <c r="F33" s="14" t="s">
        <v>87</v>
      </c>
      <c r="G33" s="14" t="s">
        <v>101</v>
      </c>
      <c r="H33" s="14" t="n">
        <v>22200</v>
      </c>
      <c r="I33" s="14" t="s">
        <v>101</v>
      </c>
      <c r="J33" s="14" t="n">
        <v>22200</v>
      </c>
      <c r="K33" s="14" t="s">
        <v>102</v>
      </c>
      <c r="L33" s="14" t="s">
        <v>78</v>
      </c>
      <c r="M33" s="14" t="s">
        <v>79</v>
      </c>
      <c r="N33" s="14" t="s">
        <v>175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4" min="13" style="0" width="16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5" t="s">
        <v>176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5" hidden="false" customHeight="false" outlineLevel="0" collapsed="false">
      <c r="A2" s="16" t="s">
        <v>177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customFormat="false" ht="34.5" hidden="false" customHeight="true" outlineLevel="0" collapsed="false">
      <c r="A4" s="17" t="s">
        <v>178</v>
      </c>
      <c r="B4" s="17" t="s">
        <v>21</v>
      </c>
      <c r="C4" s="17" t="s">
        <v>179</v>
      </c>
      <c r="D4" s="17" t="s">
        <v>180</v>
      </c>
      <c r="E4" s="17" t="s">
        <v>181</v>
      </c>
      <c r="F4" s="17" t="s">
        <v>182</v>
      </c>
      <c r="G4" s="17" t="s">
        <v>183</v>
      </c>
      <c r="H4" s="17" t="s">
        <v>184</v>
      </c>
      <c r="I4" s="17" t="s">
        <v>185</v>
      </c>
      <c r="J4" s="17" t="s">
        <v>186</v>
      </c>
      <c r="K4" s="17" t="s">
        <v>187</v>
      </c>
      <c r="L4" s="17" t="s">
        <v>188</v>
      </c>
      <c r="M4" s="17" t="s">
        <v>189</v>
      </c>
      <c r="N4" s="17" t="s">
        <v>190</v>
      </c>
      <c r="O4" s="17" t="s">
        <v>191</v>
      </c>
      <c r="P4" s="17" t="s">
        <v>192</v>
      </c>
    </row>
    <row r="5" customFormat="false" ht="45" hidden="false" customHeight="true" outlineLevel="0" collapsed="false">
      <c r="A5" s="9" t="n">
        <v>1</v>
      </c>
      <c r="B5" s="9" t="s">
        <v>193</v>
      </c>
      <c r="C5" s="10" t="s">
        <v>194</v>
      </c>
      <c r="D5" s="25" t="s">
        <v>195</v>
      </c>
      <c r="E5" s="10" t="n">
        <v>42410</v>
      </c>
      <c r="F5" s="10" t="s">
        <v>196</v>
      </c>
      <c r="G5" s="10" t="s">
        <v>197</v>
      </c>
      <c r="H5" s="10" t="s">
        <v>33</v>
      </c>
      <c r="I5" s="10" t="s">
        <v>198</v>
      </c>
      <c r="J5" s="10" t="s">
        <v>199</v>
      </c>
      <c r="K5" s="10" t="s">
        <v>200</v>
      </c>
      <c r="L5" s="10" t="s">
        <v>201</v>
      </c>
      <c r="M5" s="10" t="s">
        <v>202</v>
      </c>
      <c r="N5" s="10" t="s">
        <v>203</v>
      </c>
      <c r="O5" s="10" t="s">
        <v>204</v>
      </c>
      <c r="P5" s="9" t="n">
        <v>95</v>
      </c>
    </row>
    <row r="6" customFormat="false" ht="45" hidden="false" customHeight="true" outlineLevel="0" collapsed="false">
      <c r="A6" s="9" t="n">
        <v>2</v>
      </c>
      <c r="B6" s="9" t="s">
        <v>205</v>
      </c>
      <c r="C6" s="10" t="s">
        <v>206</v>
      </c>
      <c r="D6" s="25" t="s">
        <v>207</v>
      </c>
      <c r="E6" s="10" t="n">
        <v>12080</v>
      </c>
      <c r="F6" s="10" t="s">
        <v>208</v>
      </c>
      <c r="G6" s="10" t="s">
        <v>209</v>
      </c>
      <c r="H6" s="10" t="s">
        <v>40</v>
      </c>
      <c r="I6" s="10" t="s">
        <v>210</v>
      </c>
      <c r="J6" s="10" t="s">
        <v>199</v>
      </c>
      <c r="K6" s="10" t="s">
        <v>200</v>
      </c>
      <c r="L6" s="10" t="s">
        <v>75</v>
      </c>
      <c r="M6" s="10" t="s">
        <v>211</v>
      </c>
      <c r="N6" s="10" t="s">
        <v>212</v>
      </c>
      <c r="O6" s="10" t="s">
        <v>213</v>
      </c>
      <c r="P6" s="9" t="n">
        <v>91</v>
      </c>
    </row>
    <row r="7" customFormat="false" ht="45" hidden="false" customHeight="true" outlineLevel="0" collapsed="false">
      <c r="A7" s="9" t="n">
        <v>3</v>
      </c>
      <c r="B7" s="9" t="s">
        <v>214</v>
      </c>
      <c r="C7" s="10" t="s">
        <v>215</v>
      </c>
      <c r="D7" s="25" t="s">
        <v>216</v>
      </c>
      <c r="E7" s="10" t="n">
        <v>23220</v>
      </c>
      <c r="F7" s="10" t="s">
        <v>217</v>
      </c>
      <c r="G7" s="10" t="s">
        <v>218</v>
      </c>
      <c r="H7" s="10" t="s">
        <v>45</v>
      </c>
      <c r="I7" s="10" t="s">
        <v>219</v>
      </c>
      <c r="J7" s="10" t="s">
        <v>199</v>
      </c>
      <c r="K7" s="10" t="s">
        <v>200</v>
      </c>
      <c r="L7" s="10" t="s">
        <v>220</v>
      </c>
      <c r="M7" s="10" t="s">
        <v>221</v>
      </c>
      <c r="N7" s="10" t="s">
        <v>222</v>
      </c>
      <c r="O7" s="10" t="s">
        <v>213</v>
      </c>
      <c r="P7" s="9" t="n">
        <v>88</v>
      </c>
    </row>
    <row r="8" customFormat="false" ht="45" hidden="false" customHeight="true" outlineLevel="0" collapsed="false">
      <c r="A8" s="26" t="n">
        <v>4</v>
      </c>
      <c r="B8" s="26" t="s">
        <v>223</v>
      </c>
      <c r="C8" s="20" t="s">
        <v>224</v>
      </c>
      <c r="D8" s="19" t="s">
        <v>225</v>
      </c>
      <c r="E8" s="20" t="n">
        <v>28060</v>
      </c>
      <c r="F8" s="20" t="s">
        <v>196</v>
      </c>
      <c r="G8" s="20" t="s">
        <v>226</v>
      </c>
      <c r="H8" s="20" t="s">
        <v>51</v>
      </c>
      <c r="I8" s="20" t="s">
        <v>167</v>
      </c>
      <c r="J8" s="20" t="s">
        <v>199</v>
      </c>
      <c r="K8" s="20" t="s">
        <v>200</v>
      </c>
      <c r="L8" s="20" t="s">
        <v>227</v>
      </c>
      <c r="M8" s="20" t="s">
        <v>228</v>
      </c>
      <c r="N8" s="20" t="s">
        <v>212</v>
      </c>
      <c r="O8" s="20" t="s">
        <v>229</v>
      </c>
      <c r="P8" s="26" t="n">
        <v>85</v>
      </c>
    </row>
    <row r="9" customFormat="false" ht="45" hidden="false" customHeight="true" outlineLevel="0" collapsed="false">
      <c r="A9" s="26" t="n">
        <v>5</v>
      </c>
      <c r="B9" s="26" t="s">
        <v>53</v>
      </c>
      <c r="C9" s="20" t="s">
        <v>230</v>
      </c>
      <c r="D9" s="19" t="s">
        <v>231</v>
      </c>
      <c r="E9" s="20" t="n">
        <v>5040</v>
      </c>
      <c r="F9" s="20" t="s">
        <v>232</v>
      </c>
      <c r="G9" s="20" t="s">
        <v>233</v>
      </c>
      <c r="H9" s="20" t="s">
        <v>56</v>
      </c>
      <c r="I9" s="20" t="s">
        <v>57</v>
      </c>
      <c r="J9" s="20" t="s">
        <v>199</v>
      </c>
      <c r="K9" s="20" t="s">
        <v>200</v>
      </c>
      <c r="L9" s="20" t="s">
        <v>227</v>
      </c>
      <c r="M9" s="20" t="s">
        <v>234</v>
      </c>
      <c r="N9" s="20" t="s">
        <v>235</v>
      </c>
      <c r="O9" s="20" t="s">
        <v>204</v>
      </c>
      <c r="P9" s="26" t="n">
        <v>82</v>
      </c>
    </row>
    <row r="10" customFormat="false" ht="45" hidden="false" customHeight="true" outlineLevel="0" collapsed="false">
      <c r="A10" s="27" t="n">
        <v>6</v>
      </c>
      <c r="B10" s="27" t="s">
        <v>236</v>
      </c>
      <c r="C10" s="22" t="s">
        <v>237</v>
      </c>
      <c r="D10" s="21" t="s">
        <v>238</v>
      </c>
      <c r="E10" s="22" t="n">
        <v>2620</v>
      </c>
      <c r="F10" s="22" t="s">
        <v>239</v>
      </c>
      <c r="G10" s="22" t="s">
        <v>218</v>
      </c>
      <c r="H10" s="22" t="s">
        <v>51</v>
      </c>
      <c r="I10" s="22" t="s">
        <v>219</v>
      </c>
      <c r="J10" s="22" t="s">
        <v>199</v>
      </c>
      <c r="K10" s="22" t="s">
        <v>200</v>
      </c>
      <c r="L10" s="22" t="s">
        <v>220</v>
      </c>
      <c r="M10" s="22" t="s">
        <v>240</v>
      </c>
      <c r="N10" s="22" t="s">
        <v>241</v>
      </c>
      <c r="O10" s="22" t="s">
        <v>242</v>
      </c>
      <c r="P10" s="27" t="n">
        <v>79</v>
      </c>
    </row>
    <row r="11" customFormat="false" ht="45" hidden="false" customHeight="true" outlineLevel="0" collapsed="false">
      <c r="A11" s="13" t="n">
        <v>7</v>
      </c>
      <c r="B11" s="13" t="s">
        <v>243</v>
      </c>
      <c r="C11" s="14" t="s">
        <v>244</v>
      </c>
      <c r="D11" s="18" t="s">
        <v>245</v>
      </c>
      <c r="E11" s="14" t="n">
        <v>9380</v>
      </c>
      <c r="F11" s="14" t="s">
        <v>246</v>
      </c>
      <c r="G11" s="14" t="s">
        <v>247</v>
      </c>
      <c r="H11" s="14" t="s">
        <v>248</v>
      </c>
      <c r="I11" s="14" t="s">
        <v>167</v>
      </c>
      <c r="J11" s="14" t="s">
        <v>199</v>
      </c>
      <c r="K11" s="14" t="s">
        <v>200</v>
      </c>
      <c r="L11" s="14" t="s">
        <v>75</v>
      </c>
      <c r="M11" s="14" t="s">
        <v>249</v>
      </c>
      <c r="N11" s="14" t="s">
        <v>212</v>
      </c>
      <c r="O11" s="14" t="s">
        <v>250</v>
      </c>
      <c r="P11" s="13" t="n">
        <v>77</v>
      </c>
    </row>
    <row r="12" customFormat="false" ht="45" hidden="false" customHeight="true" outlineLevel="0" collapsed="false">
      <c r="A12" s="27" t="n">
        <v>8</v>
      </c>
      <c r="B12" s="27" t="s">
        <v>251</v>
      </c>
      <c r="C12" s="22" t="s">
        <v>252</v>
      </c>
      <c r="D12" s="21" t="s">
        <v>253</v>
      </c>
      <c r="E12" s="22" t="n">
        <v>8200</v>
      </c>
      <c r="F12" s="22" t="s">
        <v>254</v>
      </c>
      <c r="G12" s="22" t="s">
        <v>255</v>
      </c>
      <c r="H12" s="22" t="s">
        <v>256</v>
      </c>
      <c r="I12" s="22" t="s">
        <v>257</v>
      </c>
      <c r="J12" s="22" t="s">
        <v>258</v>
      </c>
      <c r="K12" s="22" t="s">
        <v>259</v>
      </c>
      <c r="L12" s="22" t="s">
        <v>260</v>
      </c>
      <c r="M12" s="22" t="s">
        <v>261</v>
      </c>
      <c r="N12" s="22" t="s">
        <v>262</v>
      </c>
      <c r="O12" s="22" t="s">
        <v>250</v>
      </c>
      <c r="P12" s="27" t="n">
        <v>75</v>
      </c>
    </row>
    <row r="13" customFormat="false" ht="45" hidden="false" customHeight="true" outlineLevel="0" collapsed="false">
      <c r="A13" s="13" t="n">
        <v>9</v>
      </c>
      <c r="B13" s="13" t="s">
        <v>263</v>
      </c>
      <c r="C13" s="14" t="s">
        <v>264</v>
      </c>
      <c r="D13" s="18" t="s">
        <v>265</v>
      </c>
      <c r="E13" s="14" t="n">
        <v>2400</v>
      </c>
      <c r="F13" s="14" t="s">
        <v>217</v>
      </c>
      <c r="G13" s="14" t="s">
        <v>218</v>
      </c>
      <c r="H13" s="14" t="s">
        <v>51</v>
      </c>
      <c r="I13" s="14" t="s">
        <v>57</v>
      </c>
      <c r="J13" s="14" t="s">
        <v>199</v>
      </c>
      <c r="K13" s="14" t="s">
        <v>200</v>
      </c>
      <c r="L13" s="14" t="s">
        <v>266</v>
      </c>
      <c r="M13" s="14" t="s">
        <v>234</v>
      </c>
      <c r="N13" s="14" t="s">
        <v>267</v>
      </c>
      <c r="O13" s="14" t="s">
        <v>250</v>
      </c>
      <c r="P13" s="13" t="n">
        <v>73</v>
      </c>
    </row>
    <row r="14" customFormat="false" ht="45" hidden="false" customHeight="true" outlineLevel="0" collapsed="false">
      <c r="A14" s="27" t="n">
        <v>10</v>
      </c>
      <c r="B14" s="27" t="s">
        <v>268</v>
      </c>
      <c r="C14" s="22" t="s">
        <v>269</v>
      </c>
      <c r="D14" s="21" t="s">
        <v>270</v>
      </c>
      <c r="E14" s="22" t="n">
        <v>8490</v>
      </c>
      <c r="F14" s="22" t="s">
        <v>239</v>
      </c>
      <c r="G14" s="22" t="s">
        <v>218</v>
      </c>
      <c r="H14" s="22" t="s">
        <v>56</v>
      </c>
      <c r="I14" s="22" t="s">
        <v>167</v>
      </c>
      <c r="J14" s="22" t="s">
        <v>271</v>
      </c>
      <c r="K14" s="22" t="s">
        <v>272</v>
      </c>
      <c r="L14" s="22" t="s">
        <v>171</v>
      </c>
      <c r="M14" s="22" t="s">
        <v>211</v>
      </c>
      <c r="N14" s="22" t="s">
        <v>235</v>
      </c>
      <c r="O14" s="22" t="s">
        <v>213</v>
      </c>
      <c r="P14" s="27" t="n">
        <v>70</v>
      </c>
    </row>
    <row r="15" customFormat="false" ht="45" hidden="false" customHeight="true" outlineLevel="0" collapsed="false">
      <c r="A15" s="13" t="n">
        <v>11</v>
      </c>
      <c r="B15" s="13" t="s">
        <v>273</v>
      </c>
      <c r="C15" s="14" t="s">
        <v>274</v>
      </c>
      <c r="D15" s="18" t="s">
        <v>275</v>
      </c>
      <c r="E15" s="14" t="n">
        <v>10380</v>
      </c>
      <c r="F15" s="14" t="s">
        <v>276</v>
      </c>
      <c r="G15" s="14" t="s">
        <v>277</v>
      </c>
      <c r="H15" s="14" t="s">
        <v>56</v>
      </c>
      <c r="I15" s="14" t="s">
        <v>278</v>
      </c>
      <c r="J15" s="14" t="s">
        <v>199</v>
      </c>
      <c r="K15" s="14" t="s">
        <v>200</v>
      </c>
      <c r="L15" s="14" t="s">
        <v>266</v>
      </c>
      <c r="M15" s="14" t="s">
        <v>234</v>
      </c>
      <c r="N15" s="14" t="s">
        <v>262</v>
      </c>
      <c r="O15" s="14" t="s">
        <v>279</v>
      </c>
      <c r="P15" s="13" t="n">
        <v>68</v>
      </c>
    </row>
    <row r="16" customFormat="false" ht="45" hidden="false" customHeight="true" outlineLevel="0" collapsed="false">
      <c r="A16" s="27" t="n">
        <v>12</v>
      </c>
      <c r="B16" s="27" t="s">
        <v>280</v>
      </c>
      <c r="C16" s="22" t="s">
        <v>37</v>
      </c>
      <c r="D16" s="21" t="s">
        <v>281</v>
      </c>
      <c r="E16" s="22" t="n">
        <v>10700</v>
      </c>
      <c r="F16" s="22" t="s">
        <v>282</v>
      </c>
      <c r="G16" s="22" t="s">
        <v>209</v>
      </c>
      <c r="H16" s="22" t="s">
        <v>283</v>
      </c>
      <c r="I16" s="22" t="s">
        <v>284</v>
      </c>
      <c r="J16" s="22" t="s">
        <v>258</v>
      </c>
      <c r="K16" s="22" t="s">
        <v>285</v>
      </c>
      <c r="L16" s="22" t="s">
        <v>220</v>
      </c>
      <c r="M16" s="22" t="s">
        <v>286</v>
      </c>
      <c r="N16" s="22" t="s">
        <v>287</v>
      </c>
      <c r="O16" s="22" t="s">
        <v>213</v>
      </c>
      <c r="P16" s="27" t="n">
        <v>65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5" t="s">
        <v>288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customFormat="false" ht="26.85" hidden="false" customHeight="false" outlineLevel="0" collapsed="false">
      <c r="A3" s="17" t="s">
        <v>179</v>
      </c>
      <c r="B3" s="17" t="s">
        <v>289</v>
      </c>
      <c r="C3" s="17" t="s">
        <v>290</v>
      </c>
      <c r="D3" s="17" t="s">
        <v>291</v>
      </c>
      <c r="E3" s="17" t="s">
        <v>292</v>
      </c>
      <c r="F3" s="17" t="s">
        <v>293</v>
      </c>
      <c r="G3" s="17" t="s">
        <v>183</v>
      </c>
      <c r="H3" s="17" t="s">
        <v>294</v>
      </c>
      <c r="I3" s="17" t="s">
        <v>295</v>
      </c>
      <c r="J3" s="17" t="s">
        <v>296</v>
      </c>
      <c r="K3" s="17" t="s">
        <v>297</v>
      </c>
    </row>
    <row r="4" customFormat="false" ht="24" hidden="false" customHeight="true" outlineLevel="0" collapsed="false">
      <c r="A4" s="14" t="s">
        <v>298</v>
      </c>
      <c r="B4" s="14" t="s">
        <v>299</v>
      </c>
      <c r="C4" s="14" t="s">
        <v>300</v>
      </c>
      <c r="D4" s="28" t="n">
        <v>8.5</v>
      </c>
      <c r="E4" s="28" t="n">
        <v>4.69</v>
      </c>
      <c r="F4" s="28" t="n">
        <f aca="false">D4+E4</f>
        <v>13.19</v>
      </c>
      <c r="G4" s="28" t="n">
        <v>24.99</v>
      </c>
      <c r="H4" s="28" t="n">
        <f aca="false">G4*0.13</f>
        <v>3.2487</v>
      </c>
      <c r="I4" s="28" t="n">
        <f aca="false">G4-F4-H4</f>
        <v>8.5513</v>
      </c>
      <c r="J4" s="29" t="n">
        <f aca="false">I4/G4</f>
        <v>0.34218887555022</v>
      </c>
      <c r="K4" s="30" t="n">
        <f aca="false">10000/I4</f>
        <v>1169.41283781413</v>
      </c>
    </row>
    <row r="5" customFormat="false" ht="24" hidden="false" customHeight="true" outlineLevel="0" collapsed="false">
      <c r="A5" s="22" t="s">
        <v>301</v>
      </c>
      <c r="B5" s="22" t="s">
        <v>302</v>
      </c>
      <c r="C5" s="22" t="s">
        <v>303</v>
      </c>
      <c r="D5" s="31" t="n">
        <v>10.5</v>
      </c>
      <c r="E5" s="31" t="n">
        <v>5.5</v>
      </c>
      <c r="F5" s="31" t="n">
        <f aca="false">D5+E5</f>
        <v>16</v>
      </c>
      <c r="G5" s="31" t="n">
        <v>29.99</v>
      </c>
      <c r="H5" s="31" t="n">
        <f aca="false">G5*0.13</f>
        <v>3.8987</v>
      </c>
      <c r="I5" s="31" t="n">
        <f aca="false">G5-F5-H5</f>
        <v>10.0913</v>
      </c>
      <c r="J5" s="32" t="n">
        <f aca="false">I5/G5</f>
        <v>0.33648882960987</v>
      </c>
      <c r="K5" s="33" t="n">
        <f aca="false">10000/I5</f>
        <v>990.952602737011</v>
      </c>
    </row>
    <row r="6" customFormat="false" ht="24" hidden="false" customHeight="true" outlineLevel="0" collapsed="false">
      <c r="A6" s="14" t="s">
        <v>304</v>
      </c>
      <c r="B6" s="14" t="s">
        <v>305</v>
      </c>
      <c r="C6" s="14" t="s">
        <v>306</v>
      </c>
      <c r="D6" s="28" t="n">
        <v>16</v>
      </c>
      <c r="E6" s="28" t="n">
        <v>5.79</v>
      </c>
      <c r="F6" s="28" t="n">
        <f aca="false">D6+E6</f>
        <v>21.79</v>
      </c>
      <c r="G6" s="28" t="n">
        <v>39.99</v>
      </c>
      <c r="H6" s="28" t="n">
        <f aca="false">G6*0.13</f>
        <v>5.1987</v>
      </c>
      <c r="I6" s="28" t="n">
        <f aca="false">G6-F6-H6</f>
        <v>13.0013</v>
      </c>
      <c r="J6" s="29" t="n">
        <f aca="false">I6/G6</f>
        <v>0.325113778444611</v>
      </c>
      <c r="K6" s="30" t="n">
        <f aca="false">10000/I6</f>
        <v>769.153853845385</v>
      </c>
    </row>
    <row r="7" customFormat="false" ht="24" hidden="false" customHeight="true" outlineLevel="0" collapsed="false">
      <c r="A7" s="22" t="s">
        <v>307</v>
      </c>
      <c r="B7" s="22" t="s">
        <v>308</v>
      </c>
      <c r="C7" s="22" t="s">
        <v>309</v>
      </c>
      <c r="D7" s="31" t="n">
        <v>5.5</v>
      </c>
      <c r="E7" s="31" t="n">
        <v>4.99</v>
      </c>
      <c r="F7" s="31" t="n">
        <f aca="false">D7+E7</f>
        <v>10.49</v>
      </c>
      <c r="G7" s="31" t="n">
        <v>19.99</v>
      </c>
      <c r="H7" s="31" t="n">
        <f aca="false">G7*0.13</f>
        <v>2.5987</v>
      </c>
      <c r="I7" s="31" t="n">
        <f aca="false">G7-F7-H7</f>
        <v>6.9013</v>
      </c>
      <c r="J7" s="32" t="n">
        <f aca="false">I7/G7</f>
        <v>0.345237618809405</v>
      </c>
      <c r="K7" s="33" t="n">
        <f aca="false">10000/I7</f>
        <v>1449.00236187385</v>
      </c>
    </row>
    <row r="8" customFormat="false" ht="24" hidden="false" customHeight="true" outlineLevel="0" collapsed="false">
      <c r="A8" s="14" t="s">
        <v>310</v>
      </c>
      <c r="B8" s="14" t="s">
        <v>311</v>
      </c>
      <c r="C8" s="14" t="s">
        <v>306</v>
      </c>
      <c r="D8" s="28" t="n">
        <v>22</v>
      </c>
      <c r="E8" s="28" t="n">
        <v>7.99</v>
      </c>
      <c r="F8" s="28" t="n">
        <f aca="false">D8+E8</f>
        <v>29.99</v>
      </c>
      <c r="G8" s="28" t="n">
        <v>44.99</v>
      </c>
      <c r="H8" s="28" t="n">
        <f aca="false">G8*0.13</f>
        <v>5.8487</v>
      </c>
      <c r="I8" s="28" t="n">
        <f aca="false">G8-F8-H8</f>
        <v>9.1513</v>
      </c>
      <c r="J8" s="29" t="n">
        <f aca="false">I8/G8</f>
        <v>0.203407423871972</v>
      </c>
      <c r="K8" s="30" t="n">
        <f aca="false">10000/I8</f>
        <v>1092.74092205479</v>
      </c>
    </row>
    <row r="9" customFormat="false" ht="24" hidden="false" customHeight="true" outlineLevel="0" collapsed="false">
      <c r="A9" s="22" t="s">
        <v>312</v>
      </c>
      <c r="B9" s="22" t="s">
        <v>313</v>
      </c>
      <c r="C9" s="22" t="s">
        <v>309</v>
      </c>
      <c r="D9" s="31" t="n">
        <v>12.5</v>
      </c>
      <c r="E9" s="31" t="n">
        <v>5.5</v>
      </c>
      <c r="F9" s="31" t="n">
        <f aca="false">D9+E9</f>
        <v>18</v>
      </c>
      <c r="G9" s="31" t="n">
        <v>29.99</v>
      </c>
      <c r="H9" s="31" t="n">
        <f aca="false">G9*0.13</f>
        <v>3.8987</v>
      </c>
      <c r="I9" s="31" t="n">
        <f aca="false">G9-F9-H9</f>
        <v>8.0913</v>
      </c>
      <c r="J9" s="32" t="n">
        <f aca="false">I9/G9</f>
        <v>0.269799933311104</v>
      </c>
      <c r="K9" s="33" t="n">
        <f aca="false">10000/I9</f>
        <v>1235.89534438224</v>
      </c>
    </row>
    <row r="10" customFormat="false" ht="24" hidden="false" customHeight="true" outlineLevel="0" collapsed="false">
      <c r="A10" s="14" t="s">
        <v>314</v>
      </c>
      <c r="B10" s="14" t="s">
        <v>315</v>
      </c>
      <c r="C10" s="14" t="s">
        <v>316</v>
      </c>
      <c r="D10" s="28" t="n">
        <v>5</v>
      </c>
      <c r="E10" s="28" t="n">
        <v>4.49</v>
      </c>
      <c r="F10" s="28" t="n">
        <f aca="false">D10+E10</f>
        <v>9.49</v>
      </c>
      <c r="G10" s="28" t="n">
        <v>19.99</v>
      </c>
      <c r="H10" s="28" t="n">
        <f aca="false">G10*0.13</f>
        <v>2.5987</v>
      </c>
      <c r="I10" s="28" t="n">
        <f aca="false">G10-F10-H10</f>
        <v>7.9013</v>
      </c>
      <c r="J10" s="29" t="n">
        <f aca="false">I10/G10</f>
        <v>0.395262631315658</v>
      </c>
      <c r="K10" s="30" t="n">
        <f aca="false">10000/I10</f>
        <v>1265.61451912976</v>
      </c>
    </row>
    <row r="11" customFormat="false" ht="24" hidden="false" customHeight="true" outlineLevel="0" collapsed="false">
      <c r="A11" s="22" t="s">
        <v>317</v>
      </c>
      <c r="B11" s="22" t="s">
        <v>318</v>
      </c>
      <c r="C11" s="22" t="s">
        <v>306</v>
      </c>
      <c r="D11" s="31" t="n">
        <v>10.5</v>
      </c>
      <c r="E11" s="31" t="n">
        <v>5.99</v>
      </c>
      <c r="F11" s="31" t="n">
        <f aca="false">D11+E11</f>
        <v>16.49</v>
      </c>
      <c r="G11" s="31" t="n">
        <v>29.99</v>
      </c>
      <c r="H11" s="31" t="n">
        <f aca="false">G11*0.13</f>
        <v>3.8987</v>
      </c>
      <c r="I11" s="31" t="n">
        <f aca="false">G11-F11-H11</f>
        <v>9.6013</v>
      </c>
      <c r="J11" s="32" t="n">
        <f aca="false">I11/G11</f>
        <v>0.320150050016672</v>
      </c>
      <c r="K11" s="33" t="n">
        <f aca="false">10000/I11</f>
        <v>1041.52562673805</v>
      </c>
    </row>
    <row r="12" customFormat="false" ht="24" hidden="false" customHeight="true" outlineLevel="0" collapsed="false">
      <c r="A12" s="14" t="s">
        <v>319</v>
      </c>
      <c r="B12" s="14" t="s">
        <v>320</v>
      </c>
      <c r="C12" s="14" t="s">
        <v>321</v>
      </c>
      <c r="D12" s="28" t="n">
        <v>12</v>
      </c>
      <c r="E12" s="28" t="n">
        <v>5.99</v>
      </c>
      <c r="F12" s="28" t="n">
        <f aca="false">D12+E12</f>
        <v>17.99</v>
      </c>
      <c r="G12" s="28" t="n">
        <v>29.99</v>
      </c>
      <c r="H12" s="28" t="n">
        <f aca="false">G12*0.13</f>
        <v>3.8987</v>
      </c>
      <c r="I12" s="28" t="n">
        <f aca="false">G12-F12-H12</f>
        <v>8.1013</v>
      </c>
      <c r="J12" s="29" t="n">
        <f aca="false">I12/G12</f>
        <v>0.270133377792597</v>
      </c>
      <c r="K12" s="30" t="n">
        <f aca="false">10000/I12</f>
        <v>1234.36979250244</v>
      </c>
    </row>
    <row r="13" customFormat="false" ht="24" hidden="false" customHeight="true" outlineLevel="0" collapsed="false">
      <c r="A13" s="22" t="s">
        <v>274</v>
      </c>
      <c r="B13" s="22" t="s">
        <v>274</v>
      </c>
      <c r="C13" s="22" t="s">
        <v>316</v>
      </c>
      <c r="D13" s="31" t="n">
        <v>14</v>
      </c>
      <c r="E13" s="31" t="n">
        <v>5.5</v>
      </c>
      <c r="F13" s="31" t="n">
        <f aca="false">D13+E13</f>
        <v>19.5</v>
      </c>
      <c r="G13" s="31" t="n">
        <v>34.99</v>
      </c>
      <c r="H13" s="31" t="n">
        <f aca="false">G13*0.13</f>
        <v>4.5487</v>
      </c>
      <c r="I13" s="31" t="n">
        <f aca="false">G13-F13-H13</f>
        <v>10.9413</v>
      </c>
      <c r="J13" s="32" t="n">
        <f aca="false">I13/G13</f>
        <v>0.312697913689626</v>
      </c>
      <c r="K13" s="33" t="n">
        <f aca="false">10000/I13</f>
        <v>913.968175628125</v>
      </c>
    </row>
    <row r="14" customFormat="false" ht="24" hidden="false" customHeight="true" outlineLevel="0" collapsed="false">
      <c r="A14" s="14" t="s">
        <v>322</v>
      </c>
      <c r="B14" s="14" t="s">
        <v>322</v>
      </c>
      <c r="C14" s="14" t="s">
        <v>306</v>
      </c>
      <c r="D14" s="28" t="n">
        <v>18</v>
      </c>
      <c r="E14" s="28" t="n">
        <v>7.99</v>
      </c>
      <c r="F14" s="28" t="n">
        <f aca="false">D14+E14</f>
        <v>25.99</v>
      </c>
      <c r="G14" s="28" t="n">
        <v>44.99</v>
      </c>
      <c r="H14" s="28" t="n">
        <f aca="false">G14*0.13</f>
        <v>5.8487</v>
      </c>
      <c r="I14" s="28" t="n">
        <f aca="false">G14-F14-H14</f>
        <v>13.1513</v>
      </c>
      <c r="J14" s="29" t="n">
        <f aca="false">I14/G14</f>
        <v>0.292316070237831</v>
      </c>
      <c r="K14" s="30" t="n">
        <f aca="false">10000/I14</f>
        <v>760.381103008828</v>
      </c>
    </row>
    <row r="15" customFormat="false" ht="24" hidden="false" customHeight="true" outlineLevel="0" collapsed="false">
      <c r="A15" s="22" t="s">
        <v>323</v>
      </c>
      <c r="B15" s="22" t="s">
        <v>324</v>
      </c>
      <c r="C15" s="22" t="s">
        <v>306</v>
      </c>
      <c r="D15" s="31" t="n">
        <v>35.1</v>
      </c>
      <c r="E15" s="31" t="n">
        <v>7.99</v>
      </c>
      <c r="F15" s="31" t="n">
        <f aca="false">D15+E15</f>
        <v>43.09</v>
      </c>
      <c r="G15" s="31" t="n">
        <v>69.99</v>
      </c>
      <c r="H15" s="31" t="n">
        <f aca="false">G15*0.13</f>
        <v>9.0987</v>
      </c>
      <c r="I15" s="31" t="n">
        <f aca="false">G15-F15-H15</f>
        <v>17.8013</v>
      </c>
      <c r="J15" s="32" t="n">
        <f aca="false">I15/G15</f>
        <v>0.254340620088584</v>
      </c>
      <c r="K15" s="33" t="n">
        <f aca="false">10000/I15</f>
        <v>561.756725632398</v>
      </c>
    </row>
    <row r="16" customFormat="false" ht="24" hidden="false" customHeight="true" outlineLevel="0" collapsed="false">
      <c r="A16" s="14" t="s">
        <v>325</v>
      </c>
      <c r="B16" s="14" t="s">
        <v>326</v>
      </c>
      <c r="C16" s="14" t="s">
        <v>327</v>
      </c>
      <c r="D16" s="28" t="n">
        <v>9.5</v>
      </c>
      <c r="E16" s="28" t="n">
        <v>4.69</v>
      </c>
      <c r="F16" s="28" t="n">
        <f aca="false">D16+E16</f>
        <v>14.19</v>
      </c>
      <c r="G16" s="28" t="n">
        <v>24.99</v>
      </c>
      <c r="H16" s="28" t="n">
        <f aca="false">G16*0.13</f>
        <v>3.2487</v>
      </c>
      <c r="I16" s="28" t="n">
        <f aca="false">G16-F16-H16</f>
        <v>7.5513</v>
      </c>
      <c r="J16" s="29" t="n">
        <f aca="false">I16/G16</f>
        <v>0.302172869147659</v>
      </c>
      <c r="K16" s="30" t="n">
        <f aca="false">10000/I16</f>
        <v>1324.27529034736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5" t="s">
        <v>328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26.85" hidden="false" customHeight="false" outlineLevel="0" collapsed="false">
      <c r="A3" s="17" t="s">
        <v>22</v>
      </c>
      <c r="B3" s="17" t="s">
        <v>329</v>
      </c>
      <c r="C3" s="17" t="s">
        <v>330</v>
      </c>
      <c r="D3" s="17" t="s">
        <v>331</v>
      </c>
      <c r="E3" s="17" t="s">
        <v>332</v>
      </c>
      <c r="F3" s="17" t="s">
        <v>333</v>
      </c>
      <c r="G3" s="17" t="s">
        <v>334</v>
      </c>
      <c r="H3" s="17" t="s">
        <v>335</v>
      </c>
      <c r="I3" s="17" t="s">
        <v>72</v>
      </c>
    </row>
    <row r="4" customFormat="false" ht="21.75" hidden="false" customHeight="true" outlineLevel="0" collapsed="false">
      <c r="A4" s="18" t="s">
        <v>336</v>
      </c>
      <c r="B4" s="14" t="s">
        <v>337</v>
      </c>
      <c r="C4" s="14" t="n">
        <v>2730</v>
      </c>
      <c r="D4" s="14" t="n">
        <v>819478</v>
      </c>
      <c r="E4" s="14" t="s">
        <v>338</v>
      </c>
      <c r="F4" s="14" t="n">
        <v>9</v>
      </c>
      <c r="G4" s="14" t="s">
        <v>339</v>
      </c>
      <c r="H4" s="14" t="s">
        <v>340</v>
      </c>
      <c r="I4" s="14" t="s">
        <v>341</v>
      </c>
    </row>
    <row r="5" customFormat="false" ht="21.75" hidden="false" customHeight="true" outlineLevel="0" collapsed="false">
      <c r="A5" s="21" t="s">
        <v>336</v>
      </c>
      <c r="B5" s="22" t="s">
        <v>342</v>
      </c>
      <c r="C5" s="22" t="n">
        <v>1268</v>
      </c>
      <c r="D5" s="22" t="n">
        <v>385328</v>
      </c>
      <c r="E5" s="22" t="s">
        <v>343</v>
      </c>
      <c r="F5" s="22" t="n">
        <v>9</v>
      </c>
      <c r="G5" s="22" t="s">
        <v>344</v>
      </c>
      <c r="H5" s="22" t="s">
        <v>345</v>
      </c>
      <c r="I5" s="22" t="s">
        <v>346</v>
      </c>
    </row>
    <row r="6" customFormat="false" ht="21.75" hidden="false" customHeight="true" outlineLevel="0" collapsed="false">
      <c r="A6" s="18" t="s">
        <v>336</v>
      </c>
      <c r="B6" s="14" t="s">
        <v>347</v>
      </c>
      <c r="C6" s="14" t="n">
        <v>350</v>
      </c>
      <c r="D6" s="14" t="n">
        <v>81057</v>
      </c>
      <c r="E6" s="14" t="s">
        <v>348</v>
      </c>
      <c r="F6" s="14" t="n">
        <v>9</v>
      </c>
      <c r="G6" s="14" t="s">
        <v>349</v>
      </c>
      <c r="H6" s="14" t="s">
        <v>350</v>
      </c>
      <c r="I6" s="14" t="s">
        <v>351</v>
      </c>
    </row>
    <row r="7" customFormat="false" ht="21.75" hidden="false" customHeight="true" outlineLevel="0" collapsed="false">
      <c r="A7" s="21" t="s">
        <v>352</v>
      </c>
      <c r="B7" s="22" t="s">
        <v>353</v>
      </c>
      <c r="C7" s="22" t="n">
        <v>1506</v>
      </c>
      <c r="D7" s="22" t="n">
        <v>336125</v>
      </c>
      <c r="E7" s="22" t="s">
        <v>354</v>
      </c>
      <c r="F7" s="22" t="n">
        <v>6</v>
      </c>
      <c r="G7" s="22" t="s">
        <v>355</v>
      </c>
      <c r="H7" s="22" t="s">
        <v>356</v>
      </c>
      <c r="I7" s="22" t="s">
        <v>357</v>
      </c>
    </row>
    <row r="8" customFormat="false" ht="21.75" hidden="false" customHeight="true" outlineLevel="0" collapsed="false">
      <c r="A8" s="18" t="s">
        <v>352</v>
      </c>
      <c r="B8" s="14" t="s">
        <v>358</v>
      </c>
      <c r="C8" s="14" t="n">
        <v>763</v>
      </c>
      <c r="D8" s="14" t="n">
        <v>46888</v>
      </c>
      <c r="E8" s="14" t="s">
        <v>359</v>
      </c>
      <c r="F8" s="14" t="n">
        <v>5</v>
      </c>
      <c r="G8" s="14" t="s">
        <v>360</v>
      </c>
      <c r="H8" s="14" t="s">
        <v>361</v>
      </c>
      <c r="I8" s="14" t="s">
        <v>362</v>
      </c>
    </row>
    <row r="9" customFormat="false" ht="21.75" hidden="false" customHeight="true" outlineLevel="0" collapsed="false">
      <c r="A9" s="21" t="s">
        <v>363</v>
      </c>
      <c r="B9" s="22" t="s">
        <v>364</v>
      </c>
      <c r="C9" s="22" t="n">
        <v>660</v>
      </c>
      <c r="D9" s="22" t="n">
        <v>91763</v>
      </c>
      <c r="E9" s="22" t="s">
        <v>365</v>
      </c>
      <c r="F9" s="22" t="n">
        <v>13</v>
      </c>
      <c r="G9" s="22" t="s">
        <v>366</v>
      </c>
      <c r="H9" s="22" t="s">
        <v>367</v>
      </c>
      <c r="I9" s="22" t="s">
        <v>368</v>
      </c>
    </row>
    <row r="10" customFormat="false" ht="21.75" hidden="false" customHeight="true" outlineLevel="0" collapsed="false">
      <c r="A10" s="18" t="s">
        <v>363</v>
      </c>
      <c r="B10" s="14" t="s">
        <v>369</v>
      </c>
      <c r="C10" s="14" t="n">
        <v>170</v>
      </c>
      <c r="D10" s="14" t="n">
        <v>65110</v>
      </c>
      <c r="E10" s="14" t="s">
        <v>370</v>
      </c>
      <c r="F10" s="14" t="n">
        <v>9</v>
      </c>
      <c r="G10" s="14" t="s">
        <v>371</v>
      </c>
      <c r="H10" s="14" t="s">
        <v>372</v>
      </c>
      <c r="I10" s="14" t="s">
        <v>373</v>
      </c>
    </row>
    <row r="11" customFormat="false" ht="21.75" hidden="false" customHeight="true" outlineLevel="0" collapsed="false">
      <c r="A11" s="21" t="s">
        <v>363</v>
      </c>
      <c r="B11" s="22" t="s">
        <v>374</v>
      </c>
      <c r="C11" s="22" t="n">
        <v>126</v>
      </c>
      <c r="D11" s="22" t="n">
        <v>118180</v>
      </c>
      <c r="E11" s="22" t="s">
        <v>375</v>
      </c>
      <c r="F11" s="22" t="n">
        <v>18</v>
      </c>
      <c r="G11" s="22" t="s">
        <v>376</v>
      </c>
      <c r="H11" s="22" t="s">
        <v>377</v>
      </c>
      <c r="I11" s="22" t="s">
        <v>378</v>
      </c>
    </row>
    <row r="12" customFormat="false" ht="21.75" hidden="false" customHeight="true" outlineLevel="0" collapsed="false">
      <c r="A12" s="18" t="s">
        <v>363</v>
      </c>
      <c r="B12" s="14" t="s">
        <v>379</v>
      </c>
      <c r="C12" s="14" t="n">
        <v>146</v>
      </c>
      <c r="D12" s="14" t="n">
        <v>125862</v>
      </c>
      <c r="E12" s="14" t="s">
        <v>380</v>
      </c>
      <c r="F12" s="14" t="n">
        <v>33</v>
      </c>
      <c r="G12" s="14" t="s">
        <v>381</v>
      </c>
      <c r="H12" s="14" t="s">
        <v>382</v>
      </c>
      <c r="I12" s="14" t="s">
        <v>383</v>
      </c>
    </row>
    <row r="13" customFormat="false" ht="21.75" hidden="false" customHeight="true" outlineLevel="0" collapsed="false">
      <c r="A13" s="21" t="s">
        <v>206</v>
      </c>
      <c r="B13" s="22" t="s">
        <v>384</v>
      </c>
      <c r="C13" s="22" t="n">
        <v>4</v>
      </c>
      <c r="D13" s="22" t="n">
        <v>59679</v>
      </c>
      <c r="E13" s="22" t="s">
        <v>385</v>
      </c>
      <c r="F13" s="22" t="n">
        <v>13</v>
      </c>
      <c r="G13" s="22" t="s">
        <v>386</v>
      </c>
      <c r="H13" s="22" t="s">
        <v>387</v>
      </c>
      <c r="I13" s="22" t="s">
        <v>388</v>
      </c>
    </row>
    <row r="14" customFormat="false" ht="21.75" hidden="false" customHeight="true" outlineLevel="0" collapsed="false">
      <c r="A14" s="18" t="s">
        <v>206</v>
      </c>
      <c r="B14" s="14" t="s">
        <v>389</v>
      </c>
      <c r="C14" s="14" t="n">
        <v>52</v>
      </c>
      <c r="D14" s="14" t="n">
        <v>40013</v>
      </c>
      <c r="E14" s="14" t="s">
        <v>390</v>
      </c>
      <c r="F14" s="14" t="n">
        <v>16</v>
      </c>
      <c r="G14" s="14" t="s">
        <v>391</v>
      </c>
      <c r="H14" s="14" t="s">
        <v>392</v>
      </c>
      <c r="I14" s="14" t="s">
        <v>393</v>
      </c>
    </row>
    <row r="15" customFormat="false" ht="21.75" hidden="false" customHeight="true" outlineLevel="0" collapsed="false">
      <c r="A15" s="21" t="s">
        <v>206</v>
      </c>
      <c r="B15" s="22" t="s">
        <v>394</v>
      </c>
      <c r="C15" s="22" t="n">
        <v>39</v>
      </c>
      <c r="D15" s="22" t="n">
        <v>234172</v>
      </c>
      <c r="E15" s="22" t="s">
        <v>395</v>
      </c>
      <c r="F15" s="22" t="n">
        <v>19</v>
      </c>
      <c r="G15" s="22" t="s">
        <v>396</v>
      </c>
      <c r="H15" s="22" t="s">
        <v>397</v>
      </c>
      <c r="I15" s="22" t="s">
        <v>398</v>
      </c>
    </row>
    <row r="16" customFormat="false" ht="21.75" hidden="false" customHeight="true" outlineLevel="0" collapsed="false">
      <c r="A16" s="18" t="s">
        <v>206</v>
      </c>
      <c r="B16" s="14" t="s">
        <v>399</v>
      </c>
      <c r="C16" s="14" t="n">
        <v>0</v>
      </c>
      <c r="D16" s="14" t="n">
        <v>3173</v>
      </c>
      <c r="E16" s="14" t="s">
        <v>400</v>
      </c>
      <c r="F16" s="14" t="n">
        <v>16</v>
      </c>
      <c r="G16" s="14" t="s">
        <v>401</v>
      </c>
      <c r="H16" s="14" t="s">
        <v>402</v>
      </c>
      <c r="I16" s="14" t="s">
        <v>403</v>
      </c>
    </row>
    <row r="17" customFormat="false" ht="21.75" hidden="false" customHeight="true" outlineLevel="0" collapsed="false">
      <c r="A17" s="21" t="s">
        <v>322</v>
      </c>
      <c r="B17" s="22" t="s">
        <v>404</v>
      </c>
      <c r="C17" s="22" t="n">
        <v>99</v>
      </c>
      <c r="D17" s="22" t="n">
        <v>48139</v>
      </c>
      <c r="E17" s="22" t="s">
        <v>405</v>
      </c>
      <c r="F17" s="22" t="n">
        <v>53</v>
      </c>
      <c r="G17" s="22" t="s">
        <v>406</v>
      </c>
      <c r="H17" s="22" t="s">
        <v>407</v>
      </c>
      <c r="I17" s="22" t="s">
        <v>408</v>
      </c>
    </row>
    <row r="18" customFormat="false" ht="21.75" hidden="false" customHeight="true" outlineLevel="0" collapsed="false">
      <c r="A18" s="18" t="s">
        <v>322</v>
      </c>
      <c r="B18" s="14" t="s">
        <v>409</v>
      </c>
      <c r="C18" s="14" t="n">
        <v>0</v>
      </c>
      <c r="D18" s="14" t="n">
        <v>8151</v>
      </c>
      <c r="E18" s="14" t="s">
        <v>410</v>
      </c>
      <c r="F18" s="14" t="n">
        <v>10</v>
      </c>
      <c r="G18" s="14" t="s">
        <v>411</v>
      </c>
      <c r="H18" s="14" t="s">
        <v>412</v>
      </c>
      <c r="I18" s="14" t="s">
        <v>413</v>
      </c>
    </row>
    <row r="19" customFormat="false" ht="21.75" hidden="false" customHeight="true" outlineLevel="0" collapsed="false">
      <c r="A19" s="21" t="s">
        <v>194</v>
      </c>
      <c r="B19" s="22" t="s">
        <v>414</v>
      </c>
      <c r="C19" s="22" t="s">
        <v>415</v>
      </c>
      <c r="D19" s="22" t="s">
        <v>415</v>
      </c>
      <c r="E19" s="22" t="s">
        <v>415</v>
      </c>
      <c r="F19" s="22" t="s">
        <v>415</v>
      </c>
      <c r="G19" s="22" t="s">
        <v>416</v>
      </c>
      <c r="H19" s="22" t="s">
        <v>417</v>
      </c>
      <c r="I19" s="22" t="s">
        <v>418</v>
      </c>
    </row>
    <row r="20" customFormat="false" ht="21.75" hidden="false" customHeight="true" outlineLevel="0" collapsed="false">
      <c r="A20" s="18" t="s">
        <v>194</v>
      </c>
      <c r="B20" s="14" t="s">
        <v>419</v>
      </c>
      <c r="C20" s="14" t="s">
        <v>415</v>
      </c>
      <c r="D20" s="14" t="s">
        <v>415</v>
      </c>
      <c r="E20" s="14" t="s">
        <v>415</v>
      </c>
      <c r="F20" s="14" t="s">
        <v>415</v>
      </c>
      <c r="G20" s="14" t="s">
        <v>420</v>
      </c>
      <c r="H20" s="14" t="s">
        <v>421</v>
      </c>
      <c r="I20" s="14" t="s">
        <v>422</v>
      </c>
    </row>
    <row r="21" customFormat="false" ht="21.75" hidden="false" customHeight="true" outlineLevel="0" collapsed="false">
      <c r="A21" s="21" t="s">
        <v>194</v>
      </c>
      <c r="B21" s="22" t="s">
        <v>423</v>
      </c>
      <c r="C21" s="22" t="s">
        <v>415</v>
      </c>
      <c r="D21" s="22" t="s">
        <v>415</v>
      </c>
      <c r="E21" s="22" t="s">
        <v>415</v>
      </c>
      <c r="F21" s="22" t="s">
        <v>415</v>
      </c>
      <c r="G21" s="22" t="s">
        <v>424</v>
      </c>
      <c r="H21" s="22" t="s">
        <v>425</v>
      </c>
      <c r="I21" s="22" t="s">
        <v>426</v>
      </c>
    </row>
    <row r="22" customFormat="false" ht="21.75" hidden="false" customHeight="true" outlineLevel="0" collapsed="false">
      <c r="A22" s="18" t="s">
        <v>427</v>
      </c>
      <c r="B22" s="14" t="s">
        <v>414</v>
      </c>
      <c r="C22" s="14" t="s">
        <v>415</v>
      </c>
      <c r="D22" s="14" t="s">
        <v>415</v>
      </c>
      <c r="E22" s="14" t="s">
        <v>415</v>
      </c>
      <c r="F22" s="14" t="s">
        <v>415</v>
      </c>
      <c r="G22" s="14" t="s">
        <v>428</v>
      </c>
      <c r="H22" s="14" t="s">
        <v>417</v>
      </c>
      <c r="I22" s="14" t="s">
        <v>429</v>
      </c>
    </row>
    <row r="23" customFormat="false" ht="21.75" hidden="false" customHeight="true" outlineLevel="0" collapsed="false">
      <c r="A23" s="21" t="s">
        <v>427</v>
      </c>
      <c r="B23" s="22" t="s">
        <v>430</v>
      </c>
      <c r="C23" s="22" t="s">
        <v>415</v>
      </c>
      <c r="D23" s="22" t="s">
        <v>415</v>
      </c>
      <c r="E23" s="22" t="s">
        <v>415</v>
      </c>
      <c r="F23" s="22" t="s">
        <v>415</v>
      </c>
      <c r="G23" s="22" t="s">
        <v>431</v>
      </c>
      <c r="H23" s="22" t="s">
        <v>432</v>
      </c>
      <c r="I23" s="22" t="s">
        <v>433</v>
      </c>
    </row>
    <row r="24" customFormat="false" ht="21.75" hidden="false" customHeight="true" outlineLevel="0" collapsed="false">
      <c r="A24" s="18" t="s">
        <v>224</v>
      </c>
      <c r="B24" s="14" t="s">
        <v>434</v>
      </c>
      <c r="C24" s="14" t="s">
        <v>415</v>
      </c>
      <c r="D24" s="14" t="s">
        <v>415</v>
      </c>
      <c r="E24" s="14" t="s">
        <v>415</v>
      </c>
      <c r="F24" s="14" t="s">
        <v>415</v>
      </c>
      <c r="G24" s="14" t="s">
        <v>435</v>
      </c>
      <c r="H24" s="14" t="s">
        <v>436</v>
      </c>
      <c r="I24" s="14" t="s">
        <v>437</v>
      </c>
    </row>
    <row r="25" customFormat="false" ht="21.75" hidden="false" customHeight="true" outlineLevel="0" collapsed="false">
      <c r="A25" s="21" t="s">
        <v>224</v>
      </c>
      <c r="B25" s="22" t="s">
        <v>414</v>
      </c>
      <c r="C25" s="22" t="s">
        <v>415</v>
      </c>
      <c r="D25" s="22" t="s">
        <v>415</v>
      </c>
      <c r="E25" s="22" t="s">
        <v>415</v>
      </c>
      <c r="F25" s="22" t="s">
        <v>415</v>
      </c>
      <c r="G25" s="22" t="s">
        <v>438</v>
      </c>
      <c r="H25" s="22" t="s">
        <v>417</v>
      </c>
      <c r="I25" s="22" t="s">
        <v>439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10" min="6" style="0" width="16"/>
  </cols>
  <sheetData>
    <row r="1" customFormat="false" ht="30" hidden="false" customHeight="true" outlineLevel="0" collapsed="false">
      <c r="A1" s="15" t="s">
        <v>440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16" t="s">
        <v>441</v>
      </c>
      <c r="B2" s="16"/>
      <c r="C2" s="16"/>
      <c r="D2" s="16"/>
      <c r="E2" s="16"/>
      <c r="F2" s="16"/>
      <c r="G2" s="16"/>
      <c r="H2" s="16"/>
      <c r="I2" s="16"/>
      <c r="J2" s="16"/>
    </row>
    <row r="4" customFormat="false" ht="15" hidden="false" customHeight="false" outlineLevel="0" collapsed="false">
      <c r="A4" s="34" t="s">
        <v>442</v>
      </c>
      <c r="B4" s="34"/>
      <c r="C4" s="34"/>
      <c r="D4" s="34"/>
      <c r="E4" s="34"/>
      <c r="F4" s="34"/>
      <c r="G4" s="34"/>
      <c r="H4" s="34"/>
      <c r="I4" s="34"/>
      <c r="J4" s="34"/>
    </row>
    <row r="5" customFormat="false" ht="15" hidden="false" customHeight="false" outlineLevel="0" collapsed="false">
      <c r="A5" s="35" t="s">
        <v>443</v>
      </c>
      <c r="B5" s="35"/>
      <c r="C5" s="35"/>
      <c r="D5" s="36" t="s">
        <v>444</v>
      </c>
      <c r="E5" s="36"/>
      <c r="F5" s="37" t="s">
        <v>445</v>
      </c>
      <c r="G5" s="37"/>
      <c r="H5" s="37"/>
      <c r="I5" s="37"/>
      <c r="J5" s="37"/>
    </row>
    <row r="6" customFormat="false" ht="15" hidden="false" customHeight="false" outlineLevel="0" collapsed="false">
      <c r="A6" s="35" t="s">
        <v>446</v>
      </c>
      <c r="B6" s="35"/>
      <c r="C6" s="35"/>
      <c r="D6" s="36" t="s">
        <v>447</v>
      </c>
      <c r="E6" s="36"/>
      <c r="F6" s="37" t="s">
        <v>448</v>
      </c>
      <c r="G6" s="37"/>
      <c r="H6" s="37"/>
      <c r="I6" s="37"/>
      <c r="J6" s="37"/>
    </row>
    <row r="7" customFormat="false" ht="15" hidden="false" customHeight="false" outlineLevel="0" collapsed="false">
      <c r="A7" s="35" t="s">
        <v>449</v>
      </c>
      <c r="B7" s="35"/>
      <c r="C7" s="35"/>
      <c r="D7" s="36" t="s">
        <v>450</v>
      </c>
      <c r="E7" s="36"/>
      <c r="F7" s="37" t="s">
        <v>451</v>
      </c>
      <c r="G7" s="37"/>
      <c r="H7" s="37"/>
      <c r="I7" s="37"/>
      <c r="J7" s="37"/>
    </row>
    <row r="8" customFormat="false" ht="15" hidden="false" customHeight="false" outlineLevel="0" collapsed="false">
      <c r="A8" s="35" t="s">
        <v>452</v>
      </c>
      <c r="B8" s="35"/>
      <c r="C8" s="35"/>
      <c r="D8" s="36" t="s">
        <v>453</v>
      </c>
      <c r="E8" s="36"/>
      <c r="F8" s="37" t="s">
        <v>454</v>
      </c>
      <c r="G8" s="37"/>
      <c r="H8" s="37"/>
      <c r="I8" s="37"/>
      <c r="J8" s="37"/>
    </row>
    <row r="9" customFormat="false" ht="15" hidden="false" customHeight="false" outlineLevel="0" collapsed="false">
      <c r="A9" s="35" t="s">
        <v>455</v>
      </c>
      <c r="B9" s="35"/>
      <c r="C9" s="35"/>
      <c r="D9" s="36" t="s">
        <v>456</v>
      </c>
      <c r="E9" s="36"/>
      <c r="F9" s="37" t="s">
        <v>457</v>
      </c>
      <c r="G9" s="37"/>
      <c r="H9" s="37"/>
      <c r="I9" s="37"/>
      <c r="J9" s="37"/>
    </row>
    <row r="10" customFormat="false" ht="15" hidden="false" customHeight="false" outlineLevel="0" collapsed="false">
      <c r="A10" s="35" t="s">
        <v>458</v>
      </c>
      <c r="B10" s="35"/>
      <c r="C10" s="35"/>
      <c r="D10" s="36" t="s">
        <v>459</v>
      </c>
      <c r="E10" s="36"/>
      <c r="F10" s="37" t="s">
        <v>460</v>
      </c>
      <c r="G10" s="37"/>
      <c r="H10" s="37"/>
      <c r="I10" s="37"/>
      <c r="J10" s="37"/>
    </row>
    <row r="11" customFormat="false" ht="15" hidden="false" customHeight="false" outlineLevel="0" collapsed="false">
      <c r="A11" s="35" t="s">
        <v>461</v>
      </c>
      <c r="B11" s="35"/>
      <c r="C11" s="35"/>
      <c r="D11" s="36" t="s">
        <v>462</v>
      </c>
      <c r="E11" s="36"/>
      <c r="F11" s="37" t="s">
        <v>463</v>
      </c>
      <c r="G11" s="37"/>
      <c r="H11" s="37"/>
      <c r="I11" s="37"/>
      <c r="J11" s="37"/>
    </row>
    <row r="12" customFormat="false" ht="15" hidden="false" customHeight="false" outlineLevel="0" collapsed="false">
      <c r="A12" s="35" t="s">
        <v>464</v>
      </c>
      <c r="B12" s="35"/>
      <c r="C12" s="35"/>
      <c r="D12" s="36" t="s">
        <v>465</v>
      </c>
      <c r="E12" s="36"/>
      <c r="F12" s="37" t="s">
        <v>466</v>
      </c>
      <c r="G12" s="37"/>
      <c r="H12" s="37"/>
      <c r="I12" s="37"/>
      <c r="J12" s="37"/>
    </row>
    <row r="13" customFormat="false" ht="15" hidden="false" customHeight="false" outlineLevel="0" collapsed="false">
      <c r="A13" s="35" t="s">
        <v>467</v>
      </c>
      <c r="B13" s="35"/>
      <c r="C13" s="35"/>
      <c r="D13" s="36" t="s">
        <v>468</v>
      </c>
      <c r="E13" s="36"/>
      <c r="F13" s="37" t="s">
        <v>469</v>
      </c>
      <c r="G13" s="37"/>
      <c r="H13" s="37"/>
      <c r="I13" s="37"/>
      <c r="J13" s="37"/>
    </row>
    <row r="14" customFormat="false" ht="15" hidden="false" customHeight="false" outlineLevel="0" collapsed="false">
      <c r="A14" s="35" t="s">
        <v>470</v>
      </c>
      <c r="B14" s="35"/>
      <c r="C14" s="35"/>
      <c r="D14" s="36" t="s">
        <v>471</v>
      </c>
      <c r="E14" s="36"/>
      <c r="F14" s="37" t="s">
        <v>472</v>
      </c>
      <c r="G14" s="37"/>
      <c r="H14" s="37"/>
      <c r="I14" s="37"/>
      <c r="J14" s="37"/>
    </row>
    <row r="17" customFormat="false" ht="15" hidden="false" customHeight="false" outlineLevel="0" collapsed="false">
      <c r="A17" s="34" t="s">
        <v>473</v>
      </c>
      <c r="B17" s="34"/>
      <c r="C17" s="34"/>
      <c r="D17" s="34"/>
      <c r="E17" s="34"/>
      <c r="F17" s="34"/>
      <c r="G17" s="34"/>
      <c r="H17" s="34"/>
      <c r="I17" s="34"/>
      <c r="J17" s="34"/>
    </row>
    <row r="18" customFormat="false" ht="26.85" hidden="false" customHeight="false" outlineLevel="0" collapsed="false">
      <c r="A18" s="17" t="s">
        <v>474</v>
      </c>
      <c r="B18" s="17" t="s">
        <v>475</v>
      </c>
      <c r="C18" s="17" t="s">
        <v>476</v>
      </c>
      <c r="D18" s="17" t="s">
        <v>477</v>
      </c>
      <c r="E18" s="17" t="s">
        <v>478</v>
      </c>
      <c r="F18" s="17" t="s">
        <v>479</v>
      </c>
      <c r="G18" s="17" t="s">
        <v>480</v>
      </c>
      <c r="H18" s="17" t="s">
        <v>481</v>
      </c>
      <c r="I18" s="17" t="s">
        <v>482</v>
      </c>
      <c r="J18" s="17" t="s">
        <v>483</v>
      </c>
    </row>
    <row r="19" customFormat="false" ht="21.75" hidden="false" customHeight="true" outlineLevel="0" collapsed="false">
      <c r="A19" s="14" t="s">
        <v>484</v>
      </c>
      <c r="B19" s="14" t="n">
        <v>30</v>
      </c>
      <c r="C19" s="14" t="n">
        <v>30</v>
      </c>
      <c r="D19" s="14" t="n">
        <v>1</v>
      </c>
      <c r="E19" s="14" t="n">
        <v>2</v>
      </c>
      <c r="F19" s="14" t="n">
        <v>3</v>
      </c>
      <c r="G19" s="28" t="n">
        <v>28</v>
      </c>
      <c r="H19" s="38" t="n">
        <f aca="false">F19*G19*30</f>
        <v>2520</v>
      </c>
      <c r="I19" s="38" t="n">
        <f aca="false">H19*0.52</f>
        <v>1310.4</v>
      </c>
      <c r="J19" s="38" t="n">
        <v>500</v>
      </c>
    </row>
    <row r="20" customFormat="false" ht="21.75" hidden="false" customHeight="true" outlineLevel="0" collapsed="false">
      <c r="A20" s="22" t="s">
        <v>485</v>
      </c>
      <c r="B20" s="22" t="n">
        <v>25</v>
      </c>
      <c r="C20" s="22" t="n">
        <v>55</v>
      </c>
      <c r="D20" s="22" t="n">
        <v>3</v>
      </c>
      <c r="E20" s="22" t="n">
        <v>3</v>
      </c>
      <c r="F20" s="22" t="n">
        <v>6</v>
      </c>
      <c r="G20" s="31" t="n">
        <v>28</v>
      </c>
      <c r="H20" s="39" t="n">
        <f aca="false">F20*G20*30</f>
        <v>5040</v>
      </c>
      <c r="I20" s="39" t="n">
        <f aca="false">H20*0.52</f>
        <v>2620.8</v>
      </c>
      <c r="J20" s="39" t="n">
        <v>900</v>
      </c>
    </row>
    <row r="21" customFormat="false" ht="21.75" hidden="false" customHeight="true" outlineLevel="0" collapsed="false">
      <c r="A21" s="14" t="s">
        <v>486</v>
      </c>
      <c r="B21" s="14" t="n">
        <v>25</v>
      </c>
      <c r="C21" s="14" t="n">
        <v>80</v>
      </c>
      <c r="D21" s="14" t="n">
        <v>5</v>
      </c>
      <c r="E21" s="14" t="n">
        <v>4</v>
      </c>
      <c r="F21" s="14" t="n">
        <v>9</v>
      </c>
      <c r="G21" s="28" t="n">
        <v>28</v>
      </c>
      <c r="H21" s="38" t="n">
        <f aca="false">F21*G21*30</f>
        <v>7560</v>
      </c>
      <c r="I21" s="38" t="n">
        <f aca="false">H21*0.52</f>
        <v>3931.2</v>
      </c>
      <c r="J21" s="38" t="n">
        <v>1300</v>
      </c>
    </row>
    <row r="22" customFormat="false" ht="21.75" hidden="false" customHeight="true" outlineLevel="0" collapsed="false">
      <c r="A22" s="22" t="s">
        <v>487</v>
      </c>
      <c r="B22" s="22" t="n">
        <v>20</v>
      </c>
      <c r="C22" s="22" t="n">
        <v>100</v>
      </c>
      <c r="D22" s="22" t="n">
        <v>8</v>
      </c>
      <c r="E22" s="22" t="n">
        <v>5</v>
      </c>
      <c r="F22" s="22" t="n">
        <v>13</v>
      </c>
      <c r="G22" s="31" t="n">
        <v>28</v>
      </c>
      <c r="H22" s="39" t="n">
        <f aca="false">F22*G22*30</f>
        <v>10920</v>
      </c>
      <c r="I22" s="39" t="n">
        <f aca="false">H22*0.52</f>
        <v>5678.4</v>
      </c>
      <c r="J22" s="39" t="n">
        <v>1600</v>
      </c>
    </row>
    <row r="23" customFormat="false" ht="21.75" hidden="false" customHeight="true" outlineLevel="0" collapsed="false">
      <c r="A23" s="14" t="s">
        <v>488</v>
      </c>
      <c r="B23" s="14" t="n">
        <v>20</v>
      </c>
      <c r="C23" s="14" t="n">
        <v>120</v>
      </c>
      <c r="D23" s="14" t="n">
        <v>10</v>
      </c>
      <c r="E23" s="14" t="n">
        <v>6</v>
      </c>
      <c r="F23" s="14" t="n">
        <v>16</v>
      </c>
      <c r="G23" s="28" t="n">
        <v>28</v>
      </c>
      <c r="H23" s="38" t="n">
        <f aca="false">F23*G23*30</f>
        <v>13440</v>
      </c>
      <c r="I23" s="38" t="n">
        <f aca="false">H23*0.52</f>
        <v>6988.8</v>
      </c>
      <c r="J23" s="38" t="n">
        <v>1900</v>
      </c>
    </row>
    <row r="24" customFormat="false" ht="21.75" hidden="false" customHeight="true" outlineLevel="0" collapsed="false">
      <c r="A24" s="22" t="s">
        <v>489</v>
      </c>
      <c r="B24" s="22" t="n">
        <v>15</v>
      </c>
      <c r="C24" s="22" t="n">
        <v>135</v>
      </c>
      <c r="D24" s="22" t="n">
        <v>12</v>
      </c>
      <c r="E24" s="22" t="n">
        <v>7</v>
      </c>
      <c r="F24" s="22" t="n">
        <v>19</v>
      </c>
      <c r="G24" s="31" t="n">
        <v>29</v>
      </c>
      <c r="H24" s="39" t="n">
        <f aca="false">F24*G24*30</f>
        <v>16530</v>
      </c>
      <c r="I24" s="39" t="n">
        <f aca="false">H24*0.52</f>
        <v>8595.6</v>
      </c>
      <c r="J24" s="39" t="n">
        <v>2100</v>
      </c>
    </row>
    <row r="25" customFormat="false" ht="21.75" hidden="false" customHeight="true" outlineLevel="0" collapsed="false">
      <c r="A25" s="14" t="s">
        <v>490</v>
      </c>
      <c r="B25" s="14" t="n">
        <v>15</v>
      </c>
      <c r="C25" s="14" t="n">
        <v>150</v>
      </c>
      <c r="D25" s="14" t="n">
        <v>14</v>
      </c>
      <c r="E25" s="14" t="n">
        <v>7</v>
      </c>
      <c r="F25" s="14" t="n">
        <v>21</v>
      </c>
      <c r="G25" s="28" t="n">
        <v>29</v>
      </c>
      <c r="H25" s="38" t="n">
        <f aca="false">F25*G25*30</f>
        <v>18270</v>
      </c>
      <c r="I25" s="38" t="n">
        <f aca="false">H25*0.52</f>
        <v>9500.4</v>
      </c>
      <c r="J25" s="38" t="n">
        <v>2300</v>
      </c>
    </row>
    <row r="26" customFormat="false" ht="21.75" hidden="false" customHeight="true" outlineLevel="0" collapsed="false">
      <c r="A26" s="22" t="s">
        <v>491</v>
      </c>
      <c r="B26" s="22" t="n">
        <v>10</v>
      </c>
      <c r="C26" s="22" t="n">
        <v>160</v>
      </c>
      <c r="D26" s="22" t="n">
        <v>15</v>
      </c>
      <c r="E26" s="22" t="n">
        <v>8</v>
      </c>
      <c r="F26" s="22" t="n">
        <v>23</v>
      </c>
      <c r="G26" s="31" t="n">
        <v>30</v>
      </c>
      <c r="H26" s="39" t="n">
        <f aca="false">F26*G26*30</f>
        <v>20700</v>
      </c>
      <c r="I26" s="39" t="n">
        <f aca="false">H26*0.52</f>
        <v>10764</v>
      </c>
      <c r="J26" s="39" t="n">
        <v>2400</v>
      </c>
    </row>
    <row r="27" customFormat="false" ht="21.75" hidden="false" customHeight="true" outlineLevel="0" collapsed="false">
      <c r="A27" s="14" t="s">
        <v>492</v>
      </c>
      <c r="B27" s="14" t="n">
        <v>10</v>
      </c>
      <c r="C27" s="14" t="n">
        <v>170</v>
      </c>
      <c r="D27" s="14" t="n">
        <v>16</v>
      </c>
      <c r="E27" s="14" t="n">
        <v>8</v>
      </c>
      <c r="F27" s="14" t="n">
        <v>24</v>
      </c>
      <c r="G27" s="28" t="n">
        <v>30</v>
      </c>
      <c r="H27" s="38" t="n">
        <f aca="false">F27*G27*30</f>
        <v>21600</v>
      </c>
      <c r="I27" s="38" t="n">
        <f aca="false">H27*0.52</f>
        <v>11232</v>
      </c>
      <c r="J27" s="38" t="n">
        <v>2500</v>
      </c>
    </row>
    <row r="28" customFormat="false" ht="21.75" hidden="false" customHeight="true" outlineLevel="0" collapsed="false">
      <c r="A28" s="22" t="s">
        <v>493</v>
      </c>
      <c r="B28" s="22" t="n">
        <v>10</v>
      </c>
      <c r="C28" s="22" t="n">
        <v>180</v>
      </c>
      <c r="D28" s="22" t="n">
        <v>17</v>
      </c>
      <c r="E28" s="22" t="n">
        <v>8</v>
      </c>
      <c r="F28" s="22" t="n">
        <v>25</v>
      </c>
      <c r="G28" s="31" t="n">
        <v>30</v>
      </c>
      <c r="H28" s="39" t="n">
        <f aca="false">F28*G28*30</f>
        <v>22500</v>
      </c>
      <c r="I28" s="39" t="n">
        <f aca="false">H28*0.52</f>
        <v>11700</v>
      </c>
      <c r="J28" s="39" t="n">
        <v>2600</v>
      </c>
    </row>
    <row r="29" customFormat="false" ht="21.75" hidden="false" customHeight="true" outlineLevel="0" collapsed="false">
      <c r="A29" s="14" t="s">
        <v>494</v>
      </c>
      <c r="B29" s="14" t="n">
        <v>10</v>
      </c>
      <c r="C29" s="14" t="n">
        <v>190</v>
      </c>
      <c r="D29" s="14" t="n">
        <v>18</v>
      </c>
      <c r="E29" s="14" t="n">
        <v>9</v>
      </c>
      <c r="F29" s="14" t="n">
        <v>27</v>
      </c>
      <c r="G29" s="28" t="n">
        <v>30</v>
      </c>
      <c r="H29" s="38" t="n">
        <f aca="false">F29*G29*30</f>
        <v>24300</v>
      </c>
      <c r="I29" s="38" t="n">
        <f aca="false">H29*0.52</f>
        <v>12636</v>
      </c>
      <c r="J29" s="38" t="n">
        <v>2700</v>
      </c>
    </row>
    <row r="30" customFormat="false" ht="21.75" hidden="false" customHeight="true" outlineLevel="0" collapsed="false">
      <c r="A30" s="22" t="s">
        <v>495</v>
      </c>
      <c r="B30" s="22" t="n">
        <v>10</v>
      </c>
      <c r="C30" s="22" t="n">
        <v>200</v>
      </c>
      <c r="D30" s="22" t="n">
        <v>19</v>
      </c>
      <c r="E30" s="22" t="n">
        <v>9</v>
      </c>
      <c r="F30" s="22" t="n">
        <v>28</v>
      </c>
      <c r="G30" s="31" t="n">
        <v>31</v>
      </c>
      <c r="H30" s="39" t="n">
        <f aca="false">F30*G30*30</f>
        <v>26040</v>
      </c>
      <c r="I30" s="39" t="n">
        <f aca="false">H30*0.52</f>
        <v>13540.8</v>
      </c>
      <c r="J30" s="39" t="n">
        <v>2800</v>
      </c>
    </row>
  </sheetData>
  <mergeCells count="34">
    <mergeCell ref="A1:J1"/>
    <mergeCell ref="A2:J2"/>
    <mergeCell ref="A4:J4"/>
    <mergeCell ref="A5:C5"/>
    <mergeCell ref="D5:E5"/>
    <mergeCell ref="F5:J5"/>
    <mergeCell ref="A6:C6"/>
    <mergeCell ref="D6:E6"/>
    <mergeCell ref="F6:J6"/>
    <mergeCell ref="A7:C7"/>
    <mergeCell ref="D7:E7"/>
    <mergeCell ref="F7:J7"/>
    <mergeCell ref="A8:C8"/>
    <mergeCell ref="D8:E8"/>
    <mergeCell ref="F8:J8"/>
    <mergeCell ref="A9:C9"/>
    <mergeCell ref="D9:E9"/>
    <mergeCell ref="F9:J9"/>
    <mergeCell ref="A10:C10"/>
    <mergeCell ref="D10:E10"/>
    <mergeCell ref="F10:J10"/>
    <mergeCell ref="A11:C11"/>
    <mergeCell ref="D11:E11"/>
    <mergeCell ref="F11:J11"/>
    <mergeCell ref="A12:C12"/>
    <mergeCell ref="D12:E12"/>
    <mergeCell ref="F12:J12"/>
    <mergeCell ref="A13:C13"/>
    <mergeCell ref="D13:E13"/>
    <mergeCell ref="F13:J13"/>
    <mergeCell ref="A14:C14"/>
    <mergeCell ref="D14:E14"/>
    <mergeCell ref="F14:J14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5" t="s">
        <v>496</v>
      </c>
      <c r="B1" s="15"/>
      <c r="C1" s="15"/>
      <c r="D1" s="15"/>
      <c r="E1" s="15"/>
      <c r="F1" s="15"/>
      <c r="G1" s="15"/>
      <c r="H1" s="15"/>
    </row>
    <row r="3" customFormat="false" ht="26.85" hidden="false" customHeight="false" outlineLevel="0" collapsed="false">
      <c r="A3" s="17" t="s">
        <v>497</v>
      </c>
      <c r="B3" s="17" t="s">
        <v>498</v>
      </c>
      <c r="C3" s="17" t="s">
        <v>499</v>
      </c>
      <c r="D3" s="17" t="s">
        <v>500</v>
      </c>
      <c r="E3" s="17" t="s">
        <v>501</v>
      </c>
      <c r="F3" s="17" t="s">
        <v>502</v>
      </c>
      <c r="G3" s="17" t="s">
        <v>503</v>
      </c>
      <c r="H3" s="17" t="s">
        <v>72</v>
      </c>
    </row>
    <row r="4" customFormat="false" ht="39.75" hidden="false" customHeight="true" outlineLevel="0" collapsed="false">
      <c r="A4" s="19" t="s">
        <v>504</v>
      </c>
      <c r="B4" s="19" t="s">
        <v>505</v>
      </c>
      <c r="C4" s="19" t="s">
        <v>506</v>
      </c>
      <c r="D4" s="19" t="s">
        <v>507</v>
      </c>
      <c r="E4" s="19" t="s">
        <v>508</v>
      </c>
      <c r="F4" s="19" t="n">
        <v>0</v>
      </c>
      <c r="G4" s="19" t="s">
        <v>509</v>
      </c>
      <c r="H4" s="19" t="s">
        <v>510</v>
      </c>
    </row>
    <row r="5" customFormat="false" ht="39.75" hidden="false" customHeight="true" outlineLevel="0" collapsed="false">
      <c r="A5" s="19" t="s">
        <v>504</v>
      </c>
      <c r="B5" s="19" t="s">
        <v>511</v>
      </c>
      <c r="C5" s="19" t="s">
        <v>512</v>
      </c>
      <c r="D5" s="19" t="s">
        <v>513</v>
      </c>
      <c r="E5" s="19" t="s">
        <v>514</v>
      </c>
      <c r="F5" s="19" t="n">
        <v>15</v>
      </c>
      <c r="G5" s="19" t="s">
        <v>509</v>
      </c>
      <c r="H5" s="19" t="s">
        <v>515</v>
      </c>
    </row>
    <row r="6" customFormat="false" ht="39.75" hidden="false" customHeight="true" outlineLevel="0" collapsed="false">
      <c r="A6" s="19" t="s">
        <v>504</v>
      </c>
      <c r="B6" s="19" t="s">
        <v>516</v>
      </c>
      <c r="C6" s="19" t="s">
        <v>517</v>
      </c>
      <c r="D6" s="19" t="s">
        <v>518</v>
      </c>
      <c r="E6" s="19" t="s">
        <v>519</v>
      </c>
      <c r="F6" s="19" t="n">
        <v>10</v>
      </c>
      <c r="G6" s="19" t="s">
        <v>520</v>
      </c>
      <c r="H6" s="19" t="s">
        <v>521</v>
      </c>
    </row>
    <row r="7" customFormat="false" ht="39.75" hidden="false" customHeight="true" outlineLevel="0" collapsed="false">
      <c r="A7" s="40" t="s">
        <v>522</v>
      </c>
      <c r="B7" s="40" t="s">
        <v>523</v>
      </c>
      <c r="C7" s="40" t="s">
        <v>524</v>
      </c>
      <c r="D7" s="40" t="s">
        <v>525</v>
      </c>
      <c r="E7" s="40" t="s">
        <v>526</v>
      </c>
      <c r="F7" s="40" t="n">
        <v>20</v>
      </c>
      <c r="G7" s="40" t="s">
        <v>527</v>
      </c>
      <c r="H7" s="40" t="s">
        <v>528</v>
      </c>
    </row>
    <row r="8" customFormat="false" ht="39.75" hidden="false" customHeight="true" outlineLevel="0" collapsed="false">
      <c r="A8" s="40" t="s">
        <v>522</v>
      </c>
      <c r="B8" s="40" t="s">
        <v>529</v>
      </c>
      <c r="C8" s="40" t="s">
        <v>530</v>
      </c>
      <c r="D8" s="40" t="s">
        <v>531</v>
      </c>
      <c r="E8" s="40" t="s">
        <v>514</v>
      </c>
      <c r="F8" s="40" t="n">
        <v>15</v>
      </c>
      <c r="G8" s="40" t="s">
        <v>532</v>
      </c>
      <c r="H8" s="40" t="s">
        <v>533</v>
      </c>
    </row>
    <row r="9" customFormat="false" ht="39.75" hidden="false" customHeight="true" outlineLevel="0" collapsed="false">
      <c r="A9" s="41" t="s">
        <v>534</v>
      </c>
      <c r="B9" s="41" t="s">
        <v>535</v>
      </c>
      <c r="C9" s="41" t="s">
        <v>536</v>
      </c>
      <c r="D9" s="41" t="s">
        <v>537</v>
      </c>
      <c r="E9" s="41" t="s">
        <v>538</v>
      </c>
      <c r="F9" s="41" t="n">
        <v>10</v>
      </c>
      <c r="G9" s="41" t="s">
        <v>539</v>
      </c>
      <c r="H9" s="41" t="s">
        <v>540</v>
      </c>
    </row>
    <row r="10" customFormat="false" ht="39.75" hidden="false" customHeight="true" outlineLevel="0" collapsed="false">
      <c r="A10" s="41" t="s">
        <v>534</v>
      </c>
      <c r="B10" s="41" t="s">
        <v>541</v>
      </c>
      <c r="C10" s="41" t="s">
        <v>542</v>
      </c>
      <c r="D10" s="41" t="s">
        <v>543</v>
      </c>
      <c r="E10" s="41" t="s">
        <v>514</v>
      </c>
      <c r="F10" s="41" t="n">
        <v>15</v>
      </c>
      <c r="G10" s="41" t="s">
        <v>544</v>
      </c>
      <c r="H10" s="41" t="s">
        <v>545</v>
      </c>
    </row>
    <row r="12" customFormat="false" ht="15" hidden="false" customHeight="false" outlineLevel="0" collapsed="false">
      <c r="A12" s="42" t="s">
        <v>546</v>
      </c>
      <c r="B12" s="42"/>
      <c r="C12" s="42"/>
      <c r="D12" s="43" t="s">
        <v>547</v>
      </c>
      <c r="E12" s="43" t="s">
        <v>548</v>
      </c>
      <c r="F12" s="43" t="n">
        <v>85</v>
      </c>
      <c r="G12" s="43" t="s">
        <v>549</v>
      </c>
      <c r="H12" s="43" t="s">
        <v>550</v>
      </c>
    </row>
  </sheetData>
  <mergeCells count="2">
    <mergeCell ref="A1:H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2026-02-18T01:30:45Z</dcterms:created>
  <dc:creator>openpyxl</dc:creator>
  <dc:description/>
  <dc:language>en-US</dc:language>
  <cp:lastModifiedBy/>
  <dcterms:modified xsi:type="dcterms:W3CDTF">2026-02-18T01:30:45Z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