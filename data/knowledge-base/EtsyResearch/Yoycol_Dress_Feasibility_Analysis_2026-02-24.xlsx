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wner\Documents\EtsyAutomation\EtsyResearch\"/>
    </mc:Choice>
  </mc:AlternateContent>
  <xr:revisionPtr revIDLastSave="0" documentId="13_ncr:1_{F9DE23FA-6E22-4557-AE9E-B12207CF6DF6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Executive Summary" sheetId="1" r:id="rId1"/>
    <sheet name="Google Shopping Verification" sheetId="2" r:id="rId2"/>
    <sheet name="Dress × Niche Matrix" sheetId="3" r:id="rId3"/>
    <sheet name="Dress Keyword Trends" sheetId="4" r:id="rId4"/>
    <sheet name="Revised Dress Strategy" sheetId="5" r:id="rId5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2" i="5" l="1"/>
  <c r="F22" i="5" s="1"/>
  <c r="E21" i="5"/>
  <c r="F21" i="5" s="1"/>
  <c r="E20" i="5"/>
  <c r="F20" i="5" s="1"/>
  <c r="H14" i="5"/>
  <c r="H13" i="5"/>
  <c r="H12" i="5"/>
  <c r="H11" i="5"/>
  <c r="H10" i="5"/>
  <c r="H9" i="5"/>
  <c r="H8" i="5"/>
  <c r="H7" i="5"/>
  <c r="H6" i="5"/>
  <c r="C17" i="3"/>
  <c r="H17" i="3" s="1"/>
  <c r="I17" i="3" s="1"/>
  <c r="C16" i="3"/>
  <c r="H16" i="3" s="1"/>
  <c r="I16" i="3" s="1"/>
  <c r="C15" i="3"/>
  <c r="H15" i="3" s="1"/>
  <c r="I15" i="3" s="1"/>
  <c r="C14" i="3"/>
  <c r="H14" i="3" s="1"/>
  <c r="I14" i="3" s="1"/>
  <c r="C13" i="3"/>
  <c r="H13" i="3" s="1"/>
  <c r="I13" i="3" s="1"/>
  <c r="H12" i="3"/>
  <c r="I12" i="3" s="1"/>
  <c r="C12" i="3"/>
  <c r="C11" i="3"/>
  <c r="H11" i="3" s="1"/>
  <c r="I11" i="3" s="1"/>
  <c r="H10" i="3"/>
  <c r="I10" i="3" s="1"/>
  <c r="C10" i="3"/>
  <c r="C9" i="3"/>
  <c r="H9" i="3" s="1"/>
  <c r="I9" i="3" s="1"/>
  <c r="H8" i="3"/>
  <c r="I8" i="3" s="1"/>
  <c r="C8" i="3"/>
  <c r="C7" i="3"/>
  <c r="H7" i="3" s="1"/>
  <c r="I7" i="3" s="1"/>
  <c r="C6" i="3"/>
  <c r="H6" i="3" s="1"/>
  <c r="I6" i="3" s="1"/>
  <c r="C5" i="3"/>
  <c r="H5" i="3" s="1"/>
  <c r="I5" i="3" s="1"/>
  <c r="H4" i="3"/>
  <c r="I4" i="3" s="1"/>
  <c r="C4" i="3"/>
  <c r="G23" i="1"/>
  <c r="G11" i="1"/>
  <c r="G9" i="1"/>
</calcChain>
</file>

<file path=xl/sharedStrings.xml><?xml version="1.0" encoding="utf-8"?>
<sst xmlns="http://schemas.openxmlformats.org/spreadsheetml/2006/main" count="519" uniqueCount="406">
  <si>
    <t>YOYCOL AOP DRESS FEASIBILITY ON GOOGLE SHOPPING</t>
  </si>
  <si>
    <t>Visual Design Comparison &amp; Keyword Analysis — February 24, 2026</t>
  </si>
  <si>
    <t>KEY FINDING: AOP dresses ARE viable on Google Shopping — but ONLY with print-driven keywords</t>
  </si>
  <si>
    <t>The previous analysis tested against "gothic dress" which is a construction-driven market (velvet, corsets, lace). When targeting PRINT-DRIVEN keywords like "dark floral dress" (9,900/mo), "boho maxi dress" (14,800/mo), "celestial dress" (2,900/mo) — the products on Google Shopping are printed dresses on simple silhouettes, exactly matching Yoycol's AOP product type.</t>
  </si>
  <si>
    <t>Dress Niche Keyword Opportunity Summary</t>
  </si>
  <si>
    <t>Keyword</t>
  </si>
  <si>
    <t>Monthly Volume</t>
  </si>
  <si>
    <t>CPC</t>
  </si>
  <si>
    <t>Competition</t>
  </si>
  <si>
    <t>Print-Driven?</t>
  </si>
  <si>
    <t>Google Shopping Viable?</t>
  </si>
  <si>
    <t>Combined Vol (Theme)</t>
  </si>
  <si>
    <t>boho maxi dress</t>
  </si>
  <si>
    <t>High</t>
  </si>
  <si>
    <t>YES — 80%+ results are printed dresses</t>
  </si>
  <si>
    <t>YES — STRONG</t>
  </si>
  <si>
    <t>dark floral dress</t>
  </si>
  <si>
    <t>YES — dominated by printed floral dresses</t>
  </si>
  <si>
    <t>cottagecore dress</t>
  </si>
  <si>
    <t>YES — print/pattern-driven aesthetic</t>
  </si>
  <si>
    <t>celestial dress</t>
  </si>
  <si>
    <t>YES — "allover print" results prominent</t>
  </si>
  <si>
    <t>vintage floral dress</t>
  </si>
  <si>
    <t>YES — floral prints on simple cuts</t>
  </si>
  <si>
    <t>YES — MODERATE</t>
  </si>
  <si>
    <t>whimsigoth dress</t>
  </si>
  <si>
    <t>YES — print + dark aesthetic</t>
  </si>
  <si>
    <t>YES — STRONG (exact ICP)</t>
  </si>
  <si>
    <t>boho floral maxi dress</t>
  </si>
  <si>
    <t>YES — all printed on simple silhouettes</t>
  </si>
  <si>
    <t>artsy dress</t>
  </si>
  <si>
    <t>YES — art/print-driven</t>
  </si>
  <si>
    <t>boho print dress</t>
  </si>
  <si>
    <t>Medium</t>
  </si>
  <si>
    <t>YES — 100% print-driven</t>
  </si>
  <si>
    <t>YES</t>
  </si>
  <si>
    <t>art print dress</t>
  </si>
  <si>
    <t>mushroom print dress</t>
  </si>
  <si>
    <t>YES — niche print</t>
  </si>
  <si>
    <t>YES — NICHE</t>
  </si>
  <si>
    <t>botanical print dress</t>
  </si>
  <si>
    <t>japanese print dress</t>
  </si>
  <si>
    <t>YES — crane/cherry blossom prints</t>
  </si>
  <si>
    <t>celestial print dress</t>
  </si>
  <si>
    <t>YES — stars/moon prints</t>
  </si>
  <si>
    <t>TOTAL ADDRESSABLE</t>
  </si>
  <si>
    <t>WHY "GOTHIC DRESS" FAILED BUT THESE WORK</t>
  </si>
  <si>
    <t>Factor</t>
  </si>
  <si>
    <t>"Gothic Dress" (22,200/mo)</t>
  </si>
  <si>
    <t>Print-Driven Keywords (38,000/mo combined)</t>
  </si>
  <si>
    <t>Implication</t>
  </si>
  <si>
    <t>What buyer wants</t>
  </si>
  <si>
    <t>Garment CONSTRUCTION: velvet, corsets, lace, bell sleeves</t>
  </si>
  <si>
    <t>Beautiful PRINT/ARTWORK on flowy silhouette</t>
  </si>
  <si>
    <t>AOP excels at prints, NOT construction</t>
  </si>
  <si>
    <t>Product match</t>
  </si>
  <si>
    <t>Yoycol polyester sublimation ≠ velvet corset dress</t>
  </si>
  <si>
    <t>Yoycol polyester sublimation = printed maxi/midi dress</t>
  </si>
  <si>
    <t>Right keyword = right product match</t>
  </si>
  <si>
    <t>Shein threat</t>
  </si>
  <si>
    <t>Shein sells constructed gothic at $19-$44 — can't compete</t>
  </si>
  <si>
    <t>Shein has some prints at $20-$32 but NO unique art — CAN compete on design</t>
  </si>
  <si>
    <t>Unique AI art is the moat vs. Shein</t>
  </si>
  <si>
    <t>Price positioning</t>
  </si>
  <si>
    <t>Would need $120+ to match market (impossible at Yoycol COGS)</t>
  </si>
  <si>
    <t>$39-$69 puts us mid-market with strong margins</t>
  </si>
  <si>
    <t>Sweet spot pricing is achievable</t>
  </si>
  <si>
    <t>Addressable %</t>
  </si>
  <si>
    <t>&lt;5% of "gothic dress" searches want sublimation prints</t>
  </si>
  <si>
    <t>70-90% of these searches want printed dresses</t>
  </si>
  <si>
    <t>Massive addressable difference</t>
  </si>
  <si>
    <t>GOOGLE SHOPPING VISUAL VERIFICATION — Browser Screenshots Feb 24, 2026</t>
  </si>
  <si>
    <t>1. "BOHO FLORAL MAXI DRESS" (880/mo) — PRINT-DRIVEN MARKET ✓</t>
  </si>
  <si>
    <t>Product</t>
  </si>
  <si>
    <t>Price CAD</t>
  </si>
  <si>
    <t>Price USD</t>
  </si>
  <si>
    <t>Store</t>
  </si>
  <si>
    <t>Product Type</t>
  </si>
  <si>
    <t>AOP Compatible?</t>
  </si>
  <si>
    <t>Yeenily Women's Bohemian Floral Print</t>
  </si>
  <si>
    <t>$39.59</t>
  </si>
  <si>
    <t>$29.11</t>
  </si>
  <si>
    <t>Amazon CA</t>
  </si>
  <si>
    <t>Printed polyester dress</t>
  </si>
  <si>
    <t>YES — exact match</t>
  </si>
  <si>
    <t>Evangeline Maxi Dress</t>
  </si>
  <si>
    <t>$89.15</t>
  </si>
  <si>
    <t>$65.55</t>
  </si>
  <si>
    <t>Natural Life</t>
  </si>
  <si>
    <t>Printed boho dress</t>
  </si>
  <si>
    <t>YES — printed dress</t>
  </si>
  <si>
    <t>Lulus Boho Floral Sleeveless Maxi Dress</t>
  </si>
  <si>
    <t>$87.00</t>
  </si>
  <si>
    <t>$63.97</t>
  </si>
  <si>
    <t>Lulus</t>
  </si>
  <si>
    <t>Printed maxi dress</t>
  </si>
  <si>
    <t>YES — brand competitor</t>
  </si>
  <si>
    <t>Women's Bohemian Embroidered Floral</t>
  </si>
  <si>
    <t>$42.90</t>
  </si>
  <si>
    <t>$31.54</t>
  </si>
  <si>
    <t>Embroidered dress</t>
  </si>
  <si>
    <t>NO — construction detail</t>
  </si>
  <si>
    <t>Cupshe Floral Print Knotted V-Neck</t>
  </si>
  <si>
    <t>$48.00</t>
  </si>
  <si>
    <t>$35.29</t>
  </si>
  <si>
    <t>Cupshe</t>
  </si>
  <si>
    <t>Printed knotted dress</t>
  </si>
  <si>
    <t>YES — printed polyester</t>
  </si>
  <si>
    <t>MessBebe Boho Floral Print Maxi</t>
  </si>
  <si>
    <t>~$35-$45</t>
  </si>
  <si>
    <t>~$26-$33</t>
  </si>
  <si>
    <t>Various</t>
  </si>
  <si>
    <t>YES — direct competitor</t>
  </si>
  <si>
    <t>Bold Blooms Maxi Dress Floral</t>
  </si>
  <si>
    <t>~$60-$80</t>
  </si>
  <si>
    <t>~$44-$59</t>
  </si>
  <si>
    <t>Printed statement dress</t>
  </si>
  <si>
    <t>YES — printed</t>
  </si>
  <si>
    <t>Boho Beach Hut Floral Long Sundress</t>
  </si>
  <si>
    <t>~$30-$50</t>
  </si>
  <si>
    <t>~$22-$37</t>
  </si>
  <si>
    <t>Printed sundress</t>
  </si>
  <si>
    <t>YES — budget print</t>
  </si>
  <si>
    <t>VERDICT: 7 of 8 results are printed dresses on simple silhouettes. Market is 85%+ print-driven. Yoycol AOP is a direct product match.</t>
  </si>
  <si>
    <t>2. "DARK FLORAL DRESS" (9,900/mo) — MASSIVE PRINT-DRIVEN MARKET ✓</t>
  </si>
  <si>
    <t>Midnight Butterflies Tie-Strap Dress</t>
  </si>
  <si>
    <t>$124.00</t>
  </si>
  <si>
    <t>$91.18</t>
  </si>
  <si>
    <t>Free Fashion</t>
  </si>
  <si>
    <t>Chiffon/Poly printed dress</t>
  </si>
  <si>
    <t>YES — print-driven, premium price</t>
  </si>
  <si>
    <t>Night Peacock Feathers Tie-Strap</t>
  </si>
  <si>
    <t>$131.00</t>
  </si>
  <si>
    <t>$96.32</t>
  </si>
  <si>
    <t>Chiffon printed dress</t>
  </si>
  <si>
    <t>YES — art print on simple cut</t>
  </si>
  <si>
    <t>Art Deco Botanical Tie-Strap</t>
  </si>
  <si>
    <t>$125.00</t>
  </si>
  <si>
    <t>$91.91</t>
  </si>
  <si>
    <t>Printed dress</t>
  </si>
  <si>
    <t>Floral Print Dress (Shein)</t>
  </si>
  <si>
    <t>$75.51</t>
  </si>
  <si>
    <t>$55.52</t>
  </si>
  <si>
    <t>Shein</t>
  </si>
  <si>
    <t>Polyester print</t>
  </si>
  <si>
    <t>YES — budget print competitor</t>
  </si>
  <si>
    <t>Andrea and Leo A1336 Prom</t>
  </si>
  <si>
    <t>$510.00</t>
  </si>
  <si>
    <t>$375.00</t>
  </si>
  <si>
    <t>Marlasfashion</t>
  </si>
  <si>
    <t>Formal/Prom (Tulle)</t>
  </si>
  <si>
    <t>NO — construction-driven formal</t>
  </si>
  <si>
    <t>JJ's House A-line Scoop Knee</t>
  </si>
  <si>
    <t>$187.00</t>
  </si>
  <si>
    <t>$137.50</t>
  </si>
  <si>
    <t>JJ's House</t>
  </si>
  <si>
    <t>Lace/Embroidered</t>
  </si>
  <si>
    <t>NO — construction-driven</t>
  </si>
  <si>
    <t>VERDICT: 4 of 6 sponsored results are printed dresses. "Free Fashion" brand sells art prints at $124-$131 on simple silhouettes — this is EXACTLY where Yoycol can undercut at $49-$69.</t>
  </si>
  <si>
    <t>3. "CELESTIAL DRESS" (2,900/mo) — HEAVILY PRINT-DRIVEN ✓</t>
  </si>
  <si>
    <t>Fashion Nova Celestial Dream Printed Maxi</t>
  </si>
  <si>
    <t>$31.00</t>
  </si>
  <si>
    <t>$22.79</t>
  </si>
  <si>
    <t>Fashion Nova</t>
  </si>
  <si>
    <t>YES — budget print, direct competitor</t>
  </si>
  <si>
    <t>Celestial Maxi Dress Moon+Stars Print</t>
  </si>
  <si>
    <t>$103.54</t>
  </si>
  <si>
    <t>$76.13</t>
  </si>
  <si>
    <t>Halter print dress</t>
  </si>
  <si>
    <t>YES — AOP art print dress</t>
  </si>
  <si>
    <t>Celestial Print Dress</t>
  </si>
  <si>
    <t>$45.00</t>
  </si>
  <si>
    <t>$33.09</t>
  </si>
  <si>
    <t>Print dress (sale from $69)</t>
  </si>
  <si>
    <t>YES — print-driven</t>
  </si>
  <si>
    <t>Celestial Dress (generic)</t>
  </si>
  <si>
    <t>$49.99</t>
  </si>
  <si>
    <t>$36.76</t>
  </si>
  <si>
    <t>Print dress</t>
  </si>
  <si>
    <t>Women's Celestial Sun Moon Star ALLOVER PRINT</t>
  </si>
  <si>
    <t>$19.86</t>
  </si>
  <si>
    <t>$14.60</t>
  </si>
  <si>
    <t>ALLOVER PRINT dress</t>
  </si>
  <si>
    <t>YES — IDENTICAL product type!</t>
  </si>
  <si>
    <t>Magic Vintage Celestial Sun Moon Cami Dress</t>
  </si>
  <si>
    <t>$31.55</t>
  </si>
  <si>
    <t>$23.20</t>
  </si>
  <si>
    <t>Print cami dress</t>
  </si>
  <si>
    <t>YES — exact Yoycol match</t>
  </si>
  <si>
    <t>DEAR EMILIA Celestial Fantasy Maxi</t>
  </si>
  <si>
    <t>$49.00</t>
  </si>
  <si>
    <t>$36.03</t>
  </si>
  <si>
    <t>Print maxi (sale from $245)</t>
  </si>
  <si>
    <t>Free People Celestial Nights Maxi</t>
  </si>
  <si>
    <t>$137.15</t>
  </si>
  <si>
    <t>$100.85</t>
  </si>
  <si>
    <t>Free People</t>
  </si>
  <si>
    <t>Brand premium dress</t>
  </si>
  <si>
    <t>Partial — brand + print</t>
  </si>
  <si>
    <t>Nasty Gal Hand Embellished Cowl Neck Maxi</t>
  </si>
  <si>
    <t>$129.00</t>
  </si>
  <si>
    <t>$94.85</t>
  </si>
  <si>
    <t>Nasty Gal</t>
  </si>
  <si>
    <t>Embellished dress</t>
  </si>
  <si>
    <t>NO — hand embellished</t>
  </si>
  <si>
    <t>Cosmic Stargazer Dress</t>
  </si>
  <si>
    <t>$516.00</t>
  </si>
  <si>
    <t>$379.41</t>
  </si>
  <si>
    <t>Designer</t>
  </si>
  <si>
    <t>Designer dress</t>
  </si>
  <si>
    <t>NO — designer luxury</t>
  </si>
  <si>
    <t>VERDICT: 7 of 10 results are print-driven. One product is literally "Allover Print" at $19.86. Celestial is a PERFECT niche for Yoycol AOP dresses. $39-$59 pricing undercuts $100+ competition.</t>
  </si>
  <si>
    <t>4. "JAPANESE PRINT DRESS" (110/mo) — NICHE BUT PRINT-DRIVEN ✓</t>
  </si>
  <si>
    <t>Japanese Floral Vines Crane Designs Tie Back</t>
  </si>
  <si>
    <t>$34.24</t>
  </si>
  <si>
    <t>$25.18</t>
  </si>
  <si>
    <t>Neewho</t>
  </si>
  <si>
    <t>YES — exact product match</t>
  </si>
  <si>
    <t>HEYFANCYSTYLE Japanese Plissé Floral Ruffle</t>
  </si>
  <si>
    <t>$343.06</t>
  </si>
  <si>
    <t>$252.25</t>
  </si>
  <si>
    <t>heyfancystyle</t>
  </si>
  <si>
    <t>Designer pleated dress</t>
  </si>
  <si>
    <t>NO — construction-focused</t>
  </si>
  <si>
    <t>Alie Street Sophia Dress</t>
  </si>
  <si>
    <t>$310.00</t>
  </si>
  <si>
    <t>$227.94</t>
  </si>
  <si>
    <t>Alie Street London</t>
  </si>
  <si>
    <t>Designer printed dress</t>
  </si>
  <si>
    <t>Partial — brand premium</t>
  </si>
  <si>
    <t>Golden Mulberry Silk Qipao Dress</t>
  </si>
  <si>
    <t>$306.86</t>
  </si>
  <si>
    <t>$225.63</t>
  </si>
  <si>
    <t>Oriental Me</t>
  </si>
  <si>
    <t>Silk qipao dress</t>
  </si>
  <si>
    <t>NO — silk, not sublimation</t>
  </si>
  <si>
    <t>Silk Slip Maxi Dress</t>
  </si>
  <si>
    <t>$291.83</t>
  </si>
  <si>
    <t>$214.58</t>
  </si>
  <si>
    <t>Etsy</t>
  </si>
  <si>
    <t>Silk slip dress</t>
  </si>
  <si>
    <t>NO — silk material</t>
  </si>
  <si>
    <t>VERDICT: Low volume (110/mo) but the budget segment ($25-$35) is 100% printed polyester — perfect Yoycol match. Use as long-tail keyword, not primary.</t>
  </si>
  <si>
    <t>5. "GOTHIC DRESS" (22,200/mo) — CONSTRUCTION-DRIVEN = NOT VIABLE ✗</t>
  </si>
  <si>
    <t>DO NOT TARGET this keyword. Buyers expect: velvet fabric, corset boning, bell sleeves, lace trim, asymmetrical hems, steampunk hardware. Yoycol's AOP polyester dress cannot compete on construction. Results dominated by Shein ($19-$44) with specialized cuts and boutiques ($50-$267) with unique fabrics. &lt;5% of results are sublimation prints.</t>
  </si>
  <si>
    <t>YOYCOL DRESS × DESIGN NICHE — Product-Market Match Matrix</t>
  </si>
  <si>
    <t>Yoycol Dress Style</t>
  </si>
  <si>
    <t>Price</t>
  </si>
  <si>
    <t>COGS+Ship</t>
  </si>
  <si>
    <t>Best Niche Fit</t>
  </si>
  <si>
    <t>Target Keyword</t>
  </si>
  <si>
    <t>Keyword Vol</t>
  </si>
  <si>
    <t>Sale Price</t>
  </si>
  <si>
    <t>Profit</t>
  </si>
  <si>
    <t>Margin</t>
  </si>
  <si>
    <t>Sleeveless Maxi Dress</t>
  </si>
  <si>
    <t>$11.36</t>
  </si>
  <si>
    <t>Dark Floral / Celestial / Boho</t>
  </si>
  <si>
    <t>$59.99</t>
  </si>
  <si>
    <t>Maxi Dress Plus Size</t>
  </si>
  <si>
    <t>$12.54</t>
  </si>
  <si>
    <t>Boho Floral / Cottagecore</t>
  </si>
  <si>
    <t>$54.99</t>
  </si>
  <si>
    <t>Elegant Long Dress</t>
  </si>
  <si>
    <t>$15.87</t>
  </si>
  <si>
    <t>Celestial / Dark Floral / Whimsigoth</t>
  </si>
  <si>
    <t>$64.99</t>
  </si>
  <si>
    <t>V-Neck Short Sleeve Dress</t>
  </si>
  <si>
    <t>$11.46</t>
  </si>
  <si>
    <t>Vintage Floral / Botanical</t>
  </si>
  <si>
    <t>Elastic Waist Dress</t>
  </si>
  <si>
    <t>$10.78</t>
  </si>
  <si>
    <t>Cottagecore / Mushroom Print</t>
  </si>
  <si>
    <t>Imitation Silk V-neck Kaftan Robe</t>
  </si>
  <si>
    <t>$12.34</t>
  </si>
  <si>
    <t>Japanese Art / Boho / Celestial</t>
  </si>
  <si>
    <t>$69.99</t>
  </si>
  <si>
    <t>Sheer Mesh Backless Maxi</t>
  </si>
  <si>
    <t>$7.25</t>
  </si>
  <si>
    <t>Celestial / Dark Floral / Festival</t>
  </si>
  <si>
    <t>$44.99</t>
  </si>
  <si>
    <t>Ruffle Hem Dress</t>
  </si>
  <si>
    <t>Boho / Cottagecore / Botanical</t>
  </si>
  <si>
    <t>Stacked Ruffle Sleeve Dress</t>
  </si>
  <si>
    <t>$10.97</t>
  </si>
  <si>
    <t>Boho / Cottagecore / Dark Floral</t>
  </si>
  <si>
    <t>V-neck Dress With Side Slit</t>
  </si>
  <si>
    <t>Shirt Dress with Waist Tie</t>
  </si>
  <si>
    <t>$15.68</t>
  </si>
  <si>
    <t>Botanical / Vintage Floral / Japanese</t>
  </si>
  <si>
    <t>Short Sleeve V Neck Midi (NEW)</t>
  </si>
  <si>
    <t>$12.74</t>
  </si>
  <si>
    <t>Dark Floral / Boho / Artsy</t>
  </si>
  <si>
    <t>Sleeveless Cami Dress</t>
  </si>
  <si>
    <t>$6.28</t>
  </si>
  <si>
    <t>Celestial / Mushroom / Festival</t>
  </si>
  <si>
    <t>$39.99</t>
  </si>
  <si>
    <t>Back Straps Cami w/ Lace</t>
  </si>
  <si>
    <t>$9.27</t>
  </si>
  <si>
    <t>Whimsigoth / Dark Floral / Celestial</t>
  </si>
  <si>
    <t>MONTHLY SEARCH TRENDS — Dress Niche Keywords (2025-2026)</t>
  </si>
  <si>
    <t>Annual Vol</t>
  </si>
  <si>
    <t>Feb 25</t>
  </si>
  <si>
    <t>Mar 25</t>
  </si>
  <si>
    <t>Apr 25</t>
  </si>
  <si>
    <t>May 25</t>
  </si>
  <si>
    <t>Jun 25</t>
  </si>
  <si>
    <t>Jul 25</t>
  </si>
  <si>
    <t>Aug 25</t>
  </si>
  <si>
    <t>Sep 25</t>
  </si>
  <si>
    <t>Oct 25</t>
  </si>
  <si>
    <t>Nov 25</t>
  </si>
  <si>
    <t>Dec 25</t>
  </si>
  <si>
    <t>Jan 26</t>
  </si>
  <si>
    <t>Peak Month</t>
  </si>
  <si>
    <t>Jul (27,100)</t>
  </si>
  <si>
    <t>Apr (14,800)</t>
  </si>
  <si>
    <t>Feb/Apr-Jun (8,100)</t>
  </si>
  <si>
    <t>Feb (4,400) + Oct-Nov</t>
  </si>
  <si>
    <t>Apr (2,900)</t>
  </si>
  <si>
    <t>Oct (1,300)</t>
  </si>
  <si>
    <t>Jun-Aug (720)</t>
  </si>
  <si>
    <t>Sep (210)</t>
  </si>
  <si>
    <t>SEASONAL STRATEGY</t>
  </si>
  <si>
    <t>Spring (Mar-May)</t>
  </si>
  <si>
    <t>LAUNCH dark floral + vintage floral + boho. All peak in spring. List new designs by Feb.</t>
  </si>
  <si>
    <t>Summer (Jun-Aug)</t>
  </si>
  <si>
    <t>PEAK for boho maxi dress (27K in Jul!). Focus on boho, festival-ready celestial. Lightweight cami/slip dresses.</t>
  </si>
  <si>
    <t>Fall (Sep-Nov)</t>
  </si>
  <si>
    <t>Transition to whimsigoth (peaks Oct at 1,300) + cottagecore + mushroom. Warmer fabrics marketing angle.</t>
  </si>
  <si>
    <t>Winter (Dec-Feb)</t>
  </si>
  <si>
    <t>Celestial peaks in Feb (4,400). Dark floral steady. Gift-ready packaging + holiday celestial designs.</t>
  </si>
  <si>
    <t>REVISED AOP DRESS STRATEGY — Google Shopping + Etsy</t>
  </si>
  <si>
    <t>CORRECTED RECOMMENDATION: AOP Dresses ARE viable on Google Shopping with print-driven keywords</t>
  </si>
  <si>
    <t>Priority</t>
  </si>
  <si>
    <t>Dress × Niche Combo</t>
  </si>
  <si>
    <t>Primary Channel</t>
  </si>
  <si>
    <t>Target Keyword (Vol)</t>
  </si>
  <si>
    <t>Yoycol Dress</t>
  </si>
  <si>
    <t>Est. Profit</t>
  </si>
  <si>
    <t>1. LAUNCH</t>
  </si>
  <si>
    <t>Dark Floral × Sleeveless Maxi</t>
  </si>
  <si>
    <t>Google Shopping + Etsy</t>
  </si>
  <si>
    <t>dark floral dress (9,900)</t>
  </si>
  <si>
    <t>Sleeveless Maxi ($11.36)</t>
  </si>
  <si>
    <t>$20.86</t>
  </si>
  <si>
    <t>2. LAUNCH</t>
  </si>
  <si>
    <t>Boho Floral × Maxi Plus Size</t>
  </si>
  <si>
    <t>boho maxi dress (14,800)</t>
  </si>
  <si>
    <t>Maxi Plus Size ($12.54)</t>
  </si>
  <si>
    <t>$22.04</t>
  </si>
  <si>
    <t>3. LAUNCH</t>
  </si>
  <si>
    <t>Celestial × Elegant Long Dress</t>
  </si>
  <si>
    <t>celestial dress (2,900)</t>
  </si>
  <si>
    <t>Elegant Long ($15.87)</t>
  </si>
  <si>
    <t>$25.37</t>
  </si>
  <si>
    <t>4. LAUNCH</t>
  </si>
  <si>
    <t>Cottagecore × Elastic Waist</t>
  </si>
  <si>
    <t>cottagecore dress (6,600)</t>
  </si>
  <si>
    <t>Elastic Waist ($10.78)</t>
  </si>
  <si>
    <t>$20.28</t>
  </si>
  <si>
    <t>5. EXPAND</t>
  </si>
  <si>
    <t>Whimsigoth × V-neck Side Slit</t>
  </si>
  <si>
    <t>whimsigoth dress (880)</t>
  </si>
  <si>
    <t>V-neck Side Slit ($10.97)</t>
  </si>
  <si>
    <t>$20.47</t>
  </si>
  <si>
    <t>6. EXPAND</t>
  </si>
  <si>
    <t>Dark Floral × Sheer Mesh Maxi</t>
  </si>
  <si>
    <t>Sheer Mesh Maxi ($7.25)</t>
  </si>
  <si>
    <t>$16.75</t>
  </si>
  <si>
    <t>7. EXPAND</t>
  </si>
  <si>
    <t>Japanese Art × Kaftan Robe</t>
  </si>
  <si>
    <t>Etsy + Google Shopping</t>
  </si>
  <si>
    <t>japanese print dress (110)</t>
  </si>
  <si>
    <t>Silk Kaftan Robe ($12.34)</t>
  </si>
  <si>
    <t>$21.84</t>
  </si>
  <si>
    <t>8. TEST</t>
  </si>
  <si>
    <t>Mushroom × Ruffle Hem</t>
  </si>
  <si>
    <t>Etsy primary</t>
  </si>
  <si>
    <t>mushroom print dress (140)</t>
  </si>
  <si>
    <t>Ruffle Hem ($14.60)</t>
  </si>
  <si>
    <t>$24.10</t>
  </si>
  <si>
    <t>9. TEST</t>
  </si>
  <si>
    <t>Vintage Floral × Short Sleeve</t>
  </si>
  <si>
    <t>vintage floral dress (1,600)</t>
  </si>
  <si>
    <t>Short Sleeve ($11.46)</t>
  </si>
  <si>
    <t>$20.96</t>
  </si>
  <si>
    <t>10. AVOID</t>
  </si>
  <si>
    <t>Gothic × Any Dress</t>
  </si>
  <si>
    <t>DO NOT TARGET on Google</t>
  </si>
  <si>
    <t>gothic dress (22,200)</t>
  </si>
  <si>
    <t>N/A — wrong product type</t>
  </si>
  <si>
    <t>N/A</t>
  </si>
  <si>
    <t>REVENUE PROJECTION — AOP Dress Line (Conservative)</t>
  </si>
  <si>
    <t>Scenario</t>
  </si>
  <si>
    <t>Listings</t>
  </si>
  <si>
    <t>Sales/Mo/Listing</t>
  </si>
  <si>
    <t>Avg Profit/Unit</t>
  </si>
  <si>
    <t>Monthly Profit</t>
  </si>
  <si>
    <t>Annual Profit</t>
  </si>
  <si>
    <t>Conservative (Month 1-3)</t>
  </si>
  <si>
    <t>$30.00</t>
  </si>
  <si>
    <t>Growth (Month 4-6)</t>
  </si>
  <si>
    <t>Scaled (Month 7-12)</t>
  </si>
  <si>
    <t>$32.00</t>
  </si>
  <si>
    <t>NOTE: These projections are for the dress line ONLY, in addition to the existing AOP hoodie/bomber pipeline. Combined with hoodies, the total revenue opportunity is significantly larger.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</si>
</sst>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0.0%"/>
    <numFmt numFmtId="166" formatCode="\$#,##0"/>
  </numFmts>
  <fonts count="23" x14ac:knownFonts="1">
    <font>
      <sz val="11"/>
      <color theme="1"/>
      <name val="Calibri"/>
      <family val="2"/>
      <charset val="1"/>
    </font>
    <font>
      <b/>
      <sz val="16"/>
      <color rgb="FF2F5496"/>
      <name val="Arial"/>
      <charset val="1"/>
    </font>
    <font>
      <sz val="11"/>
      <color rgb="FF666666"/>
      <name val="Arial"/>
      <charset val="1"/>
    </font>
    <font>
      <b/>
      <sz val="13"/>
      <color rgb="FFFFFFFF"/>
      <name val="Arial"/>
      <charset val="1"/>
    </font>
    <font>
      <sz val="11"/>
      <name val="Arial"/>
      <charset val="1"/>
    </font>
    <font>
      <b/>
      <sz val="11"/>
      <color rgb="FF2F5496"/>
      <name val="Arial"/>
      <charset val="1"/>
    </font>
    <font>
      <b/>
      <sz val="12"/>
      <color rgb="FFFFFFFF"/>
      <name val="Arial"/>
      <charset val="1"/>
    </font>
    <font>
      <sz val="10"/>
      <name val="Arial"/>
      <charset val="1"/>
    </font>
    <font>
      <b/>
      <sz val="10"/>
      <color rgb="FF008000"/>
      <name val="Arial"/>
      <charset val="1"/>
    </font>
    <font>
      <b/>
      <sz val="10"/>
      <color rgb="FFFF8C00"/>
      <name val="Arial"/>
      <charset val="1"/>
    </font>
    <font>
      <sz val="10"/>
      <color rgb="FF008000"/>
      <name val="Arial"/>
      <charset val="1"/>
    </font>
    <font>
      <b/>
      <sz val="12"/>
      <color rgb="FFC62828"/>
      <name val="Arial"/>
      <charset val="1"/>
    </font>
    <font>
      <sz val="10"/>
      <color rgb="FFFF0000"/>
      <name val="Arial"/>
      <charset val="1"/>
    </font>
    <font>
      <b/>
      <sz val="14"/>
      <color rgb="FF2F5496"/>
      <name val="Arial"/>
      <charset val="1"/>
    </font>
    <font>
      <b/>
      <sz val="12"/>
      <color rgb="FF008000"/>
      <name val="Arial"/>
      <charset val="1"/>
    </font>
    <font>
      <sz val="10"/>
      <color rgb="FFFF8C00"/>
      <name val="Arial"/>
      <charset val="1"/>
    </font>
    <font>
      <b/>
      <sz val="12"/>
      <color rgb="FF2F5496"/>
      <name val="Arial"/>
      <charset val="1"/>
    </font>
    <font>
      <b/>
      <sz val="12"/>
      <color rgb="FFFF0000"/>
      <name val="Arial"/>
      <charset val="1"/>
    </font>
    <font>
      <b/>
      <sz val="10"/>
      <name val="Arial"/>
      <charset val="1"/>
    </font>
    <font>
      <b/>
      <sz val="10"/>
      <color rgb="FF2F5496"/>
      <name val="Arial"/>
      <charset val="1"/>
    </font>
    <font>
      <b/>
      <sz val="10"/>
      <color rgb="FFFF0000"/>
      <name val="Arial"/>
      <charset val="1"/>
    </font>
    <font>
      <sz val="10"/>
      <color rgb="FF2F5496"/>
      <name val="Arial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D6E4F0"/>
        <bgColor rgb="FFE8F5E9"/>
      </patternFill>
    </fill>
    <fill>
      <patternFill patternType="solid">
        <fgColor rgb="FF2F5496"/>
        <bgColor rgb="FF0066CC"/>
      </patternFill>
    </fill>
    <fill>
      <patternFill patternType="solid">
        <fgColor rgb="FFE8F5E9"/>
        <bgColor rgb="FFFFF0F0"/>
      </patternFill>
    </fill>
    <fill>
      <patternFill patternType="solid">
        <fgColor rgb="FFFFF2CC"/>
        <bgColor rgb="FFFFF0F0"/>
      </patternFill>
    </fill>
    <fill>
      <patternFill patternType="solid">
        <fgColor rgb="FFFCE4EC"/>
        <bgColor rgb="FFFFF0F0"/>
      </patternFill>
    </fill>
    <fill>
      <patternFill patternType="solid">
        <fgColor rgb="FFFFF0F0"/>
        <bgColor rgb="FFFCE4E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7" fillId="0" borderId="2" xfId="0" applyFont="1" applyBorder="1" applyAlignment="1">
      <alignment vertical="top" wrapText="1"/>
    </xf>
    <xf numFmtId="0" fontId="12" fillId="8" borderId="0" xfId="0" applyFont="1" applyFill="1" applyBorder="1"/>
    <xf numFmtId="0" fontId="17" fillId="7" borderId="0" xfId="0" applyFont="1" applyFill="1" applyBorder="1"/>
    <xf numFmtId="0" fontId="9" fillId="0" borderId="0" xfId="0" applyFont="1" applyBorder="1"/>
    <xf numFmtId="0" fontId="16" fillId="3" borderId="0" xfId="0" applyFont="1" applyFill="1" applyBorder="1"/>
    <xf numFmtId="0" fontId="8" fillId="5" borderId="0" xfId="0" applyFont="1" applyFill="1" applyBorder="1"/>
    <xf numFmtId="0" fontId="14" fillId="5" borderId="0" xfId="0" applyFont="1" applyFill="1" applyBorder="1"/>
    <xf numFmtId="0" fontId="13" fillId="0" borderId="0" xfId="0" applyFont="1" applyBorder="1"/>
    <xf numFmtId="0" fontId="11" fillId="7" borderId="0" xfId="0" applyFont="1" applyFill="1" applyBorder="1"/>
    <xf numFmtId="0" fontId="5" fillId="3" borderId="0" xfId="0" applyFont="1" applyFill="1" applyBorder="1"/>
    <xf numFmtId="0" fontId="4" fillId="0" borderId="0" xfId="0" applyFont="1" applyBorder="1"/>
    <xf numFmtId="0" fontId="3" fillId="2" borderId="0" xfId="0" applyFont="1" applyFill="1" applyBorder="1"/>
    <xf numFmtId="0" fontId="2" fillId="0" borderId="0" xfId="0" applyFont="1" applyBorder="1"/>
    <xf numFmtId="0" fontId="1" fillId="0" borderId="0" xfId="0" applyFont="1" applyBorder="1"/>
    <xf numFmtId="0" fontId="6" fillId="4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vertical="top" wrapText="1"/>
    </xf>
    <xf numFmtId="3" fontId="8" fillId="0" borderId="1" xfId="0" applyNumberFormat="1" applyFont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3" fontId="7" fillId="0" borderId="1" xfId="0" applyNumberFormat="1" applyFont="1" applyBorder="1" applyAlignment="1">
      <alignment vertical="top" wrapText="1"/>
    </xf>
    <xf numFmtId="0" fontId="9" fillId="6" borderId="1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0" fillId="5" borderId="1" xfId="0" applyFont="1" applyFill="1" applyBorder="1" applyAlignment="1">
      <alignment vertical="top" wrapText="1"/>
    </xf>
    <xf numFmtId="0" fontId="12" fillId="7" borderId="1" xfId="0" applyFont="1" applyFill="1" applyBorder="1" applyAlignment="1">
      <alignment vertical="top" wrapText="1"/>
    </xf>
    <xf numFmtId="0" fontId="15" fillId="6" borderId="1" xfId="0" applyFont="1" applyFill="1" applyBorder="1" applyAlignment="1">
      <alignment vertical="top" wrapText="1"/>
    </xf>
    <xf numFmtId="164" fontId="7" fillId="0" borderId="1" xfId="0" applyNumberFormat="1" applyFont="1" applyBorder="1" applyAlignment="1">
      <alignment vertical="top" wrapText="1"/>
    </xf>
    <xf numFmtId="165" fontId="7" fillId="0" borderId="1" xfId="0" applyNumberFormat="1" applyFont="1" applyBorder="1" applyAlignment="1">
      <alignment vertical="top" wrapText="1"/>
    </xf>
    <xf numFmtId="3" fontId="10" fillId="0" borderId="1" xfId="0" applyNumberFormat="1" applyFont="1" applyBorder="1" applyAlignment="1">
      <alignment vertical="top" wrapText="1"/>
    </xf>
    <xf numFmtId="0" fontId="18" fillId="0" borderId="1" xfId="0" applyFont="1" applyBorder="1" applyAlignment="1">
      <alignment vertical="top" wrapText="1"/>
    </xf>
    <xf numFmtId="0" fontId="19" fillId="0" borderId="1" xfId="0" applyFont="1" applyBorder="1" applyAlignment="1">
      <alignment vertical="top" wrapText="1"/>
    </xf>
    <xf numFmtId="0" fontId="20" fillId="7" borderId="1" xfId="0" applyFont="1" applyFill="1" applyBorder="1" applyAlignment="1">
      <alignment vertical="top" wrapText="1"/>
    </xf>
    <xf numFmtId="166" fontId="7" fillId="0" borderId="1" xfId="0" applyNumberFormat="1" applyFont="1" applyBorder="1" applyAlignment="1">
      <alignment vertical="top" wrapText="1"/>
    </xf>
    <xf numFmtId="0" fontId="6" fillId="2" borderId="0" xfId="0" applyFont="1" applyFill="1" applyBorder="1"/>
    <xf numFmtId="0" fontId="21" fillId="0" borderId="0" xfId="0" applyFont="1" applyBorder="1"/>
    <xf numFmtId="0" fontId="2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0F0"/>
      <rgbColor rgb="FFCCFFCC"/>
      <rgbColor rgb="FFFFFF99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8C00"/>
      <rgbColor rgb="FFFF6600"/>
      <rgbColor rgb="FF666666"/>
      <rgbColor rgb="FF969696"/>
      <rgbColor rgb="FF003366"/>
      <rgbColor rgb="FF2E7D32"/>
      <rgbColor rgb="FF003300"/>
      <rgbColor rgb="FF333300"/>
      <rgbColor rgb="FFC62828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zoomScaleNormal="100" workbookViewId="0">
      <selection activeCell="A15" sqref="A15"/>
    </sheetView>
  </sheetViews>
  <sheetFormatPr defaultColWidth="8.6640625" defaultRowHeight="15" customHeight="1" x14ac:dyDescent="0.3"/>
  <cols>
    <col min="1" max="1" width="22" customWidth="1"/>
    <col min="2" max="2" width="35" customWidth="1"/>
    <col min="3" max="3" width="40" customWidth="1"/>
    <col min="4" max="4" width="30" customWidth="1"/>
    <col min="5" max="5" width="22" customWidth="1"/>
    <col min="6" max="6" width="28" customWidth="1"/>
    <col min="7" max="7" width="22" customWidth="1"/>
  </cols>
  <sheetData>
    <row r="1" spans="1:7" ht="21" x14ac:dyDescent="0.4">
      <c r="A1" s="14" t="s">
        <v>0</v>
      </c>
      <c r="B1" s="14"/>
      <c r="C1" s="14"/>
      <c r="D1" s="14"/>
      <c r="E1" s="14"/>
      <c r="F1" s="14"/>
      <c r="G1" s="14"/>
    </row>
    <row r="2" spans="1:7" ht="14.4" x14ac:dyDescent="0.3">
      <c r="A2" s="13" t="s">
        <v>1</v>
      </c>
      <c r="B2" s="13"/>
      <c r="C2" s="13"/>
      <c r="D2" s="13"/>
      <c r="E2" s="13"/>
      <c r="F2" s="13"/>
      <c r="G2" s="13"/>
    </row>
    <row r="4" spans="1:7" ht="16.8" x14ac:dyDescent="0.3">
      <c r="A4" s="12" t="s">
        <v>2</v>
      </c>
      <c r="B4" s="12"/>
      <c r="C4" s="12"/>
      <c r="D4" s="12"/>
      <c r="E4" s="12"/>
      <c r="F4" s="12"/>
      <c r="G4" s="12"/>
    </row>
    <row r="5" spans="1:7" ht="54.75" customHeight="1" x14ac:dyDescent="0.3">
      <c r="A5" s="11" t="s">
        <v>3</v>
      </c>
      <c r="B5" s="11"/>
      <c r="C5" s="11"/>
      <c r="D5" s="11"/>
      <c r="E5" s="11"/>
      <c r="F5" s="11"/>
      <c r="G5" s="11"/>
    </row>
    <row r="7" spans="1:7" ht="14.4" x14ac:dyDescent="0.3">
      <c r="A7" s="10" t="s">
        <v>4</v>
      </c>
      <c r="B7" s="10"/>
      <c r="C7" s="10"/>
      <c r="D7" s="10"/>
      <c r="E7" s="10"/>
      <c r="F7" s="10"/>
      <c r="G7" s="10"/>
    </row>
    <row r="8" spans="1:7" ht="31.2" x14ac:dyDescent="0.3">
      <c r="A8" s="15" t="s">
        <v>5</v>
      </c>
      <c r="B8" s="15" t="s">
        <v>6</v>
      </c>
      <c r="C8" s="15" t="s">
        <v>7</v>
      </c>
      <c r="D8" s="15" t="s">
        <v>8</v>
      </c>
      <c r="E8" s="15" t="s">
        <v>9</v>
      </c>
      <c r="F8" s="15" t="s">
        <v>10</v>
      </c>
      <c r="G8" s="15" t="s">
        <v>11</v>
      </c>
    </row>
    <row r="9" spans="1:7" ht="27.75" customHeight="1" x14ac:dyDescent="0.3">
      <c r="A9" s="16" t="s">
        <v>12</v>
      </c>
      <c r="B9" s="17">
        <v>14800</v>
      </c>
      <c r="C9" s="16">
        <v>0.34</v>
      </c>
      <c r="D9" s="16" t="s">
        <v>13</v>
      </c>
      <c r="E9" s="16" t="s">
        <v>14</v>
      </c>
      <c r="F9" s="18" t="s">
        <v>15</v>
      </c>
      <c r="G9" s="16">
        <f>SUM(B9:B11)</f>
        <v>31300</v>
      </c>
    </row>
    <row r="10" spans="1:7" ht="27.75" customHeight="1" x14ac:dyDescent="0.3">
      <c r="A10" s="16" t="s">
        <v>16</v>
      </c>
      <c r="B10" s="17">
        <v>9900</v>
      </c>
      <c r="C10" s="16">
        <v>0.35</v>
      </c>
      <c r="D10" s="16" t="s">
        <v>13</v>
      </c>
      <c r="E10" s="16" t="s">
        <v>17</v>
      </c>
      <c r="F10" s="18" t="s">
        <v>15</v>
      </c>
      <c r="G10" s="16"/>
    </row>
    <row r="11" spans="1:7" ht="27.75" customHeight="1" x14ac:dyDescent="0.3">
      <c r="A11" s="16" t="s">
        <v>18</v>
      </c>
      <c r="B11" s="17">
        <v>6600</v>
      </c>
      <c r="C11" s="16">
        <v>0.28000000000000003</v>
      </c>
      <c r="D11" s="16" t="s">
        <v>13</v>
      </c>
      <c r="E11" s="16" t="s">
        <v>19</v>
      </c>
      <c r="F11" s="18" t="s">
        <v>15</v>
      </c>
      <c r="G11" s="16">
        <f>SUM(B11:B13)</f>
        <v>11100</v>
      </c>
    </row>
    <row r="12" spans="1:7" ht="27.75" customHeight="1" x14ac:dyDescent="0.3">
      <c r="A12" s="16" t="s">
        <v>20</v>
      </c>
      <c r="B12" s="17">
        <v>2900</v>
      </c>
      <c r="C12" s="16">
        <v>0.45</v>
      </c>
      <c r="D12" s="16" t="s">
        <v>13</v>
      </c>
      <c r="E12" s="16" t="s">
        <v>21</v>
      </c>
      <c r="F12" s="18" t="s">
        <v>15</v>
      </c>
      <c r="G12" s="16"/>
    </row>
    <row r="13" spans="1:7" ht="27.75" customHeight="1" x14ac:dyDescent="0.3">
      <c r="A13" s="16" t="s">
        <v>22</v>
      </c>
      <c r="B13" s="19">
        <v>1600</v>
      </c>
      <c r="C13" s="16">
        <v>0.33</v>
      </c>
      <c r="D13" s="16" t="s">
        <v>13</v>
      </c>
      <c r="E13" s="16" t="s">
        <v>23</v>
      </c>
      <c r="F13" s="20" t="s">
        <v>24</v>
      </c>
      <c r="G13" s="16"/>
    </row>
    <row r="14" spans="1:7" ht="27.75" customHeight="1" x14ac:dyDescent="0.3">
      <c r="A14" s="16" t="s">
        <v>25</v>
      </c>
      <c r="B14" s="19">
        <v>880</v>
      </c>
      <c r="C14" s="16">
        <v>0.28000000000000003</v>
      </c>
      <c r="D14" s="16" t="s">
        <v>13</v>
      </c>
      <c r="E14" s="16" t="s">
        <v>26</v>
      </c>
      <c r="F14" s="18" t="s">
        <v>27</v>
      </c>
      <c r="G14" s="16"/>
    </row>
    <row r="15" spans="1:7" ht="27.75" customHeight="1" x14ac:dyDescent="0.3">
      <c r="A15" s="16" t="s">
        <v>28</v>
      </c>
      <c r="B15" s="19">
        <v>480</v>
      </c>
      <c r="C15" s="16">
        <v>0.66</v>
      </c>
      <c r="D15" s="16" t="s">
        <v>13</v>
      </c>
      <c r="E15" s="16" t="s">
        <v>29</v>
      </c>
      <c r="F15" s="18" t="s">
        <v>15</v>
      </c>
      <c r="G15" s="16"/>
    </row>
    <row r="16" spans="1:7" ht="27.75" customHeight="1" x14ac:dyDescent="0.3">
      <c r="A16" s="16" t="s">
        <v>30</v>
      </c>
      <c r="B16" s="19">
        <v>390</v>
      </c>
      <c r="C16" s="16">
        <v>0.49</v>
      </c>
      <c r="D16" s="16" t="s">
        <v>13</v>
      </c>
      <c r="E16" s="16" t="s">
        <v>31</v>
      </c>
      <c r="F16" s="20" t="s">
        <v>24</v>
      </c>
      <c r="G16" s="16"/>
    </row>
    <row r="17" spans="1:7" ht="27.75" customHeight="1" x14ac:dyDescent="0.3">
      <c r="A17" s="16" t="s">
        <v>32</v>
      </c>
      <c r="B17" s="19">
        <v>210</v>
      </c>
      <c r="C17" s="16">
        <v>0.38</v>
      </c>
      <c r="D17" s="16" t="s">
        <v>33</v>
      </c>
      <c r="E17" s="16" t="s">
        <v>34</v>
      </c>
      <c r="F17" s="16" t="s">
        <v>35</v>
      </c>
      <c r="G17" s="16"/>
    </row>
    <row r="18" spans="1:7" ht="27.75" customHeight="1" x14ac:dyDescent="0.3">
      <c r="A18" s="16" t="s">
        <v>36</v>
      </c>
      <c r="B18" s="19">
        <v>170</v>
      </c>
      <c r="C18" s="16">
        <v>0</v>
      </c>
      <c r="D18" s="16" t="s">
        <v>13</v>
      </c>
      <c r="E18" s="16" t="s">
        <v>34</v>
      </c>
      <c r="F18" s="16" t="s">
        <v>35</v>
      </c>
      <c r="G18" s="16"/>
    </row>
    <row r="19" spans="1:7" ht="27.75" customHeight="1" x14ac:dyDescent="0.3">
      <c r="A19" s="16" t="s">
        <v>37</v>
      </c>
      <c r="B19" s="19">
        <v>140</v>
      </c>
      <c r="C19" s="16">
        <v>0.54</v>
      </c>
      <c r="D19" s="16" t="s">
        <v>13</v>
      </c>
      <c r="E19" s="16" t="s">
        <v>38</v>
      </c>
      <c r="F19" s="21" t="s">
        <v>39</v>
      </c>
      <c r="G19" s="16"/>
    </row>
    <row r="20" spans="1:7" ht="27.75" customHeight="1" x14ac:dyDescent="0.3">
      <c r="A20" s="16" t="s">
        <v>40</v>
      </c>
      <c r="B20" s="19">
        <v>110</v>
      </c>
      <c r="C20" s="16">
        <v>0.43</v>
      </c>
      <c r="D20" s="16" t="s">
        <v>13</v>
      </c>
      <c r="E20" s="16" t="s">
        <v>34</v>
      </c>
      <c r="F20" s="16" t="s">
        <v>35</v>
      </c>
      <c r="G20" s="16"/>
    </row>
    <row r="21" spans="1:7" ht="27.75" customHeight="1" x14ac:dyDescent="0.3">
      <c r="A21" s="16" t="s">
        <v>41</v>
      </c>
      <c r="B21" s="19">
        <v>110</v>
      </c>
      <c r="C21" s="16">
        <v>0</v>
      </c>
      <c r="D21" s="16" t="s">
        <v>13</v>
      </c>
      <c r="E21" s="16" t="s">
        <v>42</v>
      </c>
      <c r="F21" s="21" t="s">
        <v>39</v>
      </c>
      <c r="G21" s="16"/>
    </row>
    <row r="22" spans="1:7" ht="27.75" customHeight="1" x14ac:dyDescent="0.3">
      <c r="A22" s="16" t="s">
        <v>43</v>
      </c>
      <c r="B22" s="19">
        <v>90</v>
      </c>
      <c r="C22" s="16">
        <v>0.39</v>
      </c>
      <c r="D22" s="16" t="s">
        <v>13</v>
      </c>
      <c r="E22" s="16" t="s">
        <v>44</v>
      </c>
      <c r="F22" s="16" t="s">
        <v>35</v>
      </c>
      <c r="G22" s="16"/>
    </row>
    <row r="23" spans="1:7" ht="27.75" customHeight="1" x14ac:dyDescent="0.3">
      <c r="A23" s="22" t="s">
        <v>45</v>
      </c>
      <c r="B23" s="22"/>
      <c r="C23" s="22"/>
      <c r="D23" s="22"/>
      <c r="E23" s="22"/>
      <c r="F23" s="22"/>
      <c r="G23" s="22">
        <f>SUM(B9:B22)</f>
        <v>38380</v>
      </c>
    </row>
    <row r="25" spans="1:7" ht="15.6" x14ac:dyDescent="0.3">
      <c r="A25" s="9" t="s">
        <v>46</v>
      </c>
      <c r="B25" s="9"/>
      <c r="C25" s="9"/>
      <c r="D25" s="9"/>
      <c r="E25" s="9"/>
      <c r="F25" s="9"/>
      <c r="G25" s="9"/>
    </row>
    <row r="26" spans="1:7" ht="31.2" x14ac:dyDescent="0.3">
      <c r="A26" s="15" t="s">
        <v>47</v>
      </c>
      <c r="B26" s="15" t="s">
        <v>48</v>
      </c>
      <c r="C26" s="15" t="s">
        <v>49</v>
      </c>
      <c r="D26" s="15" t="s">
        <v>50</v>
      </c>
    </row>
    <row r="27" spans="1:7" ht="49.5" customHeight="1" x14ac:dyDescent="0.3">
      <c r="A27" s="16" t="s">
        <v>51</v>
      </c>
      <c r="B27" s="23" t="s">
        <v>52</v>
      </c>
      <c r="C27" s="21" t="s">
        <v>53</v>
      </c>
      <c r="D27" s="16" t="s">
        <v>54</v>
      </c>
    </row>
    <row r="28" spans="1:7" ht="49.5" customHeight="1" x14ac:dyDescent="0.3">
      <c r="A28" s="16" t="s">
        <v>55</v>
      </c>
      <c r="B28" s="23" t="s">
        <v>56</v>
      </c>
      <c r="C28" s="21" t="s">
        <v>57</v>
      </c>
      <c r="D28" s="16" t="s">
        <v>58</v>
      </c>
    </row>
    <row r="29" spans="1:7" ht="49.5" customHeight="1" x14ac:dyDescent="0.3">
      <c r="A29" s="16" t="s">
        <v>59</v>
      </c>
      <c r="B29" s="23" t="s">
        <v>60</v>
      </c>
      <c r="C29" s="21" t="s">
        <v>61</v>
      </c>
      <c r="D29" s="16" t="s">
        <v>62</v>
      </c>
    </row>
    <row r="30" spans="1:7" ht="49.5" customHeight="1" x14ac:dyDescent="0.3">
      <c r="A30" s="16" t="s">
        <v>63</v>
      </c>
      <c r="B30" s="23" t="s">
        <v>64</v>
      </c>
      <c r="C30" s="21" t="s">
        <v>65</v>
      </c>
      <c r="D30" s="16" t="s">
        <v>66</v>
      </c>
    </row>
    <row r="31" spans="1:7" ht="49.5" customHeight="1" x14ac:dyDescent="0.3">
      <c r="A31" s="16" t="s">
        <v>67</v>
      </c>
      <c r="B31" s="23" t="s">
        <v>68</v>
      </c>
      <c r="C31" s="21" t="s">
        <v>69</v>
      </c>
      <c r="D31" s="16" t="s">
        <v>70</v>
      </c>
    </row>
  </sheetData>
  <mergeCells count="6">
    <mergeCell ref="A25:G25"/>
    <mergeCell ref="A1:G1"/>
    <mergeCell ref="A2:G2"/>
    <mergeCell ref="A4:G4"/>
    <mergeCell ref="A5:G5"/>
    <mergeCell ref="A7:G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3"/>
  <sheetViews>
    <sheetView zoomScaleNormal="100" workbookViewId="0">
      <selection activeCell="A22" sqref="A22"/>
    </sheetView>
  </sheetViews>
  <sheetFormatPr defaultColWidth="8.6640625" defaultRowHeight="15" customHeight="1" x14ac:dyDescent="0.3"/>
  <cols>
    <col min="1" max="1" width="38" customWidth="1"/>
    <col min="2" max="3" width="14" customWidth="1"/>
    <col min="4" max="4" width="18" customWidth="1"/>
    <col min="5" max="5" width="28" customWidth="1"/>
    <col min="6" max="6" width="30" customWidth="1"/>
    <col min="7" max="7" width="18" customWidth="1"/>
  </cols>
  <sheetData>
    <row r="1" spans="1:7" ht="17.399999999999999" x14ac:dyDescent="0.3">
      <c r="A1" s="8" t="s">
        <v>71</v>
      </c>
      <c r="B1" s="8"/>
      <c r="C1" s="8"/>
      <c r="D1" s="8"/>
      <c r="E1" s="8"/>
      <c r="F1" s="8"/>
      <c r="G1" s="8"/>
    </row>
    <row r="3" spans="1:7" ht="15.6" x14ac:dyDescent="0.3">
      <c r="A3" s="7" t="s">
        <v>72</v>
      </c>
      <c r="B3" s="7"/>
      <c r="C3" s="7"/>
      <c r="D3" s="7"/>
      <c r="E3" s="7"/>
      <c r="F3" s="7"/>
      <c r="G3" s="7"/>
    </row>
    <row r="4" spans="1:7" ht="15.6" x14ac:dyDescent="0.3">
      <c r="A4" s="15" t="s">
        <v>73</v>
      </c>
      <c r="B4" s="15" t="s">
        <v>74</v>
      </c>
      <c r="C4" s="15" t="s">
        <v>75</v>
      </c>
      <c r="D4" s="15" t="s">
        <v>76</v>
      </c>
      <c r="E4" s="15" t="s">
        <v>77</v>
      </c>
      <c r="F4" s="15" t="s">
        <v>78</v>
      </c>
    </row>
    <row r="5" spans="1:7" ht="14.4" x14ac:dyDescent="0.3">
      <c r="A5" s="16" t="s">
        <v>79</v>
      </c>
      <c r="B5" s="16" t="s">
        <v>80</v>
      </c>
      <c r="C5" s="16" t="s">
        <v>81</v>
      </c>
      <c r="D5" s="16" t="s">
        <v>82</v>
      </c>
      <c r="E5" s="16" t="s">
        <v>83</v>
      </c>
      <c r="F5" s="24" t="s">
        <v>84</v>
      </c>
    </row>
    <row r="6" spans="1:7" ht="14.4" x14ac:dyDescent="0.3">
      <c r="A6" s="16" t="s">
        <v>85</v>
      </c>
      <c r="B6" s="16" t="s">
        <v>86</v>
      </c>
      <c r="C6" s="16" t="s">
        <v>87</v>
      </c>
      <c r="D6" s="16" t="s">
        <v>88</v>
      </c>
      <c r="E6" s="16" t="s">
        <v>89</v>
      </c>
      <c r="F6" s="24" t="s">
        <v>90</v>
      </c>
    </row>
    <row r="7" spans="1:7" ht="14.4" x14ac:dyDescent="0.3">
      <c r="A7" s="16" t="s">
        <v>91</v>
      </c>
      <c r="B7" s="16" t="s">
        <v>92</v>
      </c>
      <c r="C7" s="16" t="s">
        <v>93</v>
      </c>
      <c r="D7" s="16" t="s">
        <v>94</v>
      </c>
      <c r="E7" s="16" t="s">
        <v>95</v>
      </c>
      <c r="F7" s="24" t="s">
        <v>96</v>
      </c>
    </row>
    <row r="8" spans="1:7" ht="14.4" x14ac:dyDescent="0.3">
      <c r="A8" s="16" t="s">
        <v>97</v>
      </c>
      <c r="B8" s="16" t="s">
        <v>98</v>
      </c>
      <c r="C8" s="16" t="s">
        <v>99</v>
      </c>
      <c r="D8" s="16" t="s">
        <v>82</v>
      </c>
      <c r="E8" s="16" t="s">
        <v>100</v>
      </c>
      <c r="F8" s="25" t="s">
        <v>101</v>
      </c>
    </row>
    <row r="9" spans="1:7" ht="14.4" x14ac:dyDescent="0.3">
      <c r="A9" s="16" t="s">
        <v>102</v>
      </c>
      <c r="B9" s="16" t="s">
        <v>103</v>
      </c>
      <c r="C9" s="16" t="s">
        <v>104</v>
      </c>
      <c r="D9" s="16" t="s">
        <v>105</v>
      </c>
      <c r="E9" s="16" t="s">
        <v>106</v>
      </c>
      <c r="F9" s="24" t="s">
        <v>107</v>
      </c>
    </row>
    <row r="10" spans="1:7" ht="14.4" x14ac:dyDescent="0.3">
      <c r="A10" s="16" t="s">
        <v>108</v>
      </c>
      <c r="B10" s="16" t="s">
        <v>109</v>
      </c>
      <c r="C10" s="16" t="s">
        <v>110</v>
      </c>
      <c r="D10" s="16" t="s">
        <v>111</v>
      </c>
      <c r="E10" s="16" t="s">
        <v>95</v>
      </c>
      <c r="F10" s="24" t="s">
        <v>112</v>
      </c>
    </row>
    <row r="11" spans="1:7" ht="14.4" x14ac:dyDescent="0.3">
      <c r="A11" s="16" t="s">
        <v>113</v>
      </c>
      <c r="B11" s="16" t="s">
        <v>114</v>
      </c>
      <c r="C11" s="16" t="s">
        <v>115</v>
      </c>
      <c r="D11" s="16" t="s">
        <v>111</v>
      </c>
      <c r="E11" s="16" t="s">
        <v>116</v>
      </c>
      <c r="F11" s="24" t="s">
        <v>117</v>
      </c>
    </row>
    <row r="12" spans="1:7" ht="14.4" x14ac:dyDescent="0.3">
      <c r="A12" s="16" t="s">
        <v>118</v>
      </c>
      <c r="B12" s="16" t="s">
        <v>119</v>
      </c>
      <c r="C12" s="16" t="s">
        <v>120</v>
      </c>
      <c r="D12" s="16" t="s">
        <v>111</v>
      </c>
      <c r="E12" s="16" t="s">
        <v>121</v>
      </c>
      <c r="F12" s="24" t="s">
        <v>122</v>
      </c>
    </row>
    <row r="14" spans="1:7" ht="30" customHeight="1" x14ac:dyDescent="0.3">
      <c r="A14" s="6" t="s">
        <v>123</v>
      </c>
      <c r="B14" s="6"/>
      <c r="C14" s="6"/>
      <c r="D14" s="6"/>
      <c r="E14" s="6"/>
      <c r="F14" s="6"/>
      <c r="G14" s="6"/>
    </row>
    <row r="16" spans="1:7" ht="15.6" x14ac:dyDescent="0.3">
      <c r="A16" s="7" t="s">
        <v>124</v>
      </c>
      <c r="B16" s="7"/>
      <c r="C16" s="7"/>
      <c r="D16" s="7"/>
      <c r="E16" s="7"/>
      <c r="F16" s="7"/>
      <c r="G16" s="7"/>
    </row>
    <row r="17" spans="1:7" ht="15.6" x14ac:dyDescent="0.3">
      <c r="A17" s="15" t="s">
        <v>73</v>
      </c>
      <c r="B17" s="15" t="s">
        <v>74</v>
      </c>
      <c r="C17" s="15" t="s">
        <v>75</v>
      </c>
      <c r="D17" s="15" t="s">
        <v>76</v>
      </c>
      <c r="E17" s="15" t="s">
        <v>77</v>
      </c>
      <c r="F17" s="15" t="s">
        <v>78</v>
      </c>
    </row>
    <row r="18" spans="1:7" ht="26.4" x14ac:dyDescent="0.3">
      <c r="A18" s="16" t="s">
        <v>125</v>
      </c>
      <c r="B18" s="16" t="s">
        <v>126</v>
      </c>
      <c r="C18" s="16" t="s">
        <v>127</v>
      </c>
      <c r="D18" s="16" t="s">
        <v>128</v>
      </c>
      <c r="E18" s="16" t="s">
        <v>129</v>
      </c>
      <c r="F18" s="24" t="s">
        <v>130</v>
      </c>
    </row>
    <row r="19" spans="1:7" ht="14.4" x14ac:dyDescent="0.3">
      <c r="A19" s="16" t="s">
        <v>131</v>
      </c>
      <c r="B19" s="16" t="s">
        <v>132</v>
      </c>
      <c r="C19" s="16" t="s">
        <v>133</v>
      </c>
      <c r="D19" s="16" t="s">
        <v>128</v>
      </c>
      <c r="E19" s="16" t="s">
        <v>134</v>
      </c>
      <c r="F19" s="24" t="s">
        <v>135</v>
      </c>
    </row>
    <row r="20" spans="1:7" ht="14.4" x14ac:dyDescent="0.3">
      <c r="A20" s="16" t="s">
        <v>136</v>
      </c>
      <c r="B20" s="16" t="s">
        <v>137</v>
      </c>
      <c r="C20" s="16" t="s">
        <v>138</v>
      </c>
      <c r="D20" s="16" t="s">
        <v>128</v>
      </c>
      <c r="E20" s="16" t="s">
        <v>139</v>
      </c>
      <c r="F20" s="24" t="s">
        <v>135</v>
      </c>
    </row>
    <row r="21" spans="1:7" ht="14.4" x14ac:dyDescent="0.3">
      <c r="A21" s="16" t="s">
        <v>140</v>
      </c>
      <c r="B21" s="16" t="s">
        <v>141</v>
      </c>
      <c r="C21" s="16" t="s">
        <v>142</v>
      </c>
      <c r="D21" s="16" t="s">
        <v>143</v>
      </c>
      <c r="E21" s="16" t="s">
        <v>144</v>
      </c>
      <c r="F21" s="24" t="s">
        <v>145</v>
      </c>
    </row>
    <row r="22" spans="1:7" ht="14.4" x14ac:dyDescent="0.3">
      <c r="A22" s="16" t="s">
        <v>146</v>
      </c>
      <c r="B22" s="16" t="s">
        <v>147</v>
      </c>
      <c r="C22" s="16" t="s">
        <v>148</v>
      </c>
      <c r="D22" s="16" t="s">
        <v>149</v>
      </c>
      <c r="E22" s="16" t="s">
        <v>150</v>
      </c>
      <c r="F22" s="25" t="s">
        <v>151</v>
      </c>
    </row>
    <row r="23" spans="1:7" ht="14.4" x14ac:dyDescent="0.3">
      <c r="A23" s="16" t="s">
        <v>152</v>
      </c>
      <c r="B23" s="16" t="s">
        <v>153</v>
      </c>
      <c r="C23" s="16" t="s">
        <v>154</v>
      </c>
      <c r="D23" s="16" t="s">
        <v>155</v>
      </c>
      <c r="E23" s="16" t="s">
        <v>156</v>
      </c>
      <c r="F23" s="25" t="s">
        <v>157</v>
      </c>
    </row>
    <row r="25" spans="1:7" ht="34.5" customHeight="1" x14ac:dyDescent="0.3">
      <c r="A25" s="6" t="s">
        <v>158</v>
      </c>
      <c r="B25" s="6"/>
      <c r="C25" s="6"/>
      <c r="D25" s="6"/>
      <c r="E25" s="6"/>
      <c r="F25" s="6"/>
      <c r="G25" s="6"/>
    </row>
    <row r="27" spans="1:7" ht="15.6" x14ac:dyDescent="0.3">
      <c r="A27" s="7" t="s">
        <v>159</v>
      </c>
      <c r="B27" s="7"/>
      <c r="C27" s="7"/>
      <c r="D27" s="7"/>
      <c r="E27" s="7"/>
      <c r="F27" s="7"/>
      <c r="G27" s="7"/>
    </row>
    <row r="28" spans="1:7" ht="15.6" x14ac:dyDescent="0.3">
      <c r="A28" s="15" t="s">
        <v>73</v>
      </c>
      <c r="B28" s="15" t="s">
        <v>74</v>
      </c>
      <c r="C28" s="15" t="s">
        <v>75</v>
      </c>
      <c r="D28" s="15" t="s">
        <v>76</v>
      </c>
      <c r="E28" s="15" t="s">
        <v>77</v>
      </c>
      <c r="F28" s="15" t="s">
        <v>78</v>
      </c>
    </row>
    <row r="29" spans="1:7" ht="26.4" x14ac:dyDescent="0.3">
      <c r="A29" s="16" t="s">
        <v>160</v>
      </c>
      <c r="B29" s="16" t="s">
        <v>161</v>
      </c>
      <c r="C29" s="16" t="s">
        <v>162</v>
      </c>
      <c r="D29" s="16" t="s">
        <v>163</v>
      </c>
      <c r="E29" s="16" t="s">
        <v>95</v>
      </c>
      <c r="F29" s="24" t="s">
        <v>164</v>
      </c>
    </row>
    <row r="30" spans="1:7" ht="14.4" x14ac:dyDescent="0.3">
      <c r="A30" s="16" t="s">
        <v>165</v>
      </c>
      <c r="B30" s="16" t="s">
        <v>166</v>
      </c>
      <c r="C30" s="16" t="s">
        <v>167</v>
      </c>
      <c r="D30" s="16" t="s">
        <v>111</v>
      </c>
      <c r="E30" s="16" t="s">
        <v>168</v>
      </c>
      <c r="F30" s="24" t="s">
        <v>169</v>
      </c>
    </row>
    <row r="31" spans="1:7" ht="14.4" x14ac:dyDescent="0.3">
      <c r="A31" s="16" t="s">
        <v>170</v>
      </c>
      <c r="B31" s="16" t="s">
        <v>171</v>
      </c>
      <c r="C31" s="16" t="s">
        <v>172</v>
      </c>
      <c r="D31" s="16" t="s">
        <v>111</v>
      </c>
      <c r="E31" s="16" t="s">
        <v>173</v>
      </c>
      <c r="F31" s="24" t="s">
        <v>174</v>
      </c>
    </row>
    <row r="32" spans="1:7" ht="14.4" x14ac:dyDescent="0.3">
      <c r="A32" s="16" t="s">
        <v>175</v>
      </c>
      <c r="B32" s="16" t="s">
        <v>176</v>
      </c>
      <c r="C32" s="16" t="s">
        <v>177</v>
      </c>
      <c r="D32" s="16" t="s">
        <v>111</v>
      </c>
      <c r="E32" s="16" t="s">
        <v>178</v>
      </c>
      <c r="F32" s="24" t="s">
        <v>174</v>
      </c>
    </row>
    <row r="33" spans="1:7" ht="26.4" x14ac:dyDescent="0.3">
      <c r="A33" s="16" t="s">
        <v>179</v>
      </c>
      <c r="B33" s="16" t="s">
        <v>180</v>
      </c>
      <c r="C33" s="16" t="s">
        <v>181</v>
      </c>
      <c r="D33" s="16" t="s">
        <v>111</v>
      </c>
      <c r="E33" s="16" t="s">
        <v>182</v>
      </c>
      <c r="F33" s="24" t="s">
        <v>183</v>
      </c>
    </row>
    <row r="34" spans="1:7" ht="26.4" x14ac:dyDescent="0.3">
      <c r="A34" s="16" t="s">
        <v>184</v>
      </c>
      <c r="B34" s="16" t="s">
        <v>185</v>
      </c>
      <c r="C34" s="16" t="s">
        <v>186</v>
      </c>
      <c r="D34" s="16" t="s">
        <v>111</v>
      </c>
      <c r="E34" s="16" t="s">
        <v>187</v>
      </c>
      <c r="F34" s="24" t="s">
        <v>188</v>
      </c>
    </row>
    <row r="35" spans="1:7" ht="14.4" x14ac:dyDescent="0.3">
      <c r="A35" s="16" t="s">
        <v>189</v>
      </c>
      <c r="B35" s="16" t="s">
        <v>190</v>
      </c>
      <c r="C35" s="16" t="s">
        <v>191</v>
      </c>
      <c r="D35" s="16" t="s">
        <v>111</v>
      </c>
      <c r="E35" s="16" t="s">
        <v>192</v>
      </c>
      <c r="F35" s="24" t="s">
        <v>174</v>
      </c>
    </row>
    <row r="36" spans="1:7" ht="14.4" x14ac:dyDescent="0.3">
      <c r="A36" s="16" t="s">
        <v>193</v>
      </c>
      <c r="B36" s="16" t="s">
        <v>194</v>
      </c>
      <c r="C36" s="16" t="s">
        <v>195</v>
      </c>
      <c r="D36" s="16" t="s">
        <v>196</v>
      </c>
      <c r="E36" s="16" t="s">
        <v>197</v>
      </c>
      <c r="F36" s="26" t="s">
        <v>198</v>
      </c>
    </row>
    <row r="37" spans="1:7" ht="14.4" x14ac:dyDescent="0.3">
      <c r="A37" s="16" t="s">
        <v>199</v>
      </c>
      <c r="B37" s="16" t="s">
        <v>200</v>
      </c>
      <c r="C37" s="16" t="s">
        <v>201</v>
      </c>
      <c r="D37" s="16" t="s">
        <v>202</v>
      </c>
      <c r="E37" s="16" t="s">
        <v>203</v>
      </c>
      <c r="F37" s="25" t="s">
        <v>204</v>
      </c>
    </row>
    <row r="38" spans="1:7" ht="14.4" x14ac:dyDescent="0.3">
      <c r="A38" s="16" t="s">
        <v>205</v>
      </c>
      <c r="B38" s="16" t="s">
        <v>206</v>
      </c>
      <c r="C38" s="16" t="s">
        <v>207</v>
      </c>
      <c r="D38" s="16" t="s">
        <v>208</v>
      </c>
      <c r="E38" s="16" t="s">
        <v>209</v>
      </c>
      <c r="F38" s="25" t="s">
        <v>210</v>
      </c>
    </row>
    <row r="40" spans="1:7" ht="34.5" customHeight="1" x14ac:dyDescent="0.3">
      <c r="A40" s="6" t="s">
        <v>211</v>
      </c>
      <c r="B40" s="6"/>
      <c r="C40" s="6"/>
      <c r="D40" s="6"/>
      <c r="E40" s="6"/>
      <c r="F40" s="6"/>
      <c r="G40" s="6"/>
    </row>
    <row r="42" spans="1:7" ht="15.6" x14ac:dyDescent="0.3">
      <c r="A42" s="5" t="s">
        <v>212</v>
      </c>
      <c r="B42" s="5"/>
      <c r="C42" s="5"/>
      <c r="D42" s="5"/>
      <c r="E42" s="5"/>
      <c r="F42" s="5"/>
      <c r="G42" s="5"/>
    </row>
    <row r="43" spans="1:7" ht="15.6" x14ac:dyDescent="0.3">
      <c r="A43" s="15" t="s">
        <v>73</v>
      </c>
      <c r="B43" s="15" t="s">
        <v>74</v>
      </c>
      <c r="C43" s="15" t="s">
        <v>75</v>
      </c>
      <c r="D43" s="15" t="s">
        <v>76</v>
      </c>
      <c r="E43" s="15" t="s">
        <v>77</v>
      </c>
      <c r="F43" s="15" t="s">
        <v>78</v>
      </c>
    </row>
    <row r="44" spans="1:7" ht="26.4" x14ac:dyDescent="0.3">
      <c r="A44" s="16" t="s">
        <v>213</v>
      </c>
      <c r="B44" s="16" t="s">
        <v>214</v>
      </c>
      <c r="C44" s="16" t="s">
        <v>215</v>
      </c>
      <c r="D44" s="16" t="s">
        <v>216</v>
      </c>
      <c r="E44" s="16" t="s">
        <v>83</v>
      </c>
      <c r="F44" s="24" t="s">
        <v>217</v>
      </c>
    </row>
    <row r="45" spans="1:7" ht="26.4" x14ac:dyDescent="0.3">
      <c r="A45" s="16" t="s">
        <v>218</v>
      </c>
      <c r="B45" s="16" t="s">
        <v>219</v>
      </c>
      <c r="C45" s="16" t="s">
        <v>220</v>
      </c>
      <c r="D45" s="16" t="s">
        <v>221</v>
      </c>
      <c r="E45" s="16" t="s">
        <v>222</v>
      </c>
      <c r="F45" s="25" t="s">
        <v>223</v>
      </c>
    </row>
    <row r="46" spans="1:7" ht="14.4" x14ac:dyDescent="0.3">
      <c r="A46" s="16" t="s">
        <v>224</v>
      </c>
      <c r="B46" s="16" t="s">
        <v>225</v>
      </c>
      <c r="C46" s="16" t="s">
        <v>226</v>
      </c>
      <c r="D46" s="16" t="s">
        <v>227</v>
      </c>
      <c r="E46" s="16" t="s">
        <v>228</v>
      </c>
      <c r="F46" s="26" t="s">
        <v>229</v>
      </c>
    </row>
    <row r="47" spans="1:7" ht="14.4" x14ac:dyDescent="0.3">
      <c r="A47" s="16" t="s">
        <v>230</v>
      </c>
      <c r="B47" s="16" t="s">
        <v>231</v>
      </c>
      <c r="C47" s="16" t="s">
        <v>232</v>
      </c>
      <c r="D47" s="16" t="s">
        <v>233</v>
      </c>
      <c r="E47" s="16" t="s">
        <v>234</v>
      </c>
      <c r="F47" s="25" t="s">
        <v>235</v>
      </c>
    </row>
    <row r="48" spans="1:7" ht="14.4" x14ac:dyDescent="0.3">
      <c r="A48" s="16" t="s">
        <v>236</v>
      </c>
      <c r="B48" s="16" t="s">
        <v>237</v>
      </c>
      <c r="C48" s="16" t="s">
        <v>238</v>
      </c>
      <c r="D48" s="16" t="s">
        <v>239</v>
      </c>
      <c r="E48" s="16" t="s">
        <v>240</v>
      </c>
      <c r="F48" s="25" t="s">
        <v>241</v>
      </c>
    </row>
    <row r="50" spans="1:7" ht="30" customHeight="1" x14ac:dyDescent="0.3">
      <c r="A50" s="4" t="s">
        <v>242</v>
      </c>
      <c r="B50" s="4"/>
      <c r="C50" s="4"/>
      <c r="D50" s="4"/>
      <c r="E50" s="4"/>
      <c r="F50" s="4"/>
      <c r="G50" s="4"/>
    </row>
    <row r="52" spans="1:7" ht="15.6" x14ac:dyDescent="0.3">
      <c r="A52" s="3" t="s">
        <v>243</v>
      </c>
      <c r="B52" s="3"/>
      <c r="C52" s="3"/>
      <c r="D52" s="3"/>
      <c r="E52" s="3"/>
      <c r="F52" s="3"/>
      <c r="G52" s="3"/>
    </row>
    <row r="53" spans="1:7" ht="49.5" customHeight="1" x14ac:dyDescent="0.3">
      <c r="A53" s="2" t="s">
        <v>244</v>
      </c>
      <c r="B53" s="2"/>
      <c r="C53" s="2"/>
      <c r="D53" s="2"/>
      <c r="E53" s="2"/>
      <c r="F53" s="2"/>
      <c r="G53" s="2"/>
    </row>
  </sheetData>
  <mergeCells count="11">
    <mergeCell ref="A53:G53"/>
    <mergeCell ref="A27:G27"/>
    <mergeCell ref="A40:G40"/>
    <mergeCell ref="A42:G42"/>
    <mergeCell ref="A50:G50"/>
    <mergeCell ref="A52:G52"/>
    <mergeCell ref="A1:G1"/>
    <mergeCell ref="A3:G3"/>
    <mergeCell ref="A14:G14"/>
    <mergeCell ref="A16:G16"/>
    <mergeCell ref="A25:G2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zoomScaleNormal="100" workbookViewId="0">
      <selection activeCell="D24" sqref="D24"/>
    </sheetView>
  </sheetViews>
  <sheetFormatPr defaultColWidth="8.6640625" defaultRowHeight="15" customHeight="1" x14ac:dyDescent="0.3"/>
  <cols>
    <col min="1" max="1" width="32" customWidth="1"/>
    <col min="2" max="2" width="10" customWidth="1"/>
    <col min="3" max="3" width="12" customWidth="1"/>
    <col min="4" max="4" width="35" customWidth="1"/>
    <col min="5" max="5" width="24" customWidth="1"/>
    <col min="6" max="7" width="12" customWidth="1"/>
    <col min="8" max="9" width="10" customWidth="1"/>
  </cols>
  <sheetData>
    <row r="1" spans="1:9" ht="17.399999999999999" x14ac:dyDescent="0.3">
      <c r="A1" s="8" t="s">
        <v>245</v>
      </c>
      <c r="B1" s="8"/>
      <c r="C1" s="8"/>
      <c r="D1" s="8"/>
      <c r="E1" s="8"/>
      <c r="F1" s="8"/>
      <c r="G1" s="8"/>
      <c r="H1" s="8"/>
      <c r="I1" s="8"/>
    </row>
    <row r="3" spans="1:9" ht="31.2" x14ac:dyDescent="0.3">
      <c r="A3" s="15" t="s">
        <v>246</v>
      </c>
      <c r="B3" s="15" t="s">
        <v>247</v>
      </c>
      <c r="C3" s="15" t="s">
        <v>248</v>
      </c>
      <c r="D3" s="15" t="s">
        <v>249</v>
      </c>
      <c r="E3" s="15" t="s">
        <v>250</v>
      </c>
      <c r="F3" s="15" t="s">
        <v>251</v>
      </c>
      <c r="G3" s="15" t="s">
        <v>252</v>
      </c>
      <c r="H3" s="15" t="s">
        <v>253</v>
      </c>
      <c r="I3" s="15" t="s">
        <v>254</v>
      </c>
    </row>
    <row r="4" spans="1:9" ht="14.4" x14ac:dyDescent="0.3">
      <c r="A4" s="16" t="s">
        <v>255</v>
      </c>
      <c r="B4" s="27" t="s">
        <v>256</v>
      </c>
      <c r="C4" s="27">
        <f t="shared" ref="C4:C17" si="0">B4+9.5</f>
        <v>20.86</v>
      </c>
      <c r="D4" s="16" t="s">
        <v>257</v>
      </c>
      <c r="E4" s="16" t="s">
        <v>16</v>
      </c>
      <c r="F4" s="19">
        <v>9900</v>
      </c>
      <c r="G4" s="27" t="s">
        <v>258</v>
      </c>
      <c r="H4" s="27">
        <f t="shared" ref="H4:H17" si="1">G4-C4-G4*0.13</f>
        <v>31.331300000000002</v>
      </c>
      <c r="I4" s="28">
        <f t="shared" ref="I4:I17" si="2">H4/G4</f>
        <v>0.52227537922987166</v>
      </c>
    </row>
    <row r="5" spans="1:9" ht="14.4" x14ac:dyDescent="0.3">
      <c r="A5" s="16" t="s">
        <v>259</v>
      </c>
      <c r="B5" s="27" t="s">
        <v>260</v>
      </c>
      <c r="C5" s="27">
        <f t="shared" si="0"/>
        <v>22.04</v>
      </c>
      <c r="D5" s="16" t="s">
        <v>261</v>
      </c>
      <c r="E5" s="16" t="s">
        <v>12</v>
      </c>
      <c r="F5" s="19">
        <v>14800</v>
      </c>
      <c r="G5" s="27" t="s">
        <v>262</v>
      </c>
      <c r="H5" s="27">
        <f t="shared" si="1"/>
        <v>25.801300000000001</v>
      </c>
      <c r="I5" s="28">
        <f t="shared" si="2"/>
        <v>0.46919985451900348</v>
      </c>
    </row>
    <row r="6" spans="1:9" ht="14.4" x14ac:dyDescent="0.3">
      <c r="A6" s="16" t="s">
        <v>263</v>
      </c>
      <c r="B6" s="27" t="s">
        <v>264</v>
      </c>
      <c r="C6" s="27">
        <f t="shared" si="0"/>
        <v>25.369999999999997</v>
      </c>
      <c r="D6" s="16" t="s">
        <v>265</v>
      </c>
      <c r="E6" s="16" t="s">
        <v>20</v>
      </c>
      <c r="F6" s="19">
        <v>2900</v>
      </c>
      <c r="G6" s="27" t="s">
        <v>266</v>
      </c>
      <c r="H6" s="27">
        <f t="shared" si="1"/>
        <v>31.171299999999999</v>
      </c>
      <c r="I6" s="28">
        <f t="shared" si="2"/>
        <v>0.47963225111555624</v>
      </c>
    </row>
    <row r="7" spans="1:9" ht="14.4" x14ac:dyDescent="0.3">
      <c r="A7" s="16" t="s">
        <v>267</v>
      </c>
      <c r="B7" s="27" t="s">
        <v>268</v>
      </c>
      <c r="C7" s="27">
        <f t="shared" si="0"/>
        <v>20.96</v>
      </c>
      <c r="D7" s="16" t="s">
        <v>269</v>
      </c>
      <c r="E7" s="16" t="s">
        <v>22</v>
      </c>
      <c r="F7" s="19">
        <v>1600</v>
      </c>
      <c r="G7" s="27" t="s">
        <v>176</v>
      </c>
      <c r="H7" s="27">
        <f t="shared" si="1"/>
        <v>22.531300000000002</v>
      </c>
      <c r="I7" s="28">
        <f t="shared" si="2"/>
        <v>0.45071614322864573</v>
      </c>
    </row>
    <row r="8" spans="1:9" ht="14.4" x14ac:dyDescent="0.3">
      <c r="A8" s="16" t="s">
        <v>270</v>
      </c>
      <c r="B8" s="27" t="s">
        <v>271</v>
      </c>
      <c r="C8" s="27">
        <f t="shared" si="0"/>
        <v>20.28</v>
      </c>
      <c r="D8" s="16" t="s">
        <v>272</v>
      </c>
      <c r="E8" s="16" t="s">
        <v>18</v>
      </c>
      <c r="F8" s="19">
        <v>6600</v>
      </c>
      <c r="G8" s="27" t="s">
        <v>176</v>
      </c>
      <c r="H8" s="27">
        <f t="shared" si="1"/>
        <v>23.211300000000001</v>
      </c>
      <c r="I8" s="28">
        <f t="shared" si="2"/>
        <v>0.46431886377275455</v>
      </c>
    </row>
    <row r="9" spans="1:9" ht="14.4" x14ac:dyDescent="0.3">
      <c r="A9" s="16" t="s">
        <v>273</v>
      </c>
      <c r="B9" s="27" t="s">
        <v>274</v>
      </c>
      <c r="C9" s="27">
        <f t="shared" si="0"/>
        <v>21.84</v>
      </c>
      <c r="D9" s="16" t="s">
        <v>275</v>
      </c>
      <c r="E9" s="16" t="s">
        <v>41</v>
      </c>
      <c r="F9" s="19">
        <v>110</v>
      </c>
      <c r="G9" s="27" t="s">
        <v>276</v>
      </c>
      <c r="H9" s="27">
        <f t="shared" si="1"/>
        <v>39.051299999999991</v>
      </c>
      <c r="I9" s="28">
        <f t="shared" si="2"/>
        <v>0.55795542220317174</v>
      </c>
    </row>
    <row r="10" spans="1:9" ht="14.4" x14ac:dyDescent="0.3">
      <c r="A10" s="16" t="s">
        <v>277</v>
      </c>
      <c r="B10" s="27" t="s">
        <v>278</v>
      </c>
      <c r="C10" s="27">
        <f t="shared" si="0"/>
        <v>16.75</v>
      </c>
      <c r="D10" s="16" t="s">
        <v>279</v>
      </c>
      <c r="E10" s="16" t="s">
        <v>16</v>
      </c>
      <c r="F10" s="19">
        <v>9900</v>
      </c>
      <c r="G10" s="27" t="s">
        <v>280</v>
      </c>
      <c r="H10" s="27">
        <f t="shared" si="1"/>
        <v>22.391300000000001</v>
      </c>
      <c r="I10" s="28">
        <f t="shared" si="2"/>
        <v>0.4976950433429651</v>
      </c>
    </row>
    <row r="11" spans="1:9" ht="14.4" x14ac:dyDescent="0.3">
      <c r="A11" s="16" t="s">
        <v>281</v>
      </c>
      <c r="B11" s="27" t="s">
        <v>181</v>
      </c>
      <c r="C11" s="27">
        <f t="shared" si="0"/>
        <v>24.1</v>
      </c>
      <c r="D11" s="16" t="s">
        <v>282</v>
      </c>
      <c r="E11" s="16" t="s">
        <v>28</v>
      </c>
      <c r="F11" s="19">
        <v>480</v>
      </c>
      <c r="G11" s="27" t="s">
        <v>262</v>
      </c>
      <c r="H11" s="27">
        <f t="shared" si="1"/>
        <v>23.741299999999999</v>
      </c>
      <c r="I11" s="28">
        <f t="shared" si="2"/>
        <v>0.43173849790871066</v>
      </c>
    </row>
    <row r="12" spans="1:9" ht="14.4" x14ac:dyDescent="0.3">
      <c r="A12" s="16" t="s">
        <v>283</v>
      </c>
      <c r="B12" s="27" t="s">
        <v>284</v>
      </c>
      <c r="C12" s="27">
        <f t="shared" si="0"/>
        <v>20.47</v>
      </c>
      <c r="D12" s="16" t="s">
        <v>285</v>
      </c>
      <c r="E12" s="16" t="s">
        <v>18</v>
      </c>
      <c r="F12" s="19">
        <v>6600</v>
      </c>
      <c r="G12" s="27" t="s">
        <v>176</v>
      </c>
      <c r="H12" s="27">
        <f t="shared" si="1"/>
        <v>23.021300000000004</v>
      </c>
      <c r="I12" s="28">
        <f t="shared" si="2"/>
        <v>0.46051810362072421</v>
      </c>
    </row>
    <row r="13" spans="1:9" ht="14.4" x14ac:dyDescent="0.3">
      <c r="A13" s="16" t="s">
        <v>286</v>
      </c>
      <c r="B13" s="27" t="s">
        <v>284</v>
      </c>
      <c r="C13" s="27">
        <f t="shared" si="0"/>
        <v>20.47</v>
      </c>
      <c r="D13" s="16" t="s">
        <v>265</v>
      </c>
      <c r="E13" s="16" t="s">
        <v>25</v>
      </c>
      <c r="F13" s="19">
        <v>880</v>
      </c>
      <c r="G13" s="27" t="s">
        <v>262</v>
      </c>
      <c r="H13" s="27">
        <f t="shared" si="1"/>
        <v>27.371300000000002</v>
      </c>
      <c r="I13" s="28">
        <f t="shared" si="2"/>
        <v>0.49775050009092564</v>
      </c>
    </row>
    <row r="14" spans="1:9" ht="14.4" x14ac:dyDescent="0.3">
      <c r="A14" s="36" t="s">
        <v>287</v>
      </c>
      <c r="B14" s="27" t="s">
        <v>288</v>
      </c>
      <c r="C14" s="27">
        <f t="shared" si="0"/>
        <v>25.18</v>
      </c>
      <c r="D14" s="16" t="s">
        <v>289</v>
      </c>
      <c r="E14" s="16" t="s">
        <v>40</v>
      </c>
      <c r="F14" s="19">
        <v>110</v>
      </c>
      <c r="G14" s="27" t="s">
        <v>258</v>
      </c>
      <c r="H14" s="27">
        <f t="shared" si="1"/>
        <v>27.011300000000002</v>
      </c>
      <c r="I14" s="28">
        <f t="shared" si="2"/>
        <v>0.4502633772295383</v>
      </c>
    </row>
    <row r="15" spans="1:9" ht="14.4" x14ac:dyDescent="0.3">
      <c r="A15" s="16" t="s">
        <v>290</v>
      </c>
      <c r="B15" s="27" t="s">
        <v>291</v>
      </c>
      <c r="C15" s="27">
        <f t="shared" si="0"/>
        <v>22.240000000000002</v>
      </c>
      <c r="D15" s="16" t="s">
        <v>292</v>
      </c>
      <c r="E15" s="16" t="s">
        <v>30</v>
      </c>
      <c r="F15" s="19">
        <v>390</v>
      </c>
      <c r="G15" s="27" t="s">
        <v>176</v>
      </c>
      <c r="H15" s="27">
        <f t="shared" si="1"/>
        <v>21.251300000000001</v>
      </c>
      <c r="I15" s="28">
        <f t="shared" si="2"/>
        <v>0.42511102220444086</v>
      </c>
    </row>
    <row r="16" spans="1:9" ht="14.4" x14ac:dyDescent="0.3">
      <c r="A16" s="16" t="s">
        <v>293</v>
      </c>
      <c r="B16" s="27" t="s">
        <v>294</v>
      </c>
      <c r="C16" s="27">
        <f t="shared" si="0"/>
        <v>15.780000000000001</v>
      </c>
      <c r="D16" s="16" t="s">
        <v>295</v>
      </c>
      <c r="E16" s="16" t="s">
        <v>43</v>
      </c>
      <c r="F16" s="19">
        <v>90</v>
      </c>
      <c r="G16" s="27" t="s">
        <v>296</v>
      </c>
      <c r="H16" s="27">
        <f t="shared" si="1"/>
        <v>19.011299999999999</v>
      </c>
      <c r="I16" s="28">
        <f t="shared" si="2"/>
        <v>0.47540135033758435</v>
      </c>
    </row>
    <row r="17" spans="1:9" ht="14.4" x14ac:dyDescent="0.3">
      <c r="A17" s="16" t="s">
        <v>297</v>
      </c>
      <c r="B17" s="27" t="s">
        <v>298</v>
      </c>
      <c r="C17" s="27">
        <f t="shared" si="0"/>
        <v>18.77</v>
      </c>
      <c r="D17" s="16" t="s">
        <v>299</v>
      </c>
      <c r="E17" s="16" t="s">
        <v>25</v>
      </c>
      <c r="F17" s="19">
        <v>880</v>
      </c>
      <c r="G17" s="27" t="s">
        <v>280</v>
      </c>
      <c r="H17" s="27">
        <f t="shared" si="1"/>
        <v>20.371300000000002</v>
      </c>
      <c r="I17" s="28">
        <f t="shared" si="2"/>
        <v>0.45279617692820628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7"/>
  <sheetViews>
    <sheetView zoomScaleNormal="100" workbookViewId="0">
      <selection activeCell="G33" sqref="G33"/>
    </sheetView>
  </sheetViews>
  <sheetFormatPr defaultColWidth="8.6640625" defaultRowHeight="15" customHeight="1" x14ac:dyDescent="0.3"/>
  <cols>
    <col min="1" max="1" width="24" customWidth="1"/>
    <col min="2" max="14" width="12" customWidth="1"/>
    <col min="15" max="15" width="18" customWidth="1"/>
  </cols>
  <sheetData>
    <row r="1" spans="1:15" ht="17.399999999999999" x14ac:dyDescent="0.3">
      <c r="A1" s="8" t="s">
        <v>300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3" spans="1:15" ht="31.2" x14ac:dyDescent="0.3">
      <c r="A3" s="15" t="s">
        <v>5</v>
      </c>
      <c r="B3" s="15" t="s">
        <v>301</v>
      </c>
      <c r="C3" s="15" t="s">
        <v>302</v>
      </c>
      <c r="D3" s="15" t="s">
        <v>303</v>
      </c>
      <c r="E3" s="15" t="s">
        <v>304</v>
      </c>
      <c r="F3" s="15" t="s">
        <v>305</v>
      </c>
      <c r="G3" s="15" t="s">
        <v>306</v>
      </c>
      <c r="H3" s="15" t="s">
        <v>307</v>
      </c>
      <c r="I3" s="15" t="s">
        <v>308</v>
      </c>
      <c r="J3" s="15" t="s">
        <v>309</v>
      </c>
      <c r="K3" s="15" t="s">
        <v>310</v>
      </c>
      <c r="L3" s="15" t="s">
        <v>311</v>
      </c>
      <c r="M3" s="15" t="s">
        <v>312</v>
      </c>
      <c r="N3" s="15" t="s">
        <v>313</v>
      </c>
      <c r="O3" s="15" t="s">
        <v>314</v>
      </c>
    </row>
    <row r="4" spans="1:15" ht="14.4" x14ac:dyDescent="0.3">
      <c r="A4" s="16" t="s">
        <v>12</v>
      </c>
      <c r="B4" s="19">
        <v>14800</v>
      </c>
      <c r="C4" s="29">
        <v>8100</v>
      </c>
      <c r="D4" s="29">
        <v>8100</v>
      </c>
      <c r="E4" s="17">
        <v>12100</v>
      </c>
      <c r="F4" s="17">
        <v>14800</v>
      </c>
      <c r="G4" s="17">
        <v>14800</v>
      </c>
      <c r="H4" s="17">
        <v>27100</v>
      </c>
      <c r="I4" s="17">
        <v>22200</v>
      </c>
      <c r="J4" s="17">
        <v>14800</v>
      </c>
      <c r="K4" s="17">
        <v>14800</v>
      </c>
      <c r="L4" s="29">
        <v>9900</v>
      </c>
      <c r="M4" s="29">
        <v>9900</v>
      </c>
      <c r="N4" s="29">
        <v>5400</v>
      </c>
      <c r="O4" s="16" t="s">
        <v>315</v>
      </c>
    </row>
    <row r="5" spans="1:15" ht="14.4" x14ac:dyDescent="0.3">
      <c r="A5" s="16" t="s">
        <v>16</v>
      </c>
      <c r="B5" s="19">
        <v>9900</v>
      </c>
      <c r="C5" s="29">
        <v>9900</v>
      </c>
      <c r="D5" s="29">
        <v>9900</v>
      </c>
      <c r="E5" s="17">
        <v>14800</v>
      </c>
      <c r="F5" s="17">
        <v>12100</v>
      </c>
      <c r="G5" s="17">
        <v>12100</v>
      </c>
      <c r="H5" s="29">
        <v>9900</v>
      </c>
      <c r="I5" s="29">
        <v>8100</v>
      </c>
      <c r="J5" s="29">
        <v>9900</v>
      </c>
      <c r="K5" s="29">
        <v>9900</v>
      </c>
      <c r="L5" s="29">
        <v>6600</v>
      </c>
      <c r="M5" s="19">
        <v>4400</v>
      </c>
      <c r="N5" s="19">
        <v>3600</v>
      </c>
      <c r="O5" s="16" t="s">
        <v>316</v>
      </c>
    </row>
    <row r="6" spans="1:15" ht="14.4" x14ac:dyDescent="0.3">
      <c r="A6" s="16" t="s">
        <v>18</v>
      </c>
      <c r="B6" s="19">
        <v>6600</v>
      </c>
      <c r="C6" s="29">
        <v>8100</v>
      </c>
      <c r="D6" s="29">
        <v>6600</v>
      </c>
      <c r="E6" s="29">
        <v>8100</v>
      </c>
      <c r="F6" s="29">
        <v>8100</v>
      </c>
      <c r="G6" s="29">
        <v>8100</v>
      </c>
      <c r="H6" s="29">
        <v>6600</v>
      </c>
      <c r="I6" s="29">
        <v>6600</v>
      </c>
      <c r="J6" s="29">
        <v>6600</v>
      </c>
      <c r="K6" s="29">
        <v>6600</v>
      </c>
      <c r="L6" s="29">
        <v>6600</v>
      </c>
      <c r="M6" s="19">
        <v>4400</v>
      </c>
      <c r="N6" s="19">
        <v>3600</v>
      </c>
      <c r="O6" s="16" t="s">
        <v>317</v>
      </c>
    </row>
    <row r="7" spans="1:15" ht="26.4" x14ac:dyDescent="0.3">
      <c r="A7" s="16" t="s">
        <v>20</v>
      </c>
      <c r="B7" s="19">
        <v>2900</v>
      </c>
      <c r="C7" s="19">
        <v>4400</v>
      </c>
      <c r="D7" s="19">
        <v>2900</v>
      </c>
      <c r="E7" s="19">
        <v>2900</v>
      </c>
      <c r="F7" s="19">
        <v>2900</v>
      </c>
      <c r="G7" s="19">
        <v>2900</v>
      </c>
      <c r="H7" s="19">
        <v>2400</v>
      </c>
      <c r="I7" s="19">
        <v>1900</v>
      </c>
      <c r="J7" s="19">
        <v>2400</v>
      </c>
      <c r="K7" s="19">
        <v>3600</v>
      </c>
      <c r="L7" s="19">
        <v>3600</v>
      </c>
      <c r="M7" s="19">
        <v>2900</v>
      </c>
      <c r="N7" s="19">
        <v>2400</v>
      </c>
      <c r="O7" s="16" t="s">
        <v>318</v>
      </c>
    </row>
    <row r="8" spans="1:15" ht="14.4" x14ac:dyDescent="0.3">
      <c r="A8" s="16" t="s">
        <v>22</v>
      </c>
      <c r="B8" s="19">
        <v>1600</v>
      </c>
      <c r="C8" s="19">
        <v>2400</v>
      </c>
      <c r="D8" s="19">
        <v>2400</v>
      </c>
      <c r="E8" s="19">
        <v>2900</v>
      </c>
      <c r="F8" s="19">
        <v>1900</v>
      </c>
      <c r="G8" s="19">
        <v>1900</v>
      </c>
      <c r="H8" s="19">
        <v>1600</v>
      </c>
      <c r="I8" s="19">
        <v>1300</v>
      </c>
      <c r="J8" s="19">
        <v>1300</v>
      </c>
      <c r="K8" s="19">
        <v>1000</v>
      </c>
      <c r="L8" s="19">
        <v>1000</v>
      </c>
      <c r="M8" s="19">
        <v>720</v>
      </c>
      <c r="N8" s="19">
        <v>590</v>
      </c>
      <c r="O8" s="16" t="s">
        <v>319</v>
      </c>
    </row>
    <row r="9" spans="1:15" ht="14.4" x14ac:dyDescent="0.3">
      <c r="A9" s="16" t="s">
        <v>25</v>
      </c>
      <c r="B9" s="19">
        <v>880</v>
      </c>
      <c r="C9" s="19">
        <v>880</v>
      </c>
      <c r="D9" s="19">
        <v>720</v>
      </c>
      <c r="E9" s="19">
        <v>1000</v>
      </c>
      <c r="F9" s="19">
        <v>1000</v>
      </c>
      <c r="G9" s="19">
        <v>1000</v>
      </c>
      <c r="H9" s="19">
        <v>880</v>
      </c>
      <c r="I9" s="19">
        <v>880</v>
      </c>
      <c r="J9" s="19">
        <v>1000</v>
      </c>
      <c r="K9" s="19">
        <v>1300</v>
      </c>
      <c r="L9" s="19">
        <v>1000</v>
      </c>
      <c r="M9" s="19">
        <v>720</v>
      </c>
      <c r="N9" s="19">
        <v>720</v>
      </c>
      <c r="O9" s="16" t="s">
        <v>320</v>
      </c>
    </row>
    <row r="10" spans="1:15" ht="14.4" x14ac:dyDescent="0.3">
      <c r="A10" s="16" t="s">
        <v>28</v>
      </c>
      <c r="B10" s="19">
        <v>480</v>
      </c>
      <c r="C10" s="19">
        <v>170</v>
      </c>
      <c r="D10" s="19">
        <v>590</v>
      </c>
      <c r="E10" s="19">
        <v>590</v>
      </c>
      <c r="F10" s="19">
        <v>590</v>
      </c>
      <c r="G10" s="19">
        <v>720</v>
      </c>
      <c r="H10" s="19">
        <v>590</v>
      </c>
      <c r="I10" s="19">
        <v>720</v>
      </c>
      <c r="J10" s="19">
        <v>390</v>
      </c>
      <c r="K10" s="19">
        <v>590</v>
      </c>
      <c r="L10" s="19">
        <v>480</v>
      </c>
      <c r="M10" s="19">
        <v>390</v>
      </c>
      <c r="N10" s="19">
        <v>140</v>
      </c>
      <c r="O10" s="16" t="s">
        <v>321</v>
      </c>
    </row>
    <row r="11" spans="1:15" ht="14.4" x14ac:dyDescent="0.3">
      <c r="A11" s="16" t="s">
        <v>37</v>
      </c>
      <c r="B11" s="19">
        <v>140</v>
      </c>
      <c r="C11" s="19">
        <v>170</v>
      </c>
      <c r="D11" s="19">
        <v>110</v>
      </c>
      <c r="E11" s="19">
        <v>140</v>
      </c>
      <c r="F11" s="19">
        <v>140</v>
      </c>
      <c r="G11" s="19">
        <v>140</v>
      </c>
      <c r="H11" s="19">
        <v>170</v>
      </c>
      <c r="I11" s="19">
        <v>110</v>
      </c>
      <c r="J11" s="19">
        <v>210</v>
      </c>
      <c r="K11" s="19">
        <v>140</v>
      </c>
      <c r="L11" s="19">
        <v>90</v>
      </c>
      <c r="M11" s="19">
        <v>70</v>
      </c>
      <c r="N11" s="19">
        <v>40</v>
      </c>
      <c r="O11" s="16" t="s">
        <v>322</v>
      </c>
    </row>
    <row r="13" spans="1:15" ht="14.4" x14ac:dyDescent="0.3">
      <c r="A13" s="10" t="s">
        <v>323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15" ht="34.5" customHeight="1" x14ac:dyDescent="0.3">
      <c r="A14" s="30" t="s">
        <v>324</v>
      </c>
      <c r="B14" s="1" t="s">
        <v>325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5" ht="34.5" customHeight="1" x14ac:dyDescent="0.3">
      <c r="A15" s="30" t="s">
        <v>326</v>
      </c>
      <c r="B15" s="1" t="s">
        <v>327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34.5" customHeight="1" x14ac:dyDescent="0.3">
      <c r="A16" s="30" t="s">
        <v>328</v>
      </c>
      <c r="B16" s="1" t="s">
        <v>329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34.5" customHeight="1" x14ac:dyDescent="0.3">
      <c r="A17" s="30" t="s">
        <v>330</v>
      </c>
      <c r="B17" s="1" t="s">
        <v>331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</sheetData>
  <mergeCells count="6">
    <mergeCell ref="B17:N17"/>
    <mergeCell ref="A1:N1"/>
    <mergeCell ref="A13:N13"/>
    <mergeCell ref="B14:N14"/>
    <mergeCell ref="B15:N15"/>
    <mergeCell ref="B16:N1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4"/>
  <sheetViews>
    <sheetView tabSelected="1" zoomScaleNormal="100" workbookViewId="0">
      <selection activeCell="E10" sqref="E10"/>
    </sheetView>
  </sheetViews>
  <sheetFormatPr defaultColWidth="8.6640625" defaultRowHeight="15" customHeight="1" x14ac:dyDescent="0.3"/>
  <cols>
    <col min="1" max="1" width="28" customWidth="1"/>
    <col min="2" max="2" width="30" customWidth="1"/>
    <col min="3" max="4" width="28" customWidth="1"/>
    <col min="5" max="5" width="24" customWidth="1"/>
    <col min="6" max="6" width="14" customWidth="1"/>
    <col min="7" max="8" width="12" customWidth="1"/>
  </cols>
  <sheetData>
    <row r="1" spans="1:8" ht="17.399999999999999" x14ac:dyDescent="0.3">
      <c r="A1" s="8" t="s">
        <v>332</v>
      </c>
      <c r="B1" s="8"/>
      <c r="C1" s="8"/>
      <c r="D1" s="8"/>
      <c r="E1" s="8"/>
      <c r="F1" s="8"/>
      <c r="G1" s="8"/>
      <c r="H1" s="8"/>
    </row>
    <row r="3" spans="1:8" ht="15.6" x14ac:dyDescent="0.3">
      <c r="A3" s="34" t="s">
        <v>333</v>
      </c>
      <c r="B3" s="34"/>
      <c r="C3" s="34"/>
      <c r="D3" s="34"/>
      <c r="E3" s="34"/>
      <c r="F3" s="34"/>
      <c r="G3" s="34"/>
      <c r="H3" s="34"/>
    </row>
    <row r="5" spans="1:8" ht="15.6" x14ac:dyDescent="0.3">
      <c r="A5" s="15" t="s">
        <v>334</v>
      </c>
      <c r="B5" s="15" t="s">
        <v>335</v>
      </c>
      <c r="C5" s="15" t="s">
        <v>336</v>
      </c>
      <c r="D5" s="15" t="s">
        <v>337</v>
      </c>
      <c r="E5" s="15" t="s">
        <v>338</v>
      </c>
      <c r="F5" s="15" t="s">
        <v>248</v>
      </c>
      <c r="G5" s="15" t="s">
        <v>252</v>
      </c>
      <c r="H5" s="15" t="s">
        <v>339</v>
      </c>
    </row>
    <row r="6" spans="1:8" ht="14.4" x14ac:dyDescent="0.3">
      <c r="A6" s="18" t="s">
        <v>340</v>
      </c>
      <c r="B6" s="16" t="s">
        <v>341</v>
      </c>
      <c r="C6" s="16" t="s">
        <v>342</v>
      </c>
      <c r="D6" s="16" t="s">
        <v>343</v>
      </c>
      <c r="E6" s="16" t="s">
        <v>344</v>
      </c>
      <c r="F6" s="27" t="s">
        <v>345</v>
      </c>
      <c r="G6" s="27" t="s">
        <v>258</v>
      </c>
      <c r="H6" s="27">
        <f t="shared" ref="H6:H14" si="0">G6-F6-G6*0.13</f>
        <v>31.331300000000002</v>
      </c>
    </row>
    <row r="7" spans="1:8" ht="14.4" x14ac:dyDescent="0.3">
      <c r="A7" s="18" t="s">
        <v>346</v>
      </c>
      <c r="B7" s="16" t="s">
        <v>347</v>
      </c>
      <c r="C7" s="16" t="s">
        <v>342</v>
      </c>
      <c r="D7" s="16" t="s">
        <v>348</v>
      </c>
      <c r="E7" s="16" t="s">
        <v>349</v>
      </c>
      <c r="F7" s="27" t="s">
        <v>350</v>
      </c>
      <c r="G7" s="27" t="s">
        <v>262</v>
      </c>
      <c r="H7" s="27">
        <f t="shared" si="0"/>
        <v>25.801300000000001</v>
      </c>
    </row>
    <row r="8" spans="1:8" ht="14.4" x14ac:dyDescent="0.3">
      <c r="A8" s="18" t="s">
        <v>351</v>
      </c>
      <c r="B8" s="16" t="s">
        <v>352</v>
      </c>
      <c r="C8" s="16" t="s">
        <v>342</v>
      </c>
      <c r="D8" s="16" t="s">
        <v>353</v>
      </c>
      <c r="E8" s="16" t="s">
        <v>354</v>
      </c>
      <c r="F8" s="27" t="s">
        <v>355</v>
      </c>
      <c r="G8" s="27" t="s">
        <v>266</v>
      </c>
      <c r="H8" s="27">
        <f t="shared" si="0"/>
        <v>31.171299999999992</v>
      </c>
    </row>
    <row r="9" spans="1:8" ht="14.4" x14ac:dyDescent="0.3">
      <c r="A9" s="18" t="s">
        <v>356</v>
      </c>
      <c r="B9" s="16" t="s">
        <v>357</v>
      </c>
      <c r="C9" s="16" t="s">
        <v>342</v>
      </c>
      <c r="D9" s="16" t="s">
        <v>358</v>
      </c>
      <c r="E9" s="16" t="s">
        <v>359</v>
      </c>
      <c r="F9" s="27" t="s">
        <v>360</v>
      </c>
      <c r="G9" s="27" t="s">
        <v>176</v>
      </c>
      <c r="H9" s="27">
        <f t="shared" si="0"/>
        <v>23.211300000000001</v>
      </c>
    </row>
    <row r="10" spans="1:8" ht="14.4" x14ac:dyDescent="0.3">
      <c r="A10" s="31" t="s">
        <v>361</v>
      </c>
      <c r="B10" s="16" t="s">
        <v>362</v>
      </c>
      <c r="C10" s="16" t="s">
        <v>342</v>
      </c>
      <c r="D10" s="16" t="s">
        <v>363</v>
      </c>
      <c r="E10" s="16" t="s">
        <v>364</v>
      </c>
      <c r="F10" s="27" t="s">
        <v>365</v>
      </c>
      <c r="G10" s="27" t="s">
        <v>262</v>
      </c>
      <c r="H10" s="27">
        <f t="shared" si="0"/>
        <v>27.371300000000002</v>
      </c>
    </row>
    <row r="11" spans="1:8" ht="14.4" x14ac:dyDescent="0.3">
      <c r="A11" s="31" t="s">
        <v>366</v>
      </c>
      <c r="B11" s="16" t="s">
        <v>367</v>
      </c>
      <c r="C11" s="16" t="s">
        <v>342</v>
      </c>
      <c r="D11" s="16" t="s">
        <v>343</v>
      </c>
      <c r="E11" s="16" t="s">
        <v>368</v>
      </c>
      <c r="F11" s="27" t="s">
        <v>369</v>
      </c>
      <c r="G11" s="27" t="s">
        <v>280</v>
      </c>
      <c r="H11" s="27">
        <f t="shared" si="0"/>
        <v>22.391300000000001</v>
      </c>
    </row>
    <row r="12" spans="1:8" ht="14.4" x14ac:dyDescent="0.3">
      <c r="A12" s="31" t="s">
        <v>370</v>
      </c>
      <c r="B12" s="16" t="s">
        <v>371</v>
      </c>
      <c r="C12" s="16" t="s">
        <v>372</v>
      </c>
      <c r="D12" s="16" t="s">
        <v>373</v>
      </c>
      <c r="E12" s="16" t="s">
        <v>374</v>
      </c>
      <c r="F12" s="27" t="s">
        <v>375</v>
      </c>
      <c r="G12" s="27" t="s">
        <v>276</v>
      </c>
      <c r="H12" s="27">
        <f t="shared" si="0"/>
        <v>39.051299999999991</v>
      </c>
    </row>
    <row r="13" spans="1:8" ht="14.4" x14ac:dyDescent="0.3">
      <c r="A13" s="20" t="s">
        <v>376</v>
      </c>
      <c r="B13" s="16" t="s">
        <v>377</v>
      </c>
      <c r="C13" s="16" t="s">
        <v>378</v>
      </c>
      <c r="D13" s="16" t="s">
        <v>379</v>
      </c>
      <c r="E13" s="16" t="s">
        <v>380</v>
      </c>
      <c r="F13" s="27" t="s">
        <v>381</v>
      </c>
      <c r="G13" s="27" t="s">
        <v>262</v>
      </c>
      <c r="H13" s="27">
        <f t="shared" si="0"/>
        <v>23.741299999999999</v>
      </c>
    </row>
    <row r="14" spans="1:8" ht="14.4" x14ac:dyDescent="0.3">
      <c r="A14" s="20" t="s">
        <v>382</v>
      </c>
      <c r="B14" s="16" t="s">
        <v>383</v>
      </c>
      <c r="C14" s="16" t="s">
        <v>342</v>
      </c>
      <c r="D14" s="16" t="s">
        <v>384</v>
      </c>
      <c r="E14" s="16" t="s">
        <v>385</v>
      </c>
      <c r="F14" s="27" t="s">
        <v>386</v>
      </c>
      <c r="G14" s="27" t="s">
        <v>176</v>
      </c>
      <c r="H14" s="27">
        <f t="shared" si="0"/>
        <v>22.531300000000002</v>
      </c>
    </row>
    <row r="15" spans="1:8" ht="14.4" x14ac:dyDescent="0.3">
      <c r="A15" s="32" t="s">
        <v>387</v>
      </c>
      <c r="B15" s="16" t="s">
        <v>388</v>
      </c>
      <c r="C15" s="16" t="s">
        <v>389</v>
      </c>
      <c r="D15" s="16" t="s">
        <v>390</v>
      </c>
      <c r="E15" s="16" t="s">
        <v>391</v>
      </c>
      <c r="F15" s="27" t="s">
        <v>392</v>
      </c>
      <c r="G15" s="27" t="s">
        <v>392</v>
      </c>
      <c r="H15" s="27" t="s">
        <v>392</v>
      </c>
    </row>
    <row r="18" spans="1:8" ht="14.4" x14ac:dyDescent="0.3">
      <c r="A18" s="10" t="s">
        <v>393</v>
      </c>
      <c r="B18" s="10"/>
      <c r="C18" s="10"/>
      <c r="D18" s="10"/>
      <c r="E18" s="10"/>
      <c r="F18" s="10"/>
      <c r="G18" s="10"/>
      <c r="H18" s="10"/>
    </row>
    <row r="19" spans="1:8" ht="31.2" x14ac:dyDescent="0.3">
      <c r="A19" s="15" t="s">
        <v>394</v>
      </c>
      <c r="B19" s="15" t="s">
        <v>395</v>
      </c>
      <c r="C19" s="15" t="s">
        <v>396</v>
      </c>
      <c r="D19" s="15" t="s">
        <v>397</v>
      </c>
      <c r="E19" s="15" t="s">
        <v>398</v>
      </c>
      <c r="F19" s="15" t="s">
        <v>399</v>
      </c>
    </row>
    <row r="20" spans="1:8" ht="14.4" x14ac:dyDescent="0.3">
      <c r="A20" s="16" t="s">
        <v>400</v>
      </c>
      <c r="B20" s="16">
        <v>4</v>
      </c>
      <c r="C20" s="16">
        <v>5</v>
      </c>
      <c r="D20" s="33" t="s">
        <v>401</v>
      </c>
      <c r="E20" s="33">
        <f>B20*C20*D20</f>
        <v>600</v>
      </c>
      <c r="F20" s="33">
        <f>E20*12</f>
        <v>7200</v>
      </c>
    </row>
    <row r="21" spans="1:8" ht="14.4" x14ac:dyDescent="0.3">
      <c r="A21" s="16" t="s">
        <v>402</v>
      </c>
      <c r="B21" s="16">
        <v>6</v>
      </c>
      <c r="C21" s="16">
        <v>10</v>
      </c>
      <c r="D21" s="33" t="s">
        <v>161</v>
      </c>
      <c r="E21" s="33">
        <f>B21*C21*D21</f>
        <v>1860</v>
      </c>
      <c r="F21" s="33">
        <f>E21*12</f>
        <v>22320</v>
      </c>
    </row>
    <row r="22" spans="1:8" ht="14.4" x14ac:dyDescent="0.3">
      <c r="A22" s="16" t="s">
        <v>403</v>
      </c>
      <c r="B22" s="16">
        <v>10</v>
      </c>
      <c r="C22" s="16">
        <v>15</v>
      </c>
      <c r="D22" s="33" t="s">
        <v>404</v>
      </c>
      <c r="E22" s="33">
        <f>B22*C22*D22</f>
        <v>4800</v>
      </c>
      <c r="F22" s="33">
        <f>E22*12</f>
        <v>57600</v>
      </c>
    </row>
    <row r="24" spans="1:8" ht="34.5" customHeight="1" x14ac:dyDescent="0.3">
      <c r="A24" s="35" t="s">
        <v>405</v>
      </c>
      <c r="B24" s="35"/>
      <c r="C24" s="35"/>
      <c r="D24" s="35"/>
      <c r="E24" s="35"/>
      <c r="F24" s="35"/>
      <c r="G24" s="35"/>
      <c r="H24" s="35"/>
    </row>
  </sheetData>
  <mergeCells count="4">
    <mergeCell ref="A1:H1"/>
    <mergeCell ref="A3:H3"/>
    <mergeCell ref="A18:H18"/>
    <mergeCell ref="A24:H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Google Shopping Verification</vt:lpstr>
      <vt:lpstr>Dress × Niche Matrix</vt:lpstr>
      <vt:lpstr>Dress Keyword Trends</vt:lpstr>
      <vt:lpstr>Revised Dress Strategy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Owner</cp:lastModifiedBy>
  <cp:revision>0</cp:revision>
  <dcterms:created xsi:type="dcterms:W3CDTF">2026-02-24T15:19:36Z</dcterms:created>
  <dcterms:modified xsi:type="dcterms:W3CDTF">2026-02-27T00:06:38Z</dcterms:modified>
  <dc:language>en-US</dc:language>
</cp:coreProperties>
</file>