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90E0CE95-B089-49D8-A0BE-F08634C7AA60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Cotton Catalog (Google)" sheetId="1" r:id="rId1"/>
    <sheet name="Google vs Etsy Fees" sheetId="2" r:id="rId2"/>
    <sheet name="Top Opportunities" sheetId="3" r:id="rId3"/>
    <sheet name="Ads ROI Model" sheetId="4" r:id="rId4"/>
    <sheet name="Launch Playbook" sheetId="5" r:id="rId5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6" i="1"/>
  <c r="G42" i="4" l="1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B21" i="4"/>
  <c r="B20" i="4"/>
  <c r="B7" i="4"/>
  <c r="B9" i="4" s="1"/>
  <c r="J19" i="3"/>
  <c r="I19" i="3"/>
  <c r="H19" i="3"/>
  <c r="G19" i="3"/>
  <c r="I18" i="3"/>
  <c r="G18" i="3"/>
  <c r="J18" i="3" s="1"/>
  <c r="I17" i="3"/>
  <c r="G17" i="3"/>
  <c r="H17" i="3" s="1"/>
  <c r="I16" i="3"/>
  <c r="G16" i="3"/>
  <c r="J16" i="3" s="1"/>
  <c r="I15" i="3"/>
  <c r="G15" i="3"/>
  <c r="H15" i="3" s="1"/>
  <c r="I14" i="3"/>
  <c r="J14" i="3" s="1"/>
  <c r="H14" i="3"/>
  <c r="G14" i="3"/>
  <c r="I13" i="3"/>
  <c r="G13" i="3"/>
  <c r="J13" i="3" s="1"/>
  <c r="I12" i="3"/>
  <c r="G12" i="3"/>
  <c r="H12" i="3" s="1"/>
  <c r="I11" i="3"/>
  <c r="G11" i="3"/>
  <c r="J11" i="3" s="1"/>
  <c r="I10" i="3"/>
  <c r="G10" i="3"/>
  <c r="J10" i="3" s="1"/>
  <c r="I9" i="3"/>
  <c r="J9" i="3" s="1"/>
  <c r="H9" i="3"/>
  <c r="G9" i="3"/>
  <c r="I8" i="3"/>
  <c r="G8" i="3"/>
  <c r="J8" i="3" s="1"/>
  <c r="I7" i="3"/>
  <c r="G7" i="3"/>
  <c r="H7" i="3" s="1"/>
  <c r="I6" i="3"/>
  <c r="G6" i="3"/>
  <c r="H6" i="3" s="1"/>
  <c r="I5" i="3"/>
  <c r="G5" i="3"/>
  <c r="H5" i="3" s="1"/>
  <c r="C23" i="2"/>
  <c r="B23" i="2"/>
  <c r="D23" i="2" s="1"/>
  <c r="B18" i="2"/>
  <c r="B19" i="2" s="1"/>
  <c r="B17" i="2"/>
  <c r="C17" i="2" s="1"/>
  <c r="H40" i="1"/>
  <c r="F40" i="1"/>
  <c r="E40" i="1"/>
  <c r="J38" i="1"/>
  <c r="I38" i="1"/>
  <c r="G38" i="1"/>
  <c r="I37" i="1"/>
  <c r="G37" i="1"/>
  <c r="P37" i="1" s="1"/>
  <c r="I36" i="1"/>
  <c r="G36" i="1"/>
  <c r="I35" i="1"/>
  <c r="G35" i="1"/>
  <c r="P35" i="1" s="1"/>
  <c r="I34" i="1"/>
  <c r="G34" i="1"/>
  <c r="P34" i="1" s="1"/>
  <c r="I33" i="1"/>
  <c r="G33" i="1"/>
  <c r="I32" i="1"/>
  <c r="G32" i="1"/>
  <c r="P31" i="1"/>
  <c r="I31" i="1"/>
  <c r="G31" i="1"/>
  <c r="I30" i="1"/>
  <c r="G30" i="1"/>
  <c r="I29" i="1"/>
  <c r="G29" i="1"/>
  <c r="I28" i="1"/>
  <c r="G28" i="1"/>
  <c r="P28" i="1" s="1"/>
  <c r="I27" i="1"/>
  <c r="G27" i="1"/>
  <c r="P26" i="1"/>
  <c r="I26" i="1"/>
  <c r="G26" i="1"/>
  <c r="I25" i="1"/>
  <c r="G25" i="1"/>
  <c r="P24" i="1"/>
  <c r="I24" i="1"/>
  <c r="G24" i="1"/>
  <c r="I23" i="1"/>
  <c r="G23" i="1"/>
  <c r="P22" i="1"/>
  <c r="I22" i="1"/>
  <c r="G22" i="1"/>
  <c r="I21" i="1"/>
  <c r="G21" i="1"/>
  <c r="I20" i="1"/>
  <c r="G20" i="1"/>
  <c r="I19" i="1"/>
  <c r="G19" i="1"/>
  <c r="I18" i="1"/>
  <c r="G18" i="1"/>
  <c r="P18" i="1" s="1"/>
  <c r="I17" i="1"/>
  <c r="G17" i="1"/>
  <c r="I16" i="1"/>
  <c r="G16" i="1"/>
  <c r="P16" i="1" s="1"/>
  <c r="P15" i="1"/>
  <c r="I15" i="1"/>
  <c r="G15" i="1"/>
  <c r="J14" i="1"/>
  <c r="I14" i="1"/>
  <c r="G14" i="1"/>
  <c r="I13" i="1"/>
  <c r="G13" i="1"/>
  <c r="J12" i="1"/>
  <c r="I12" i="1"/>
  <c r="G12" i="1"/>
  <c r="I11" i="1"/>
  <c r="G11" i="1"/>
  <c r="J10" i="1"/>
  <c r="I10" i="1"/>
  <c r="G10" i="1"/>
  <c r="J9" i="1"/>
  <c r="I9" i="1"/>
  <c r="G9" i="1"/>
  <c r="P9" i="1" s="1"/>
  <c r="I8" i="1"/>
  <c r="G8" i="1"/>
  <c r="P8" i="1" s="1"/>
  <c r="J7" i="1"/>
  <c r="I7" i="1"/>
  <c r="G7" i="1"/>
  <c r="P7" i="1" s="1"/>
  <c r="I6" i="1"/>
  <c r="G6" i="1"/>
  <c r="P6" i="1" s="1"/>
  <c r="J3" i="1"/>
  <c r="J33" i="1" s="1"/>
  <c r="P33" i="1" l="1"/>
  <c r="J18" i="1"/>
  <c r="J23" i="1"/>
  <c r="P29" i="1"/>
  <c r="P13" i="1"/>
  <c r="P19" i="1"/>
  <c r="J34" i="1"/>
  <c r="M14" i="1"/>
  <c r="J29" i="1"/>
  <c r="J20" i="1"/>
  <c r="J25" i="1"/>
  <c r="J30" i="1"/>
  <c r="M30" i="1" s="1"/>
  <c r="P20" i="1"/>
  <c r="P36" i="1"/>
  <c r="M21" i="1"/>
  <c r="J36" i="1"/>
  <c r="M25" i="1"/>
  <c r="J21" i="1"/>
  <c r="I40" i="1"/>
  <c r="J16" i="1"/>
  <c r="P38" i="1"/>
  <c r="J31" i="1"/>
  <c r="N40" i="1"/>
  <c r="J11" i="1"/>
  <c r="M11" i="1" s="1"/>
  <c r="P11" i="1"/>
  <c r="P17" i="1"/>
  <c r="J22" i="1"/>
  <c r="J32" i="1"/>
  <c r="M12" i="1"/>
  <c r="J27" i="1"/>
  <c r="M27" i="1" s="1"/>
  <c r="Q31" i="1"/>
  <c r="M31" i="1"/>
  <c r="M33" i="1"/>
  <c r="B14" i="4"/>
  <c r="B31" i="4"/>
  <c r="B18" i="4"/>
  <c r="B19" i="4"/>
  <c r="B17" i="4"/>
  <c r="M10" i="1"/>
  <c r="H10" i="3"/>
  <c r="D17" i="2"/>
  <c r="C18" i="2"/>
  <c r="J8" i="1"/>
  <c r="P12" i="1"/>
  <c r="J28" i="1"/>
  <c r="P32" i="1"/>
  <c r="J7" i="3"/>
  <c r="J12" i="3"/>
  <c r="J17" i="3"/>
  <c r="J17" i="1"/>
  <c r="P21" i="1"/>
  <c r="J37" i="1"/>
  <c r="B29" i="4"/>
  <c r="J6" i="1"/>
  <c r="P10" i="1"/>
  <c r="J26" i="1"/>
  <c r="P30" i="1"/>
  <c r="B24" i="2"/>
  <c r="H8" i="3"/>
  <c r="H13" i="3"/>
  <c r="H18" i="3"/>
  <c r="B30" i="4"/>
  <c r="J15" i="3"/>
  <c r="H16" i="3"/>
  <c r="J6" i="3"/>
  <c r="J15" i="1"/>
  <c r="J35" i="1"/>
  <c r="C24" i="2"/>
  <c r="D26" i="2" s="1"/>
  <c r="J5" i="3"/>
  <c r="P27" i="1"/>
  <c r="D18" i="2"/>
  <c r="P25" i="1"/>
  <c r="P14" i="1"/>
  <c r="J19" i="1"/>
  <c r="P23" i="1"/>
  <c r="G40" i="1"/>
  <c r="J24" i="1"/>
  <c r="H11" i="3"/>
  <c r="J13" i="1"/>
  <c r="Q22" i="1" l="1"/>
  <c r="M22" i="1"/>
  <c r="M32" i="1"/>
  <c r="Q32" i="1"/>
  <c r="M20" i="1"/>
  <c r="Q20" i="1"/>
  <c r="M23" i="1"/>
  <c r="Q23" i="1"/>
  <c r="Q12" i="1"/>
  <c r="Q11" i="1"/>
  <c r="Q21" i="1"/>
  <c r="P40" i="1"/>
  <c r="Q33" i="1"/>
  <c r="Q19" i="1"/>
  <c r="M19" i="1"/>
  <c r="M26" i="1"/>
  <c r="Q26" i="1"/>
  <c r="Q17" i="1"/>
  <c r="M17" i="1"/>
  <c r="M37" i="1"/>
  <c r="Q37" i="1"/>
  <c r="Q16" i="1"/>
  <c r="M16" i="1"/>
  <c r="E18" i="2"/>
  <c r="C25" i="2"/>
  <c r="B22" i="4"/>
  <c r="B23" i="4" s="1"/>
  <c r="B25" i="4" s="1"/>
  <c r="Q14" i="1"/>
  <c r="M15" i="1"/>
  <c r="Q15" i="1"/>
  <c r="Q7" i="1"/>
  <c r="M7" i="1"/>
  <c r="Q38" i="1"/>
  <c r="M38" i="1"/>
  <c r="Q18" i="1"/>
  <c r="M18" i="1"/>
  <c r="Q29" i="1"/>
  <c r="M29" i="1"/>
  <c r="B24" i="4"/>
  <c r="Q9" i="1"/>
  <c r="M9" i="1"/>
  <c r="M28" i="1"/>
  <c r="Q28" i="1"/>
  <c r="Q30" i="1"/>
  <c r="Q27" i="1"/>
  <c r="O40" i="1"/>
  <c r="Q24" i="1"/>
  <c r="M24" i="1"/>
  <c r="Q10" i="1"/>
  <c r="M8" i="1"/>
  <c r="Q8" i="1"/>
  <c r="B25" i="2"/>
  <c r="D25" i="2" s="1"/>
  <c r="E17" i="2"/>
  <c r="D19" i="2"/>
  <c r="M34" i="1"/>
  <c r="Q34" i="1"/>
  <c r="J40" i="1"/>
  <c r="M35" i="1"/>
  <c r="Q35" i="1"/>
  <c r="M13" i="1"/>
  <c r="Q13" i="1"/>
  <c r="Q36" i="1"/>
  <c r="M36" i="1"/>
  <c r="Q25" i="1"/>
  <c r="D24" i="2"/>
  <c r="M6" i="1" l="1"/>
  <c r="M40" i="1" s="1"/>
  <c r="L40" i="1"/>
  <c r="Q6" i="1"/>
  <c r="Q40" i="1" s="1"/>
</calcChain>
</file>

<file path=xl/sharedStrings.xml><?xml version="1.0" encoding="utf-8"?>
<sst xmlns="http://schemas.openxmlformats.org/spreadsheetml/2006/main" count="402" uniqueCount="287">
  <si>
    <t>YOYCOL 100% COTTON — Google Shopping + Shopify Analysis (33 Products)</t>
  </si>
  <si>
    <t>Google Shopping: FREE listings, $0 commission. Shopify Payments: 2.9% + $0.30/txn. Shopify Basic: $29/mo.</t>
  </si>
  <si>
    <t>Shopify Rate:</t>
  </si>
  <si>
    <t>Txn Fee:</t>
  </si>
  <si>
    <t>Shopify/mo:</t>
  </si>
  <si>
    <t>Est. Sales/mo:</t>
  </si>
  <si>
    <t>Shopify/sale:</t>
  </si>
  <si>
    <t>Etsy Fee Rate:</t>
  </si>
  <si>
    <t>Etsy Listing:</t>
  </si>
  <si>
    <t>#</t>
  </si>
  <si>
    <t>Product Name</t>
  </si>
  <si>
    <t>Cat</t>
  </si>
  <si>
    <t>Type</t>
  </si>
  <si>
    <t>Yoycol
Cost</t>
  </si>
  <si>
    <t>Est.
Ship</t>
  </si>
  <si>
    <t>Landed</t>
  </si>
  <si>
    <t>Sale
Price</t>
  </si>
  <si>
    <t>Shopify
Fees</t>
  </si>
  <si>
    <t>Shopify
Amort.</t>
  </si>
  <si>
    <t>Google
Profit</t>
  </si>
  <si>
    <t>Google
Margin</t>
  </si>
  <si>
    <t>Etsy
Fees</t>
  </si>
  <si>
    <t>Etsy
Profit</t>
  </si>
  <si>
    <t>Etsy
Margin</t>
  </si>
  <si>
    <t>Google
Advantage</t>
  </si>
  <si>
    <t>Women's Cropped T-shirt</t>
  </si>
  <si>
    <t>Tops</t>
  </si>
  <si>
    <t>AOP</t>
  </si>
  <si>
    <t>Women's Round Neck T-Shirt</t>
  </si>
  <si>
    <t>Women's Leisure Blazer</t>
  </si>
  <si>
    <t>Outerwear</t>
  </si>
  <si>
    <t>Women's Sleeveless Dress With Pocket</t>
  </si>
  <si>
    <t>Dresses</t>
  </si>
  <si>
    <t>Women's Oversized T-shirt</t>
  </si>
  <si>
    <t>Women's Cropped Jacket</t>
  </si>
  <si>
    <t>Women's T-Shirt Comfort Colors C1717 Front DTF</t>
  </si>
  <si>
    <t>DTF</t>
  </si>
  <si>
    <t>Women's Pajamas Set</t>
  </si>
  <si>
    <t>Loungewear</t>
  </si>
  <si>
    <t>Unisex Boat Neck Sweatshirt w/ Pocket</t>
  </si>
  <si>
    <t>Sweatshirts</t>
  </si>
  <si>
    <t>Women's Front Mid-slit Skirt</t>
  </si>
  <si>
    <t>Bottoms</t>
  </si>
  <si>
    <t>Women's Comfort Shirt With Button</t>
  </si>
  <si>
    <t>Women's Shirt 125GSM</t>
  </si>
  <si>
    <t>Women's Cold Shoulder Dress</t>
  </si>
  <si>
    <t>Women's Sports Vest</t>
  </si>
  <si>
    <t>Activewear</t>
  </si>
  <si>
    <t>Women's T-Shirt Comfort Colors C1717 Front DTG</t>
  </si>
  <si>
    <t>DTG</t>
  </si>
  <si>
    <t>Women's Racer Vest</t>
  </si>
  <si>
    <t>Women's Waist Tight Dress</t>
  </si>
  <si>
    <t>Women's T-Shirt C1717 Double DTG</t>
  </si>
  <si>
    <t>Women's Round Neck Dress 190GSM</t>
  </si>
  <si>
    <t>Women's Bell Sleeve Top</t>
  </si>
  <si>
    <t>Women's V Neck Dress 180GSM</t>
  </si>
  <si>
    <t>Women's Dress 180GSM</t>
  </si>
  <si>
    <t>Women's Bat Sleeves Blouse</t>
  </si>
  <si>
    <t>Women's O-neck Cami Dress</t>
  </si>
  <si>
    <t>Women's T-Shirt USA Print 200GSM DTF</t>
  </si>
  <si>
    <t>Women's Pajama T-shirt</t>
  </si>
  <si>
    <t>Women's Formal Vest</t>
  </si>
  <si>
    <t>Women's Pajama Pants</t>
  </si>
  <si>
    <t>Women's Lace Vest USA Print</t>
  </si>
  <si>
    <t>Women's T-Shirt C1717 Back DTG</t>
  </si>
  <si>
    <t>Women's T-Shirt C1717 Front DTG</t>
  </si>
  <si>
    <t>Unisex Heavyweight T-Shirt C1717 Double DTF</t>
  </si>
  <si>
    <t>Unisex Heavyweight T-Shirt C1717 Back DTF</t>
  </si>
  <si>
    <t>AVERAGES →</t>
  </si>
  <si>
    <t>GOOGLE SHOPPING vs ETSY — Fee Structure Comparison</t>
  </si>
  <si>
    <t>Google Shopping charges $0 commission. Etsy takes 24.5% + $0.20. The math is brutal for Etsy sellers.</t>
  </si>
  <si>
    <t>Fee Component</t>
  </si>
  <si>
    <t>Google Shopping
+ Shopify</t>
  </si>
  <si>
    <t>Etsy</t>
  </si>
  <si>
    <t>Difference
Per $40 Sale</t>
  </si>
  <si>
    <t>Annual Savings
(50 sales/mo)</t>
  </si>
  <si>
    <t>Notes</t>
  </si>
  <si>
    <t>Platform Commission</t>
  </si>
  <si>
    <t>$0 (Google is FREE)</t>
  </si>
  <si>
    <t>6.5% = $2.60</t>
  </si>
  <si>
    <t>$2.60</t>
  </si>
  <si>
    <t>$1,560</t>
  </si>
  <si>
    <t>Google charges ZERO commission on sales. Etsy takes 6.5% of every sale.</t>
  </si>
  <si>
    <t>Payment Processing</t>
  </si>
  <si>
    <t>2.9% + $0.30 = $1.46</t>
  </si>
  <si>
    <t>3.0% + $0.25 = $1.45</t>
  </si>
  <si>
    <t>-$0.01</t>
  </si>
  <si>
    <t>-$6</t>
  </si>
  <si>
    <t>Nearly identical. Shopify Payments vs Etsy Payments.</t>
  </si>
  <si>
    <t>Offsite Ads Tax</t>
  </si>
  <si>
    <t>$0</t>
  </si>
  <si>
    <t>15% = $6.00 (if triggered)</t>
  </si>
  <si>
    <t>$6.00</t>
  </si>
  <si>
    <t>$3,600</t>
  </si>
  <si>
    <t>Etsy charges 15% on sales from their ads. You can't opt out above $10K revenue. Google: you control your own ad budget.</t>
  </si>
  <si>
    <t>Listing Fee</t>
  </si>
  <si>
    <t>$0.20 per listing (renews every 4 months)</t>
  </si>
  <si>
    <t>$0.20</t>
  </si>
  <si>
    <t>$120</t>
  </si>
  <si>
    <t>Google Merchant Center: unlimited free product listings. Etsy charges $0.20/listing.</t>
  </si>
  <si>
    <t>Monthly Subscription</t>
  </si>
  <si>
    <t>$29/mo (Shopify Basic)</t>
  </si>
  <si>
    <t>$0 (included)</t>
  </si>
  <si>
    <t>-$29/mo</t>
  </si>
  <si>
    <t>-$348</t>
  </si>
  <si>
    <t>Shopify is the main fixed cost. But it gives you YOUR OWN store + domain + email.</t>
  </si>
  <si>
    <t>Multi-quantity Fee</t>
  </si>
  <si>
    <t>$0.20 per additional unit</t>
  </si>
  <si>
    <t>Variable</t>
  </si>
  <si>
    <t>Etsy charges per-unit listing fees. Shopify: sell unlimited units free.</t>
  </si>
  <si>
    <t>Regulatory Fee</t>
  </si>
  <si>
    <t>0.27-0.97% (new 2025)</t>
  </si>
  <si>
    <t>~$0.16</t>
  </si>
  <si>
    <t>~$96</t>
  </si>
  <si>
    <t>Etsy added regulatory operating fees in select states.</t>
  </si>
  <si>
    <t>Currency Conversion</t>
  </si>
  <si>
    <t>1.5% (Shopify)</t>
  </si>
  <si>
    <t>2.5% (Etsy)</t>
  </si>
  <si>
    <t>-$0.40</t>
  </si>
  <si>
    <t>-$240</t>
  </si>
  <si>
    <t>Shopify charges less for international sales.</t>
  </si>
  <si>
    <t>TOTAL FEE COMPARISON — On a $40 Sale</t>
  </si>
  <si>
    <t>Platform</t>
  </si>
  <si>
    <t>Total Fees</t>
  </si>
  <si>
    <t>Fee %</t>
  </si>
  <si>
    <t>Your Profit
(on $40 sale, $20 COGS)</t>
  </si>
  <si>
    <t>Your Margin</t>
  </si>
  <si>
    <t>Google Shopping + Shopify</t>
  </si>
  <si>
    <t>Etsy (with offsite ads)</t>
  </si>
  <si>
    <t>YOU SAVE WITH GOOGLE →</t>
  </si>
  <si>
    <t>ANNUAL PROJECTION — 50 sales/month × 12 months = 600 sales/year</t>
  </si>
  <si>
    <t>Metric</t>
  </si>
  <si>
    <t>Google+Shopify</t>
  </si>
  <si>
    <t>Difference</t>
  </si>
  <si>
    <t>Total Sales (600 × $40)</t>
  </si>
  <si>
    <t>Total Fees Paid</t>
  </si>
  <si>
    <t>Total Profit</t>
  </si>
  <si>
    <t>ANNUAL FEE SAVINGS →</t>
  </si>
  <si>
    <t>TOP COTTON OPPORTUNITIES — Ranked for Google Shopping</t>
  </si>
  <si>
    <t>With ~5% total fees (vs Etsy's 24.5%), every product is more profitable. USA-printed items get 2-day shipping = Google Shopping advantage.</t>
  </si>
  <si>
    <t>★</t>
  </si>
  <si>
    <t>Product</t>
  </si>
  <si>
    <t>Cost</t>
  </si>
  <si>
    <t>Ship</t>
  </si>
  <si>
    <t>Price</t>
  </si>
  <si>
    <t>Extra $ vs
Etsy</t>
  </si>
  <si>
    <t>Why It Wins on Google</t>
  </si>
  <si>
    <t>Priority</t>
  </si>
  <si>
    <t>★★★</t>
  </si>
  <si>
    <t>USA Print DTF Tee ($5.29)</t>
  </si>
  <si>
    <t>2-DAY shipping from USA = Google Shopping LOVES fast delivery. $5.29 cost = incredible margin without Etsy's 24.5% tax.</t>
  </si>
  <si>
    <t>P1 — NOW</t>
  </si>
  <si>
    <t>Lace Vest USA Print ($7.29)</t>
  </si>
  <si>
    <t>USA-printed = 2-day ship. Lace detail photographs beautifully for Shopping ads. Low CPC in lace niche.</t>
  </si>
  <si>
    <t>Cropped T-shirt AOP ($8.15)</t>
  </si>
  <si>
    <t>Crop tops have massive Google Shopping volume. At $29.99 impulse price, conversion rate is high.</t>
  </si>
  <si>
    <t>Comfort Colors C1717 Front DTF ($8.29)</t>
  </si>
  <si>
    <t>'Comfort Colors' has 40K/mo BRANDED search on Google. Shoppers search the blank name directly. Free organic traffic.</t>
  </si>
  <si>
    <t>Round Neck T-Shirt AOP ($8.75)</t>
  </si>
  <si>
    <t>S-9XL = show up for plus-size searches. Google Shopping shows size availability = competitive edge.</t>
  </si>
  <si>
    <t>Racer Vest AOP ($8.92)</t>
  </si>
  <si>
    <t>Racerback tank at $24.99 = impulse buy. Summer seasonal, high Shopping click-through rate.</t>
  </si>
  <si>
    <t>★★</t>
  </si>
  <si>
    <t>Leisure Blazer AOP ($25.64)</t>
  </si>
  <si>
    <t>HIGH TICKET on Google Shopping = higher ad ROI. $69.99 blazer gets fewer but more qualified clicks. The Etsy fee savings of ~$15/sale make this viable.</t>
  </si>
  <si>
    <t>P2 — SOON</t>
  </si>
  <si>
    <t>Pajamas Set AOP ($23.49)</t>
  </si>
  <si>
    <t>Google Shopping CRUSHES for gift searches. 'Matching pajamas gift' peaks Q4. No Etsy offsite ad tax.</t>
  </si>
  <si>
    <t>P2 — Q4</t>
  </si>
  <si>
    <t>Oversized T-shirt AOP ($14.69)</t>
  </si>
  <si>
    <t>'Oversized tee women' = 22K/mo Google search. Trending keyword. At $34.99 with ~5% fees, strong margin.</t>
  </si>
  <si>
    <t>Waist Tight Dress AOP ($13.19)</t>
  </si>
  <si>
    <t>Bodycon dress 15K/mo search. Google Shopping shows product images = visual-first selling. Great for dark aesthetic.</t>
  </si>
  <si>
    <t>Cold Shoulder Dress AOP ($13.29)</t>
  </si>
  <si>
    <t>Cold shoulder = visual differentiator in Shopping results. Stands out in image grid vs plain tees.</t>
  </si>
  <si>
    <t>O-neck Cami Dress AOP ($13.29)</t>
  </si>
  <si>
    <t>Summer cami at $34.99. Google Shopping volume surges Apr-Aug. Low competition in AOP cami niche.</t>
  </si>
  <si>
    <t>P2 — SUMMER</t>
  </si>
  <si>
    <t>Bat Sleeves Blouse AOP ($19.99)</t>
  </si>
  <si>
    <t>Niche 'batwing blouse' keyword = low CPC on Google Shopping ads ($0.15-$0.30). Witchy aesthetic.</t>
  </si>
  <si>
    <t>P3</t>
  </si>
  <si>
    <t>Bell Sleeve Top AOP ($18.39)</t>
  </si>
  <si>
    <t>Bell sleeve = boho Google Shopping searches. Pair with retargeting ads. No Etsy offsite ad cannibalization.</t>
  </si>
  <si>
    <t>Boat Neck Sweatshirt 310GSM ($23.09)</t>
  </si>
  <si>
    <t>310GSM heavyweight = premium positioning. Google Shopping rewards detailed product specs in structured data.</t>
  </si>
  <si>
    <t>GOOGLE SHOPPING ADS — ROI Model &amp; Breakeven Analysis</t>
  </si>
  <si>
    <t>Google Shopping Ads are optional but powerful. This model shows when ads become profitable.</t>
  </si>
  <si>
    <t>ASSUMPTIONS (adjust blue cells)</t>
  </si>
  <si>
    <t>Value</t>
  </si>
  <si>
    <t>Monthly Ad Budget</t>
  </si>
  <si>
    <t>Avg CPC (Google Shopping)</t>
  </si>
  <si>
    <t>Clicks/Month</t>
  </si>
  <si>
    <t>Conversion Rate</t>
  </si>
  <si>
    <t>Sales from Ads/Month</t>
  </si>
  <si>
    <t>Avg Order Value (AOV)</t>
  </si>
  <si>
    <t>Avg COGS + Ship (Landed)</t>
  </si>
  <si>
    <t>Shopify Fee Rate</t>
  </si>
  <si>
    <t>Shopify Txn Fee</t>
  </si>
  <si>
    <t>Shopify Monthly (amort.)</t>
  </si>
  <si>
    <t>MONTHLY RESULTS</t>
  </si>
  <si>
    <t>Amount</t>
  </si>
  <si>
    <t>Revenue from Ad Sales</t>
  </si>
  <si>
    <t>COGS + Shipping</t>
  </si>
  <si>
    <t>Shopify Fees</t>
  </si>
  <si>
    <t>Shopify Subscription</t>
  </si>
  <si>
    <t>Google Ad Spend</t>
  </si>
  <si>
    <t>Total Costs</t>
  </si>
  <si>
    <t>NET PROFIT (from ads)</t>
  </si>
  <si>
    <t>ROAS (Return on Ad Spend)</t>
  </si>
  <si>
    <t>Profit per Ad Sale</t>
  </si>
  <si>
    <t>BREAKEVEN ANALYSIS</t>
  </si>
  <si>
    <t>Breakeven Conv. Rate</t>
  </si>
  <si>
    <t>The conversion rate needed so ad profit = $0</t>
  </si>
  <si>
    <t>Breakeven CPC (at current conv.)</t>
  </si>
  <si>
    <t>Max CPC you can afford and still break even</t>
  </si>
  <si>
    <t>Breakeven AOV (at current CPC/conv.)</t>
  </si>
  <si>
    <t>Min AOV needed to break even on ads</t>
  </si>
  <si>
    <t>SCENARIO TABLE — Monthly Profit at Different CPC × Conversion Rates</t>
  </si>
  <si>
    <t>CPC →
Conv ↓</t>
  </si>
  <si>
    <t>GOOGLE SHOPPING LAUNCH PLAYBOOK — Cotton Collection</t>
  </si>
  <si>
    <t>Step-by-step plan to launch 100% cotton products on Google Shopping via Shopify. $0 to start (free listings).</t>
  </si>
  <si>
    <t>Step</t>
  </si>
  <si>
    <t>Action</t>
  </si>
  <si>
    <t>Details</t>
  </si>
  <si>
    <t>Time</t>
  </si>
  <si>
    <t>Expected Result</t>
  </si>
  <si>
    <t>Tools</t>
  </si>
  <si>
    <t>1</t>
  </si>
  <si>
    <t>Set Up Shopify Store</t>
  </si>
  <si>
    <t>Create Shopify Basic store ($29/mo). Use a clean, professional theme (Dawn is free). Set up Shopify Payments to avoid extra fees. Add domain (~$14/yr).</t>
  </si>
  <si>
    <t>$29/mo
+$14/yr</t>
  </si>
  <si>
    <t>1 day</t>
  </si>
  <si>
    <t>Live storefront with payment processing</t>
  </si>
  <si>
    <t>Shopify, Namecheap</t>
  </si>
  <si>
    <t>2</t>
  </si>
  <si>
    <t>Connect Google Merchant Center</t>
  </si>
  <si>
    <t>Install Shopify's free 'Google &amp; YouTube' app. Sync product catalog. Verify and claim your website URL. Set up shipping rates and tax.</t>
  </si>
  <si>
    <t>2 hours</t>
  </si>
  <si>
    <t>Products synced to Google Merchant Center</t>
  </si>
  <si>
    <t>Google &amp; YouTube app</t>
  </si>
  <si>
    <t>3</t>
  </si>
  <si>
    <t>Optimize Product Listings</t>
  </si>
  <si>
    <t>Use structured data: material (100% cotton), brand, GSM weight, size range. Write Google-optimized titles (front-load keywords). Add GTINs if available.</t>
  </si>
  <si>
    <t>Products appear in Google Shopping free listings</t>
  </si>
  <si>
    <t>Shopify SEO tools</t>
  </si>
  <si>
    <t>4</t>
  </si>
  <si>
    <t>Add 6 Phase 1 Cotton Products</t>
  </si>
  <si>
    <t>Connect Yoycol via Shopify app or manual fulfillment. Add 6 cheapest cotton products (DTF tees, cropped tee, racer vest). Set competitive prices.</t>
  </si>
  <si>
    <t>6 live products on Google Shopping</t>
  </si>
  <si>
    <t>Yoycol Shopify app</t>
  </si>
  <si>
    <t>5</t>
  </si>
  <si>
    <t>Set Up Google Shopping Ads</t>
  </si>
  <si>
    <t>Create Performance Max campaign in Google Ads. Set $10/day budget initially. Target women 22-34 in US. Use product-specific bidding.</t>
  </si>
  <si>
    <t>$300/mo</t>
  </si>
  <si>
    <t>Ads live, driving targeted traffic</t>
  </si>
  <si>
    <t>Google Ads</t>
  </si>
  <si>
    <t>6</t>
  </si>
  <si>
    <t>Launch Free Listings + Ads</t>
  </si>
  <si>
    <t>Products appear in both free Shopping tab AND paid Shopping ads. Monitor CTR and conversion rate. Optimize product images (lifestyle &gt; white bg).</t>
  </si>
  <si>
    <t>Ongoing</t>
  </si>
  <si>
    <t>First sales within 1-2 weeks</t>
  </si>
  <si>
    <t>Google Ads, Analytics</t>
  </si>
  <si>
    <t>7</t>
  </si>
  <si>
    <t>Scale Winners</t>
  </si>
  <si>
    <t>After 2 weeks, identify top-performing products by ROAS. Increase budget on winners. Pause underperformers. Add Phase 2 dresses.</t>
  </si>
  <si>
    <t>Week 3+</t>
  </si>
  <si>
    <t>Positive ROAS, scaling ad spend</t>
  </si>
  <si>
    <t>Google Ads dashboard</t>
  </si>
  <si>
    <t>8</t>
  </si>
  <si>
    <t>Add Retargeting</t>
  </si>
  <si>
    <t>Set up Google Display retargeting for cart abandoners. Add YouTube Shopping ads for awareness. Use Performance Max's AI targeting.</t>
  </si>
  <si>
    <t>+$100/mo</t>
  </si>
  <si>
    <t>Month 2</t>
  </si>
  <si>
    <t>Recover 15-25% of abandoned carts</t>
  </si>
  <si>
    <t>Google Ads, GA4</t>
  </si>
  <si>
    <t>9</t>
  </si>
  <si>
    <t>Expand to Multi-Tier Listings</t>
  </si>
  <si>
    <t>Add cotton dresses ($39.99) and AOP hoodies ($74.99) as related products. Create product bundles. Implement cross-selling.</t>
  </si>
  <si>
    <t>Month 3</t>
  </si>
  <si>
    <t>Higher AOV, better ad ROI</t>
  </si>
  <si>
    <t>Shopify apps</t>
  </si>
  <si>
    <t>10</t>
  </si>
  <si>
    <t>SEO + Content Marketing</t>
  </si>
  <si>
    <t>Create blog posts targeting 'cotton t-shirt', 'comfort colors tee' keywords. Build backlinks. Google Shopping favors stores with strong SEO.</t>
  </si>
  <si>
    <t>Organic traffic growth, lower CAC</t>
  </si>
  <si>
    <t>Shopify blog, Ahrefs</t>
  </si>
  <si>
    <t>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</si>
</sst>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\$#,##0.00"/>
    <numFmt numFmtId="166" formatCode="&quot;+$&quot;#,##0.00;&quot;-$&quot;#,##0.00"/>
    <numFmt numFmtId="167" formatCode="&quot;+$&quot;#,##0.00"/>
    <numFmt numFmtId="168" formatCode="\$#,##0"/>
    <numFmt numFmtId="169" formatCode="&quot;+$&quot;#,##0;&quot;-$&quot;#,##0"/>
    <numFmt numFmtId="170" formatCode="&quot;+$&quot;#,##0"/>
    <numFmt numFmtId="171" formatCode="0.00\x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AAAAA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FFD700"/>
      <name val="Arial"/>
      <charset val="1"/>
    </font>
    <font>
      <sz val="10"/>
      <color rgb="FFFF6B6B"/>
      <name val="Arial"/>
      <charset val="1"/>
    </font>
    <font>
      <b/>
      <sz val="10"/>
      <color rgb="FF00BFFF"/>
      <name val="Arial"/>
      <charset val="1"/>
    </font>
    <font>
      <sz val="10"/>
      <color rgb="FFFFFFFF"/>
      <name val="Arial"/>
      <charset val="1"/>
    </font>
    <font>
      <sz val="10"/>
      <color rgb="FF00FF7F"/>
      <name val="Arial"/>
      <charset val="1"/>
    </font>
    <font>
      <b/>
      <sz val="10"/>
      <color rgb="FF4285F4"/>
      <name val="Arial"/>
      <charset val="1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00B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E94560"/>
        <bgColor rgb="FFFF6B6B"/>
      </patternFill>
    </fill>
    <fill>
      <patternFill patternType="solid">
        <fgColor rgb="FF1A73E8"/>
        <bgColor rgb="FF0066CC"/>
      </patternFill>
    </fill>
    <fill>
      <patternFill patternType="solid">
        <fgColor rgb="FF1B5E20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2" borderId="0" xfId="0" applyFont="1" applyFill="1"/>
    <xf numFmtId="164" fontId="4" fillId="2" borderId="0" xfId="0" applyNumberFormat="1" applyFont="1" applyFill="1"/>
    <xf numFmtId="165" fontId="4" fillId="2" borderId="0" xfId="0" applyNumberFormat="1" applyFont="1" applyFill="1"/>
    <xf numFmtId="0" fontId="4" fillId="2" borderId="0" xfId="0" applyFont="1" applyFill="1"/>
    <xf numFmtId="165" fontId="5" fillId="2" borderId="0" xfId="0" applyNumberFormat="1" applyFont="1" applyFill="1"/>
    <xf numFmtId="164" fontId="6" fillId="2" borderId="0" xfId="0" applyNumberFormat="1" applyFont="1" applyFill="1"/>
    <xf numFmtId="165" fontId="6" fillId="2" borderId="0" xfId="0" applyNumberFormat="1" applyFont="1" applyFill="1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65" fontId="4" fillId="4" borderId="1" xfId="0" applyNumberFormat="1" applyFont="1" applyFill="1" applyBorder="1" applyAlignment="1">
      <alignment vertical="center" wrapText="1"/>
    </xf>
    <xf numFmtId="165" fontId="9" fillId="4" borderId="1" xfId="0" applyNumberFormat="1" applyFont="1" applyFill="1" applyBorder="1" applyAlignment="1">
      <alignment vertical="center" wrapText="1"/>
    </xf>
    <xf numFmtId="165" fontId="6" fillId="4" borderId="1" xfId="0" applyNumberFormat="1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165" fontId="8" fillId="4" borderId="1" xfId="0" applyNumberFormat="1" applyFont="1" applyFill="1" applyBorder="1" applyAlignment="1">
      <alignment vertical="center" wrapText="1"/>
    </xf>
    <xf numFmtId="164" fontId="8" fillId="4" borderId="1" xfId="0" applyNumberFormat="1" applyFont="1" applyFill="1" applyBorder="1" applyAlignment="1">
      <alignment vertical="center" wrapText="1"/>
    </xf>
    <xf numFmtId="166" fontId="10" fillId="4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65" fontId="4" fillId="2" borderId="1" xfId="0" applyNumberFormat="1" applyFont="1" applyFill="1" applyBorder="1" applyAlignment="1">
      <alignment vertical="center" wrapText="1"/>
    </xf>
    <xf numFmtId="165" fontId="9" fillId="2" borderId="1" xfId="0" applyNumberFormat="1" applyFont="1" applyFill="1" applyBorder="1" applyAlignment="1">
      <alignment vertical="center" wrapText="1"/>
    </xf>
    <xf numFmtId="165" fontId="6" fillId="2" borderId="1" xfId="0" applyNumberFormat="1" applyFont="1" applyFill="1" applyBorder="1" applyAlignment="1">
      <alignment vertical="center" wrapText="1"/>
    </xf>
    <xf numFmtId="164" fontId="5" fillId="2" borderId="1" xfId="0" applyNumberFormat="1" applyFont="1" applyFill="1" applyBorder="1" applyAlignment="1">
      <alignment vertical="center" wrapText="1"/>
    </xf>
    <xf numFmtId="165" fontId="8" fillId="2" borderId="1" xfId="0" applyNumberFormat="1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166" fontId="10" fillId="2" borderId="1" xfId="0" applyNumberFormat="1" applyFont="1" applyFill="1" applyBorder="1" applyAlignment="1">
      <alignment vertical="center" wrapText="1"/>
    </xf>
    <xf numFmtId="165" fontId="5" fillId="5" borderId="0" xfId="0" applyNumberFormat="1" applyFont="1" applyFill="1"/>
    <xf numFmtId="164" fontId="5" fillId="5" borderId="0" xfId="0" applyNumberFormat="1" applyFont="1" applyFill="1"/>
    <xf numFmtId="0" fontId="10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7" fontId="5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8" fontId="10" fillId="4" borderId="1" xfId="0" applyNumberFormat="1" applyFont="1" applyFill="1" applyBorder="1" applyAlignment="1">
      <alignment horizontal="center" vertical="center" wrapText="1"/>
    </xf>
    <xf numFmtId="168" fontId="6" fillId="4" borderId="1" xfId="0" applyNumberFormat="1" applyFont="1" applyFill="1" applyBorder="1" applyAlignment="1">
      <alignment horizontal="center" vertical="center" wrapText="1"/>
    </xf>
    <xf numFmtId="169" fontId="5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8" fontId="10" fillId="2" borderId="1" xfId="0" applyNumberFormat="1" applyFont="1" applyFill="1" applyBorder="1" applyAlignment="1">
      <alignment horizontal="center" vertical="center" wrapText="1"/>
    </xf>
    <xf numFmtId="168" fontId="6" fillId="2" borderId="1" xfId="0" applyNumberFormat="1" applyFont="1" applyFill="1" applyBorder="1" applyAlignment="1">
      <alignment horizontal="center" vertical="center" wrapText="1"/>
    </xf>
    <xf numFmtId="169" fontId="5" fillId="2" borderId="1" xfId="0" applyNumberFormat="1" applyFont="1" applyFill="1" applyBorder="1" applyAlignment="1">
      <alignment horizontal="center" vertical="center" wrapText="1"/>
    </xf>
    <xf numFmtId="170" fontId="5" fillId="7" borderId="1" xfId="0" applyNumberFormat="1" applyFont="1" applyFill="1" applyBorder="1" applyAlignment="1">
      <alignment horizontal="center" vertical="center" wrapText="1"/>
    </xf>
    <xf numFmtId="167" fontId="10" fillId="4" borderId="1" xfId="0" applyNumberFormat="1" applyFont="1" applyFill="1" applyBorder="1" applyAlignment="1">
      <alignment vertical="center" wrapText="1"/>
    </xf>
    <xf numFmtId="167" fontId="10" fillId="2" borderId="1" xfId="0" applyNumberFormat="1" applyFont="1" applyFill="1" applyBorder="1" applyAlignment="1">
      <alignment vertical="center" wrapText="1"/>
    </xf>
    <xf numFmtId="0" fontId="7" fillId="3" borderId="0" xfId="0" applyFont="1" applyFill="1"/>
    <xf numFmtId="0" fontId="7" fillId="3" borderId="0" xfId="0" applyFont="1" applyFill="1" applyAlignment="1">
      <alignment horizontal="center" vertical="center" wrapText="1"/>
    </xf>
    <xf numFmtId="0" fontId="3" fillId="4" borderId="1" xfId="0" applyFont="1" applyFill="1" applyBorder="1"/>
    <xf numFmtId="0" fontId="3" fillId="2" borderId="1" xfId="0" applyFont="1" applyFill="1" applyBorder="1"/>
    <xf numFmtId="0" fontId="3" fillId="7" borderId="1" xfId="0" applyFont="1" applyFill="1" applyBorder="1"/>
    <xf numFmtId="0" fontId="5" fillId="7" borderId="1" xfId="0" applyFont="1" applyFill="1" applyBorder="1"/>
    <xf numFmtId="0" fontId="2" fillId="4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5" fontId="5" fillId="4" borderId="1" xfId="0" applyNumberFormat="1" applyFont="1" applyFill="1" applyBorder="1" applyAlignment="1">
      <alignment vertical="center" wrapText="1"/>
    </xf>
    <xf numFmtId="165" fontId="7" fillId="3" borderId="0" xfId="0" applyNumberFormat="1" applyFont="1" applyFill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8" fontId="9" fillId="4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8" fontId="9" fillId="2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68" fontId="11" fillId="4" borderId="1" xfId="0" applyNumberFormat="1" applyFont="1" applyFill="1" applyBorder="1"/>
    <xf numFmtId="165" fontId="11" fillId="2" borderId="1" xfId="0" applyNumberFormat="1" applyFont="1" applyFill="1" applyBorder="1"/>
    <xf numFmtId="3" fontId="12" fillId="4" borderId="1" xfId="0" applyNumberFormat="1" applyFont="1" applyFill="1" applyBorder="1"/>
    <xf numFmtId="164" fontId="11" fillId="2" borderId="1" xfId="0" applyNumberFormat="1" applyFont="1" applyFill="1" applyBorder="1"/>
    <xf numFmtId="165" fontId="11" fillId="4" borderId="1" xfId="0" applyNumberFormat="1" applyFont="1" applyFill="1" applyBorder="1"/>
    <xf numFmtId="165" fontId="12" fillId="2" borderId="1" xfId="0" applyNumberFormat="1" applyFont="1" applyFill="1" applyBorder="1"/>
    <xf numFmtId="0" fontId="11" fillId="0" borderId="0" xfId="0" applyFont="1"/>
    <xf numFmtId="0" fontId="12" fillId="3" borderId="0" xfId="0" applyFont="1" applyFill="1"/>
    <xf numFmtId="165" fontId="12" fillId="4" borderId="1" xfId="0" applyNumberFormat="1" applyFont="1" applyFill="1" applyBorder="1"/>
    <xf numFmtId="171" fontId="12" fillId="7" borderId="1" xfId="0" applyNumberFormat="1" applyFont="1" applyFill="1" applyBorder="1"/>
    <xf numFmtId="165" fontId="12" fillId="7" borderId="1" xfId="0" applyNumberFormat="1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0" fontId="5" fillId="5" borderId="0" xfId="0" applyFont="1" applyFill="1" applyBorder="1"/>
    <xf numFmtId="0" fontId="1" fillId="6" borderId="0" xfId="0" applyFont="1" applyFill="1" applyBorder="1"/>
    <xf numFmtId="0" fontId="7" fillId="3" borderId="0" xfId="0" applyFont="1" applyFill="1" applyBorder="1"/>
    <xf numFmtId="165" fontId="11" fillId="4" borderId="1" xfId="0" applyNumberFormat="1" applyFont="1" applyFill="1" applyBorder="1" applyAlignment="1">
      <alignment vertical="center" wrapText="1"/>
    </xf>
    <xf numFmtId="165" fontId="11" fillId="2" borderId="1" xfId="0" applyNumberFormat="1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7F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FFF"/>
      <rgbColor rgb="FFCCFFFF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D700"/>
      <rgbColor rgb="FFFF9900"/>
      <rgbColor rgb="FFE94560"/>
      <rgbColor rgb="FF4285F4"/>
      <rgbColor rgb="FFAAAAAA"/>
      <rgbColor rgb="FF0F3460"/>
      <rgbColor rgb="FF339966"/>
      <rgbColor rgb="FF16213E"/>
      <rgbColor rgb="FF1A1A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73E8"/>
  </sheetPr>
  <dimension ref="A1:Q40"/>
  <sheetViews>
    <sheetView zoomScaleNormal="100" workbookViewId="0">
      <pane ySplit="5" topLeftCell="A6" activePane="bottomLeft" state="frozen"/>
      <selection pane="bottomLeft" activeCell="R9" sqref="R9"/>
    </sheetView>
  </sheetViews>
  <sheetFormatPr defaultColWidth="8.6640625" defaultRowHeight="15" customHeight="1" x14ac:dyDescent="0.3"/>
  <cols>
    <col min="1" max="1" width="4" customWidth="1"/>
    <col min="2" max="2" width="36" customWidth="1"/>
    <col min="3" max="3" width="11" customWidth="1"/>
    <col min="4" max="4" width="6" customWidth="1"/>
    <col min="5" max="5" width="8" customWidth="1"/>
    <col min="6" max="6" width="7" customWidth="1"/>
    <col min="7" max="11" width="8" customWidth="1"/>
    <col min="12" max="12" width="9" customWidth="1"/>
    <col min="13" max="14" width="8" customWidth="1"/>
    <col min="15" max="15" width="9" customWidth="1"/>
    <col min="16" max="16" width="8" customWidth="1"/>
    <col min="17" max="17" width="10" customWidth="1"/>
  </cols>
  <sheetData>
    <row r="1" spans="1:17" ht="17.399999999999999" x14ac:dyDescent="0.3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17" ht="14.4" x14ac:dyDescent="0.3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7" ht="14.4" x14ac:dyDescent="0.3">
      <c r="A3" s="1" t="s">
        <v>2</v>
      </c>
      <c r="B3" s="2">
        <v>2.9000000000000001E-2</v>
      </c>
      <c r="C3" s="1" t="s">
        <v>3</v>
      </c>
      <c r="D3" s="3">
        <v>0.3</v>
      </c>
      <c r="E3" s="1" t="s">
        <v>4</v>
      </c>
      <c r="F3" s="3">
        <v>29</v>
      </c>
      <c r="G3" s="1" t="s">
        <v>5</v>
      </c>
      <c r="H3" s="4">
        <v>50</v>
      </c>
      <c r="I3" s="1" t="s">
        <v>6</v>
      </c>
      <c r="J3" s="5">
        <f>$F$3/$H$3</f>
        <v>0.57999999999999996</v>
      </c>
      <c r="K3" s="5"/>
      <c r="L3" s="1" t="s">
        <v>7</v>
      </c>
      <c r="M3" s="6">
        <v>0.245</v>
      </c>
      <c r="N3" s="1" t="s">
        <v>8</v>
      </c>
      <c r="O3" s="7">
        <v>0.2</v>
      </c>
    </row>
    <row r="5" spans="1:17" ht="39.6" x14ac:dyDescent="0.3">
      <c r="A5" s="8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8" t="s">
        <v>17</v>
      </c>
      <c r="J5" s="8" t="s">
        <v>18</v>
      </c>
      <c r="K5" s="102" t="s">
        <v>286</v>
      </c>
      <c r="L5" s="8" t="s">
        <v>19</v>
      </c>
      <c r="M5" s="8" t="s">
        <v>20</v>
      </c>
      <c r="N5" s="8" t="s">
        <v>21</v>
      </c>
      <c r="O5" s="8" t="s">
        <v>22</v>
      </c>
      <c r="P5" s="8" t="s">
        <v>23</v>
      </c>
      <c r="Q5" s="8" t="s">
        <v>24</v>
      </c>
    </row>
    <row r="6" spans="1:17" ht="14.4" x14ac:dyDescent="0.3">
      <c r="A6" s="9">
        <v>1</v>
      </c>
      <c r="B6" s="10" t="s">
        <v>25</v>
      </c>
      <c r="C6" s="9" t="s">
        <v>26</v>
      </c>
      <c r="D6" s="9" t="s">
        <v>27</v>
      </c>
      <c r="E6" s="100">
        <v>8.15</v>
      </c>
      <c r="F6" s="11">
        <v>6.5</v>
      </c>
      <c r="G6" s="12">
        <f t="shared" ref="G6:G38" si="0">E6+F6</f>
        <v>14.65</v>
      </c>
      <c r="H6" s="11">
        <v>29.99</v>
      </c>
      <c r="I6" s="13">
        <f t="shared" ref="I6:I38" si="1">H6*$B$3+$D$3</f>
        <v>1.16971</v>
      </c>
      <c r="J6" s="13">
        <f t="shared" ref="J6:J38" si="2">$J$3</f>
        <v>0.57999999999999996</v>
      </c>
      <c r="K6" s="13">
        <f>E6*0.33</f>
        <v>2.6895000000000002</v>
      </c>
      <c r="L6" s="12">
        <f>H6-G6-I6-J6-K6</f>
        <v>10.900789999999997</v>
      </c>
      <c r="M6" s="14">
        <f t="shared" ref="M6:M38" si="3">IF(H6&gt;0,L6/H6,0)</f>
        <v>0.36348082694231404</v>
      </c>
      <c r="N6" s="13">
        <f>H6*$M$3+$O$3-K6</f>
        <v>4.8580499999999986</v>
      </c>
      <c r="O6" s="15">
        <f>H6-G6-N6-K6</f>
        <v>7.7924499999999988</v>
      </c>
      <c r="P6" s="16">
        <f t="shared" ref="P6:P38" si="4">IF(H6&gt;0,O6/H6,0)</f>
        <v>0.25983494498166054</v>
      </c>
      <c r="Q6" s="17">
        <f t="shared" ref="Q6:Q38" si="5">L6-O6</f>
        <v>3.1083399999999983</v>
      </c>
    </row>
    <row r="7" spans="1:17" ht="14.4" x14ac:dyDescent="0.3">
      <c r="A7" s="18">
        <v>2</v>
      </c>
      <c r="B7" s="19" t="s">
        <v>28</v>
      </c>
      <c r="C7" s="18" t="s">
        <v>26</v>
      </c>
      <c r="D7" s="18" t="s">
        <v>27</v>
      </c>
      <c r="E7" s="101">
        <v>8.75</v>
      </c>
      <c r="F7" s="20">
        <v>6.5</v>
      </c>
      <c r="G7" s="21">
        <f t="shared" si="0"/>
        <v>15.25</v>
      </c>
      <c r="H7" s="20">
        <v>29.99</v>
      </c>
      <c r="I7" s="22">
        <f t="shared" si="1"/>
        <v>1.16971</v>
      </c>
      <c r="J7" s="22">
        <f t="shared" si="2"/>
        <v>0.57999999999999996</v>
      </c>
      <c r="K7" s="13">
        <f t="shared" ref="K7:K38" si="6">E7*0.33</f>
        <v>2.8875000000000002</v>
      </c>
      <c r="L7" s="12">
        <f t="shared" ref="L7:L38" si="7">H7-G7-I7-J7-K7</f>
        <v>10.102789999999999</v>
      </c>
      <c r="M7" s="23">
        <f t="shared" si="3"/>
        <v>0.33687195731910635</v>
      </c>
      <c r="N7" s="13">
        <f t="shared" ref="N7:N38" si="8">H7*$M$3+$O$3-K7</f>
        <v>4.6600499999999991</v>
      </c>
      <c r="O7" s="15">
        <f t="shared" ref="O7:O38" si="9">H7-G7-N7-K7</f>
        <v>7.19245</v>
      </c>
      <c r="P7" s="25">
        <f t="shared" si="4"/>
        <v>0.2398282760920307</v>
      </c>
      <c r="Q7" s="26">
        <f t="shared" si="5"/>
        <v>2.9103399999999988</v>
      </c>
    </row>
    <row r="8" spans="1:17" ht="14.4" x14ac:dyDescent="0.3">
      <c r="A8" s="9">
        <v>3</v>
      </c>
      <c r="B8" s="10" t="s">
        <v>29</v>
      </c>
      <c r="C8" s="9" t="s">
        <v>30</v>
      </c>
      <c r="D8" s="9" t="s">
        <v>27</v>
      </c>
      <c r="E8" s="100">
        <v>25.64</v>
      </c>
      <c r="F8" s="11">
        <v>8.5</v>
      </c>
      <c r="G8" s="12">
        <f t="shared" si="0"/>
        <v>34.14</v>
      </c>
      <c r="H8" s="11">
        <v>69.989999999999995</v>
      </c>
      <c r="I8" s="13">
        <f t="shared" si="1"/>
        <v>2.3297099999999999</v>
      </c>
      <c r="J8" s="13">
        <f t="shared" si="2"/>
        <v>0.57999999999999996</v>
      </c>
      <c r="K8" s="13">
        <f t="shared" si="6"/>
        <v>8.4611999999999998</v>
      </c>
      <c r="L8" s="12">
        <f t="shared" si="7"/>
        <v>24.479089999999999</v>
      </c>
      <c r="M8" s="14">
        <f t="shared" si="3"/>
        <v>0.34975125017859698</v>
      </c>
      <c r="N8" s="13">
        <f t="shared" si="8"/>
        <v>8.8863499999999984</v>
      </c>
      <c r="O8" s="15">
        <f t="shared" si="9"/>
        <v>18.502449999999996</v>
      </c>
      <c r="P8" s="16">
        <f t="shared" si="4"/>
        <v>0.26435847978282606</v>
      </c>
      <c r="Q8" s="17">
        <f t="shared" si="5"/>
        <v>5.9766400000000033</v>
      </c>
    </row>
    <row r="9" spans="1:17" ht="26.4" x14ac:dyDescent="0.3">
      <c r="A9" s="18">
        <v>4</v>
      </c>
      <c r="B9" s="19" t="s">
        <v>31</v>
      </c>
      <c r="C9" s="18" t="s">
        <v>32</v>
      </c>
      <c r="D9" s="18" t="s">
        <v>27</v>
      </c>
      <c r="E9" s="101">
        <v>23.99</v>
      </c>
      <c r="F9" s="20">
        <v>7.5</v>
      </c>
      <c r="G9" s="21">
        <f t="shared" si="0"/>
        <v>31.49</v>
      </c>
      <c r="H9" s="20">
        <v>54.99</v>
      </c>
      <c r="I9" s="22">
        <f t="shared" si="1"/>
        <v>1.8947100000000001</v>
      </c>
      <c r="J9" s="22">
        <f t="shared" si="2"/>
        <v>0.57999999999999996</v>
      </c>
      <c r="K9" s="13">
        <f t="shared" si="6"/>
        <v>7.9166999999999996</v>
      </c>
      <c r="L9" s="12">
        <f t="shared" si="7"/>
        <v>13.108590000000007</v>
      </c>
      <c r="M9" s="23">
        <f t="shared" si="3"/>
        <v>0.23838134206219325</v>
      </c>
      <c r="N9" s="13">
        <f t="shared" si="8"/>
        <v>5.7558499999999997</v>
      </c>
      <c r="O9" s="15">
        <f t="shared" si="9"/>
        <v>9.827450000000006</v>
      </c>
      <c r="P9" s="25">
        <f t="shared" si="4"/>
        <v>0.17871340243680681</v>
      </c>
      <c r="Q9" s="26">
        <f t="shared" si="5"/>
        <v>3.2811400000000006</v>
      </c>
    </row>
    <row r="10" spans="1:17" ht="14.4" x14ac:dyDescent="0.3">
      <c r="A10" s="9">
        <v>5</v>
      </c>
      <c r="B10" s="10" t="s">
        <v>33</v>
      </c>
      <c r="C10" s="9" t="s">
        <v>26</v>
      </c>
      <c r="D10" s="9" t="s">
        <v>27</v>
      </c>
      <c r="E10" s="100">
        <v>14.69</v>
      </c>
      <c r="F10" s="11">
        <v>6.5</v>
      </c>
      <c r="G10" s="12">
        <f t="shared" si="0"/>
        <v>21.189999999999998</v>
      </c>
      <c r="H10" s="11">
        <v>34.99</v>
      </c>
      <c r="I10" s="13">
        <f t="shared" si="1"/>
        <v>1.31471</v>
      </c>
      <c r="J10" s="13">
        <f t="shared" si="2"/>
        <v>0.57999999999999996</v>
      </c>
      <c r="K10" s="13">
        <f t="shared" si="6"/>
        <v>4.8476999999999997</v>
      </c>
      <c r="L10" s="12">
        <f t="shared" si="7"/>
        <v>7.0575900000000047</v>
      </c>
      <c r="M10" s="14">
        <f t="shared" si="3"/>
        <v>0.20170305801657629</v>
      </c>
      <c r="N10" s="13">
        <f t="shared" si="8"/>
        <v>3.9248499999999993</v>
      </c>
      <c r="O10" s="15">
        <f t="shared" si="9"/>
        <v>5.0274500000000053</v>
      </c>
      <c r="P10" s="16">
        <f t="shared" si="4"/>
        <v>0.14368248070877407</v>
      </c>
      <c r="Q10" s="17">
        <f t="shared" si="5"/>
        <v>2.0301399999999994</v>
      </c>
    </row>
    <row r="11" spans="1:17" ht="14.4" x14ac:dyDescent="0.3">
      <c r="A11" s="18">
        <v>6</v>
      </c>
      <c r="B11" s="19" t="s">
        <v>34</v>
      </c>
      <c r="C11" s="18" t="s">
        <v>30</v>
      </c>
      <c r="D11" s="18" t="s">
        <v>27</v>
      </c>
      <c r="E11" s="101">
        <v>15.69</v>
      </c>
      <c r="F11" s="20">
        <v>7.5</v>
      </c>
      <c r="G11" s="21">
        <f t="shared" si="0"/>
        <v>23.189999999999998</v>
      </c>
      <c r="H11" s="20">
        <v>49.99</v>
      </c>
      <c r="I11" s="22">
        <f t="shared" si="1"/>
        <v>1.7497100000000001</v>
      </c>
      <c r="J11" s="22">
        <f t="shared" si="2"/>
        <v>0.57999999999999996</v>
      </c>
      <c r="K11" s="13">
        <f t="shared" si="6"/>
        <v>5.1776999999999997</v>
      </c>
      <c r="L11" s="12">
        <f t="shared" si="7"/>
        <v>19.292590000000004</v>
      </c>
      <c r="M11" s="23">
        <f t="shared" si="3"/>
        <v>0.38592898579715951</v>
      </c>
      <c r="N11" s="13">
        <f t="shared" si="8"/>
        <v>7.2698499999999999</v>
      </c>
      <c r="O11" s="15">
        <f t="shared" si="9"/>
        <v>14.352450000000006</v>
      </c>
      <c r="P11" s="25">
        <f t="shared" si="4"/>
        <v>0.28710642128425695</v>
      </c>
      <c r="Q11" s="26">
        <f t="shared" si="5"/>
        <v>4.9401399999999978</v>
      </c>
    </row>
    <row r="12" spans="1:17" ht="26.4" x14ac:dyDescent="0.3">
      <c r="A12" s="9">
        <v>7</v>
      </c>
      <c r="B12" s="10" t="s">
        <v>35</v>
      </c>
      <c r="C12" s="9" t="s">
        <v>26</v>
      </c>
      <c r="D12" s="9" t="s">
        <v>36</v>
      </c>
      <c r="E12" s="100">
        <v>8.2899999999999991</v>
      </c>
      <c r="F12" s="11">
        <v>6.5</v>
      </c>
      <c r="G12" s="12">
        <f t="shared" si="0"/>
        <v>14.79</v>
      </c>
      <c r="H12" s="11">
        <v>24.99</v>
      </c>
      <c r="I12" s="13">
        <f t="shared" si="1"/>
        <v>1.02471</v>
      </c>
      <c r="J12" s="13">
        <f t="shared" si="2"/>
        <v>0.57999999999999996</v>
      </c>
      <c r="K12" s="13">
        <f t="shared" si="6"/>
        <v>2.7357</v>
      </c>
      <c r="L12" s="12">
        <f t="shared" si="7"/>
        <v>5.859589999999999</v>
      </c>
      <c r="M12" s="14">
        <f t="shared" si="3"/>
        <v>0.23447739095638254</v>
      </c>
      <c r="N12" s="13">
        <f t="shared" si="8"/>
        <v>3.5868499999999996</v>
      </c>
      <c r="O12" s="15">
        <f t="shared" si="9"/>
        <v>3.8774499999999992</v>
      </c>
      <c r="P12" s="16">
        <f t="shared" si="4"/>
        <v>0.15516006402561022</v>
      </c>
      <c r="Q12" s="17">
        <f t="shared" si="5"/>
        <v>1.9821399999999998</v>
      </c>
    </row>
    <row r="13" spans="1:17" ht="14.4" x14ac:dyDescent="0.3">
      <c r="A13" s="18">
        <v>8</v>
      </c>
      <c r="B13" s="19" t="s">
        <v>37</v>
      </c>
      <c r="C13" s="18" t="s">
        <v>38</v>
      </c>
      <c r="D13" s="18" t="s">
        <v>27</v>
      </c>
      <c r="E13" s="101">
        <v>23.49</v>
      </c>
      <c r="F13" s="20">
        <v>7.5</v>
      </c>
      <c r="G13" s="21">
        <f t="shared" si="0"/>
        <v>30.99</v>
      </c>
      <c r="H13" s="20">
        <v>49.99</v>
      </c>
      <c r="I13" s="22">
        <f t="shared" si="1"/>
        <v>1.7497100000000001</v>
      </c>
      <c r="J13" s="22">
        <f t="shared" si="2"/>
        <v>0.57999999999999996</v>
      </c>
      <c r="K13" s="13">
        <f t="shared" si="6"/>
        <v>7.7516999999999996</v>
      </c>
      <c r="L13" s="12">
        <f t="shared" si="7"/>
        <v>8.9185900000000053</v>
      </c>
      <c r="M13" s="23">
        <f t="shared" si="3"/>
        <v>0.17840748149629937</v>
      </c>
      <c r="N13" s="13">
        <f t="shared" si="8"/>
        <v>4.6958500000000001</v>
      </c>
      <c r="O13" s="15">
        <f t="shared" si="9"/>
        <v>6.5524500000000039</v>
      </c>
      <c r="P13" s="25">
        <f t="shared" si="4"/>
        <v>0.13107521504300867</v>
      </c>
      <c r="Q13" s="26">
        <f t="shared" si="5"/>
        <v>2.3661400000000015</v>
      </c>
    </row>
    <row r="14" spans="1:17" ht="26.4" x14ac:dyDescent="0.3">
      <c r="A14" s="9">
        <v>9</v>
      </c>
      <c r="B14" s="10" t="s">
        <v>39</v>
      </c>
      <c r="C14" s="9" t="s">
        <v>40</v>
      </c>
      <c r="D14" s="9" t="s">
        <v>27</v>
      </c>
      <c r="E14" s="100">
        <v>23.09</v>
      </c>
      <c r="F14" s="11">
        <v>8</v>
      </c>
      <c r="G14" s="12">
        <f t="shared" si="0"/>
        <v>31.09</v>
      </c>
      <c r="H14" s="11">
        <v>54.99</v>
      </c>
      <c r="I14" s="13">
        <f t="shared" si="1"/>
        <v>1.8947100000000001</v>
      </c>
      <c r="J14" s="13">
        <f t="shared" si="2"/>
        <v>0.57999999999999996</v>
      </c>
      <c r="K14" s="13">
        <f t="shared" si="6"/>
        <v>7.6196999999999999</v>
      </c>
      <c r="L14" s="12">
        <f t="shared" si="7"/>
        <v>13.805590000000004</v>
      </c>
      <c r="M14" s="14">
        <f t="shared" si="3"/>
        <v>0.2510563738861612</v>
      </c>
      <c r="N14" s="13">
        <f t="shared" si="8"/>
        <v>6.0528499999999994</v>
      </c>
      <c r="O14" s="15">
        <f t="shared" si="9"/>
        <v>10.227450000000003</v>
      </c>
      <c r="P14" s="16">
        <f t="shared" si="4"/>
        <v>0.18598745226404806</v>
      </c>
      <c r="Q14" s="17">
        <f t="shared" si="5"/>
        <v>3.5781400000000012</v>
      </c>
    </row>
    <row r="15" spans="1:17" ht="14.4" x14ac:dyDescent="0.3">
      <c r="A15" s="18">
        <v>10</v>
      </c>
      <c r="B15" s="19" t="s">
        <v>41</v>
      </c>
      <c r="C15" s="18" t="s">
        <v>42</v>
      </c>
      <c r="D15" s="18" t="s">
        <v>27</v>
      </c>
      <c r="E15" s="101">
        <v>17.41</v>
      </c>
      <c r="F15" s="20">
        <v>7</v>
      </c>
      <c r="G15" s="21">
        <f t="shared" si="0"/>
        <v>24.41</v>
      </c>
      <c r="H15" s="20">
        <v>39.99</v>
      </c>
      <c r="I15" s="22">
        <f t="shared" si="1"/>
        <v>1.4597100000000001</v>
      </c>
      <c r="J15" s="22">
        <f t="shared" si="2"/>
        <v>0.57999999999999996</v>
      </c>
      <c r="K15" s="13">
        <f t="shared" si="6"/>
        <v>5.7453000000000003</v>
      </c>
      <c r="L15" s="12">
        <f t="shared" si="7"/>
        <v>7.7949900000000021</v>
      </c>
      <c r="M15" s="23">
        <f t="shared" si="3"/>
        <v>0.1949234808702176</v>
      </c>
      <c r="N15" s="13">
        <f t="shared" si="8"/>
        <v>4.2522500000000001</v>
      </c>
      <c r="O15" s="15">
        <f t="shared" si="9"/>
        <v>5.5824500000000015</v>
      </c>
      <c r="P15" s="25">
        <f t="shared" si="4"/>
        <v>0.13959614903725934</v>
      </c>
      <c r="Q15" s="26">
        <f t="shared" si="5"/>
        <v>2.2125400000000006</v>
      </c>
    </row>
    <row r="16" spans="1:17" ht="14.4" x14ac:dyDescent="0.3">
      <c r="A16" s="9">
        <v>11</v>
      </c>
      <c r="B16" s="10" t="s">
        <v>43</v>
      </c>
      <c r="C16" s="9" t="s">
        <v>26</v>
      </c>
      <c r="D16" s="9" t="s">
        <v>27</v>
      </c>
      <c r="E16" s="100">
        <v>20.69</v>
      </c>
      <c r="F16" s="11">
        <v>7</v>
      </c>
      <c r="G16" s="12">
        <f t="shared" si="0"/>
        <v>27.69</v>
      </c>
      <c r="H16" s="11">
        <v>44.99</v>
      </c>
      <c r="I16" s="13">
        <f t="shared" si="1"/>
        <v>1.6047100000000001</v>
      </c>
      <c r="J16" s="13">
        <f t="shared" si="2"/>
        <v>0.57999999999999996</v>
      </c>
      <c r="K16" s="13">
        <f t="shared" si="6"/>
        <v>6.827700000000001</v>
      </c>
      <c r="L16" s="12">
        <f t="shared" si="7"/>
        <v>8.287589999999998</v>
      </c>
      <c r="M16" s="14">
        <f t="shared" si="3"/>
        <v>0.18420960213380747</v>
      </c>
      <c r="N16" s="13">
        <f t="shared" si="8"/>
        <v>4.394849999999999</v>
      </c>
      <c r="O16" s="15">
        <f t="shared" si="9"/>
        <v>6.0774500000000016</v>
      </c>
      <c r="P16" s="16">
        <f t="shared" si="4"/>
        <v>0.1350844632140476</v>
      </c>
      <c r="Q16" s="17">
        <f t="shared" si="5"/>
        <v>2.2101399999999964</v>
      </c>
    </row>
    <row r="17" spans="1:17" ht="14.4" x14ac:dyDescent="0.3">
      <c r="A17" s="18">
        <v>12</v>
      </c>
      <c r="B17" s="19" t="s">
        <v>44</v>
      </c>
      <c r="C17" s="18" t="s">
        <v>26</v>
      </c>
      <c r="D17" s="18" t="s">
        <v>27</v>
      </c>
      <c r="E17" s="101">
        <v>19.89</v>
      </c>
      <c r="F17" s="20">
        <v>7</v>
      </c>
      <c r="G17" s="21">
        <f t="shared" si="0"/>
        <v>26.89</v>
      </c>
      <c r="H17" s="20">
        <v>44.99</v>
      </c>
      <c r="I17" s="22">
        <f t="shared" si="1"/>
        <v>1.6047100000000001</v>
      </c>
      <c r="J17" s="22">
        <f t="shared" si="2"/>
        <v>0.57999999999999996</v>
      </c>
      <c r="K17" s="13">
        <f t="shared" si="6"/>
        <v>6.5637000000000008</v>
      </c>
      <c r="L17" s="12">
        <f t="shared" si="7"/>
        <v>9.3515899999999998</v>
      </c>
      <c r="M17" s="23">
        <f t="shared" si="3"/>
        <v>0.20785930206712602</v>
      </c>
      <c r="N17" s="13">
        <f t="shared" si="8"/>
        <v>4.6588499999999993</v>
      </c>
      <c r="O17" s="15">
        <f t="shared" si="9"/>
        <v>6.8774500000000014</v>
      </c>
      <c r="P17" s="25">
        <f t="shared" si="4"/>
        <v>0.15286619248721942</v>
      </c>
      <c r="Q17" s="26">
        <f t="shared" si="5"/>
        <v>2.4741399999999985</v>
      </c>
    </row>
    <row r="18" spans="1:17" ht="14.4" x14ac:dyDescent="0.3">
      <c r="A18" s="9">
        <v>13</v>
      </c>
      <c r="B18" s="10" t="s">
        <v>45</v>
      </c>
      <c r="C18" s="9" t="s">
        <v>32</v>
      </c>
      <c r="D18" s="9" t="s">
        <v>27</v>
      </c>
      <c r="E18" s="100">
        <v>13.29</v>
      </c>
      <c r="F18" s="100">
        <v>7</v>
      </c>
      <c r="G18" s="12">
        <f t="shared" si="0"/>
        <v>20.29</v>
      </c>
      <c r="H18" s="11">
        <v>39.99</v>
      </c>
      <c r="I18" s="13">
        <f t="shared" si="1"/>
        <v>1.4597100000000001</v>
      </c>
      <c r="J18" s="13">
        <f t="shared" si="2"/>
        <v>0.57999999999999996</v>
      </c>
      <c r="K18" s="13">
        <f t="shared" si="6"/>
        <v>4.3856999999999999</v>
      </c>
      <c r="L18" s="12">
        <f t="shared" si="7"/>
        <v>13.274590000000003</v>
      </c>
      <c r="M18" s="14">
        <f t="shared" si="3"/>
        <v>0.33194773693423363</v>
      </c>
      <c r="N18" s="13">
        <f t="shared" si="8"/>
        <v>5.6118500000000004</v>
      </c>
      <c r="O18" s="15">
        <f t="shared" si="9"/>
        <v>9.7024500000000025</v>
      </c>
      <c r="P18" s="16">
        <f t="shared" si="4"/>
        <v>0.24262190547636914</v>
      </c>
      <c r="Q18" s="17">
        <f t="shared" si="5"/>
        <v>3.572140000000001</v>
      </c>
    </row>
    <row r="19" spans="1:17" ht="14.4" x14ac:dyDescent="0.3">
      <c r="A19" s="18">
        <v>14</v>
      </c>
      <c r="B19" s="19" t="s">
        <v>46</v>
      </c>
      <c r="C19" s="18" t="s">
        <v>47</v>
      </c>
      <c r="D19" s="18" t="s">
        <v>27</v>
      </c>
      <c r="E19" s="101">
        <v>18.09</v>
      </c>
      <c r="F19" s="101">
        <v>6.5</v>
      </c>
      <c r="G19" s="21">
        <f t="shared" si="0"/>
        <v>24.59</v>
      </c>
      <c r="H19" s="20">
        <v>34.99</v>
      </c>
      <c r="I19" s="22">
        <f t="shared" si="1"/>
        <v>1.31471</v>
      </c>
      <c r="J19" s="22">
        <f t="shared" si="2"/>
        <v>0.57999999999999996</v>
      </c>
      <c r="K19" s="13">
        <f t="shared" si="6"/>
        <v>5.9697000000000005</v>
      </c>
      <c r="L19" s="12">
        <f t="shared" si="7"/>
        <v>2.5355900000000018</v>
      </c>
      <c r="M19" s="23">
        <f t="shared" si="3"/>
        <v>7.2466133180908873E-2</v>
      </c>
      <c r="N19" s="13">
        <f t="shared" si="8"/>
        <v>2.8028499999999985</v>
      </c>
      <c r="O19" s="15">
        <f t="shared" si="9"/>
        <v>1.6274500000000032</v>
      </c>
      <c r="P19" s="25">
        <f t="shared" si="4"/>
        <v>4.6511860531580539E-2</v>
      </c>
      <c r="Q19" s="26">
        <f t="shared" si="5"/>
        <v>0.90813999999999862</v>
      </c>
    </row>
    <row r="20" spans="1:17" ht="26.4" x14ac:dyDescent="0.3">
      <c r="A20" s="9">
        <v>15</v>
      </c>
      <c r="B20" s="10" t="s">
        <v>48</v>
      </c>
      <c r="C20" s="9" t="s">
        <v>26</v>
      </c>
      <c r="D20" s="9" t="s">
        <v>49</v>
      </c>
      <c r="E20" s="100">
        <v>9.99</v>
      </c>
      <c r="F20" s="100">
        <v>6.5</v>
      </c>
      <c r="G20" s="12">
        <f t="shared" si="0"/>
        <v>16.490000000000002</v>
      </c>
      <c r="H20" s="11">
        <v>24.99</v>
      </c>
      <c r="I20" s="13">
        <f t="shared" si="1"/>
        <v>1.02471</v>
      </c>
      <c r="J20" s="13">
        <f t="shared" si="2"/>
        <v>0.57999999999999996</v>
      </c>
      <c r="K20" s="13">
        <f t="shared" si="6"/>
        <v>3.2967000000000004</v>
      </c>
      <c r="L20" s="12">
        <f t="shared" si="7"/>
        <v>3.5985899999999962</v>
      </c>
      <c r="M20" s="14">
        <f t="shared" si="3"/>
        <v>0.14400120048019194</v>
      </c>
      <c r="N20" s="13">
        <f t="shared" si="8"/>
        <v>3.0258499999999993</v>
      </c>
      <c r="O20" s="15">
        <f t="shared" si="9"/>
        <v>2.1774499999999968</v>
      </c>
      <c r="P20" s="16">
        <f t="shared" si="4"/>
        <v>8.7132853141256378E-2</v>
      </c>
      <c r="Q20" s="17">
        <f t="shared" si="5"/>
        <v>1.4211399999999994</v>
      </c>
    </row>
    <row r="21" spans="1:17" ht="14.4" x14ac:dyDescent="0.3">
      <c r="A21" s="18">
        <v>16</v>
      </c>
      <c r="B21" s="19" t="s">
        <v>50</v>
      </c>
      <c r="C21" s="18" t="s">
        <v>26</v>
      </c>
      <c r="D21" s="18" t="s">
        <v>27</v>
      </c>
      <c r="E21" s="101">
        <v>8.92</v>
      </c>
      <c r="F21" s="101">
        <v>6.5</v>
      </c>
      <c r="G21" s="21">
        <f t="shared" si="0"/>
        <v>15.42</v>
      </c>
      <c r="H21" s="20">
        <v>24.99</v>
      </c>
      <c r="I21" s="22">
        <f t="shared" si="1"/>
        <v>1.02471</v>
      </c>
      <c r="J21" s="22">
        <f t="shared" si="2"/>
        <v>0.57999999999999996</v>
      </c>
      <c r="K21" s="13">
        <f t="shared" si="6"/>
        <v>2.9436</v>
      </c>
      <c r="L21" s="12">
        <f t="shared" si="7"/>
        <v>5.0216899999999978</v>
      </c>
      <c r="M21" s="23">
        <f t="shared" si="3"/>
        <v>0.20094797919167659</v>
      </c>
      <c r="N21" s="13">
        <f t="shared" si="8"/>
        <v>3.3789499999999997</v>
      </c>
      <c r="O21" s="15">
        <f t="shared" si="9"/>
        <v>3.2474499999999988</v>
      </c>
      <c r="P21" s="25">
        <f t="shared" si="4"/>
        <v>0.12994997999199676</v>
      </c>
      <c r="Q21" s="26">
        <f t="shared" si="5"/>
        <v>1.7742399999999989</v>
      </c>
    </row>
    <row r="22" spans="1:17" ht="14.4" x14ac:dyDescent="0.3">
      <c r="A22" s="9">
        <v>17</v>
      </c>
      <c r="B22" s="10" t="s">
        <v>51</v>
      </c>
      <c r="C22" s="9" t="s">
        <v>32</v>
      </c>
      <c r="D22" s="9" t="s">
        <v>27</v>
      </c>
      <c r="E22" s="100">
        <v>13.19</v>
      </c>
      <c r="F22" s="100">
        <v>7</v>
      </c>
      <c r="G22" s="12">
        <f t="shared" si="0"/>
        <v>20.189999999999998</v>
      </c>
      <c r="H22" s="11">
        <v>39.99</v>
      </c>
      <c r="I22" s="13">
        <f t="shared" si="1"/>
        <v>1.4597100000000001</v>
      </c>
      <c r="J22" s="13">
        <f t="shared" si="2"/>
        <v>0.57999999999999996</v>
      </c>
      <c r="K22" s="13">
        <f t="shared" si="6"/>
        <v>4.3527000000000005</v>
      </c>
      <c r="L22" s="12">
        <f t="shared" si="7"/>
        <v>13.407590000000004</v>
      </c>
      <c r="M22" s="14">
        <f t="shared" si="3"/>
        <v>0.3352735683920981</v>
      </c>
      <c r="N22" s="13">
        <f t="shared" si="8"/>
        <v>5.6448499999999999</v>
      </c>
      <c r="O22" s="15">
        <f t="shared" si="9"/>
        <v>9.8024500000000039</v>
      </c>
      <c r="P22" s="16">
        <f t="shared" si="4"/>
        <v>0.24512253063265824</v>
      </c>
      <c r="Q22" s="17">
        <f t="shared" si="5"/>
        <v>3.6051400000000005</v>
      </c>
    </row>
    <row r="23" spans="1:17" ht="14.4" x14ac:dyDescent="0.3">
      <c r="A23" s="18">
        <v>18</v>
      </c>
      <c r="B23" s="19" t="s">
        <v>52</v>
      </c>
      <c r="C23" s="18" t="s">
        <v>26</v>
      </c>
      <c r="D23" s="18" t="s">
        <v>49</v>
      </c>
      <c r="E23" s="101">
        <v>13.19</v>
      </c>
      <c r="F23" s="101">
        <v>6.5</v>
      </c>
      <c r="G23" s="21">
        <f t="shared" si="0"/>
        <v>19.689999999999998</v>
      </c>
      <c r="H23" s="20">
        <v>29.99</v>
      </c>
      <c r="I23" s="22">
        <f t="shared" si="1"/>
        <v>1.16971</v>
      </c>
      <c r="J23" s="22">
        <f t="shared" si="2"/>
        <v>0.57999999999999996</v>
      </c>
      <c r="K23" s="13">
        <f t="shared" si="6"/>
        <v>4.3527000000000005</v>
      </c>
      <c r="L23" s="12">
        <f t="shared" si="7"/>
        <v>4.1975899999999999</v>
      </c>
      <c r="M23" s="23">
        <f t="shared" si="3"/>
        <v>0.13996632210736912</v>
      </c>
      <c r="N23" s="13">
        <f t="shared" si="8"/>
        <v>3.1948499999999989</v>
      </c>
      <c r="O23" s="15">
        <f t="shared" si="9"/>
        <v>2.7524500000000014</v>
      </c>
      <c r="P23" s="25">
        <f t="shared" si="4"/>
        <v>9.1778926308769646E-2</v>
      </c>
      <c r="Q23" s="26">
        <f t="shared" si="5"/>
        <v>1.4451399999999985</v>
      </c>
    </row>
    <row r="24" spans="1:17" ht="14.4" x14ac:dyDescent="0.3">
      <c r="A24" s="9">
        <v>19</v>
      </c>
      <c r="B24" s="10" t="s">
        <v>53</v>
      </c>
      <c r="C24" s="9" t="s">
        <v>32</v>
      </c>
      <c r="D24" s="9" t="s">
        <v>27</v>
      </c>
      <c r="E24" s="100">
        <v>31.79</v>
      </c>
      <c r="F24" s="100">
        <v>8</v>
      </c>
      <c r="G24" s="12">
        <f t="shared" si="0"/>
        <v>39.79</v>
      </c>
      <c r="H24" s="11">
        <v>64.989999999999995</v>
      </c>
      <c r="I24" s="13">
        <f t="shared" si="1"/>
        <v>2.1847099999999999</v>
      </c>
      <c r="J24" s="13">
        <f t="shared" si="2"/>
        <v>0.57999999999999996</v>
      </c>
      <c r="K24" s="13">
        <f t="shared" si="6"/>
        <v>10.4907</v>
      </c>
      <c r="L24" s="12">
        <f t="shared" si="7"/>
        <v>11.944589999999998</v>
      </c>
      <c r="M24" s="14">
        <f t="shared" si="3"/>
        <v>0.18379119864594551</v>
      </c>
      <c r="N24" s="13">
        <f t="shared" si="8"/>
        <v>5.63185</v>
      </c>
      <c r="O24" s="15">
        <f t="shared" si="9"/>
        <v>9.0774499999999954</v>
      </c>
      <c r="P24" s="16">
        <f t="shared" si="4"/>
        <v>0.13967456531774114</v>
      </c>
      <c r="Q24" s="17">
        <f t="shared" si="5"/>
        <v>2.8671400000000027</v>
      </c>
    </row>
    <row r="25" spans="1:17" ht="14.4" x14ac:dyDescent="0.3">
      <c r="A25" s="18">
        <v>20</v>
      </c>
      <c r="B25" s="19" t="s">
        <v>54</v>
      </c>
      <c r="C25" s="18" t="s">
        <v>26</v>
      </c>
      <c r="D25" s="18" t="s">
        <v>27</v>
      </c>
      <c r="E25" s="101">
        <v>18.39</v>
      </c>
      <c r="F25" s="101">
        <v>7</v>
      </c>
      <c r="G25" s="21">
        <f t="shared" si="0"/>
        <v>25.39</v>
      </c>
      <c r="H25" s="20">
        <v>39.99</v>
      </c>
      <c r="I25" s="22">
        <f t="shared" si="1"/>
        <v>1.4597100000000001</v>
      </c>
      <c r="J25" s="22">
        <f t="shared" si="2"/>
        <v>0.57999999999999996</v>
      </c>
      <c r="K25" s="13">
        <f t="shared" si="6"/>
        <v>6.0687000000000006</v>
      </c>
      <c r="L25" s="12">
        <f t="shared" si="7"/>
        <v>6.4915900000000013</v>
      </c>
      <c r="M25" s="23">
        <f t="shared" si="3"/>
        <v>0.1623303325831458</v>
      </c>
      <c r="N25" s="13">
        <f t="shared" si="8"/>
        <v>3.9288499999999997</v>
      </c>
      <c r="O25" s="15">
        <f t="shared" si="9"/>
        <v>4.6024500000000002</v>
      </c>
      <c r="P25" s="25">
        <f t="shared" si="4"/>
        <v>0.1150900225056264</v>
      </c>
      <c r="Q25" s="26">
        <f t="shared" si="5"/>
        <v>1.8891400000000012</v>
      </c>
    </row>
    <row r="26" spans="1:17" ht="14.4" x14ac:dyDescent="0.3">
      <c r="A26" s="9">
        <v>21</v>
      </c>
      <c r="B26" s="10" t="s">
        <v>55</v>
      </c>
      <c r="C26" s="9" t="s">
        <v>32</v>
      </c>
      <c r="D26" s="9" t="s">
        <v>27</v>
      </c>
      <c r="E26" s="100">
        <v>21.39</v>
      </c>
      <c r="F26" s="100">
        <v>7.5</v>
      </c>
      <c r="G26" s="12">
        <f t="shared" si="0"/>
        <v>28.89</v>
      </c>
      <c r="H26" s="11">
        <v>49.99</v>
      </c>
      <c r="I26" s="13">
        <f t="shared" si="1"/>
        <v>1.7497100000000001</v>
      </c>
      <c r="J26" s="13">
        <f t="shared" si="2"/>
        <v>0.57999999999999996</v>
      </c>
      <c r="K26" s="13">
        <f t="shared" si="6"/>
        <v>7.0587000000000009</v>
      </c>
      <c r="L26" s="12">
        <f t="shared" si="7"/>
        <v>11.711590000000001</v>
      </c>
      <c r="M26" s="14">
        <f t="shared" si="3"/>
        <v>0.23427865573114623</v>
      </c>
      <c r="N26" s="13">
        <f t="shared" si="8"/>
        <v>5.3888499999999988</v>
      </c>
      <c r="O26" s="15">
        <f t="shared" si="9"/>
        <v>8.6524500000000018</v>
      </c>
      <c r="P26" s="16">
        <f t="shared" si="4"/>
        <v>0.17308361672334469</v>
      </c>
      <c r="Q26" s="17">
        <f t="shared" si="5"/>
        <v>3.0591399999999993</v>
      </c>
    </row>
    <row r="27" spans="1:17" ht="14.4" x14ac:dyDescent="0.3">
      <c r="A27" s="18">
        <v>22</v>
      </c>
      <c r="B27" s="19" t="s">
        <v>56</v>
      </c>
      <c r="C27" s="18" t="s">
        <v>32</v>
      </c>
      <c r="D27" s="18" t="s">
        <v>27</v>
      </c>
      <c r="E27" s="101">
        <v>30.77</v>
      </c>
      <c r="F27" s="101">
        <v>8</v>
      </c>
      <c r="G27" s="21">
        <f t="shared" si="0"/>
        <v>38.769999999999996</v>
      </c>
      <c r="H27" s="20">
        <v>59.99</v>
      </c>
      <c r="I27" s="22">
        <f t="shared" si="1"/>
        <v>2.0397099999999999</v>
      </c>
      <c r="J27" s="22">
        <f t="shared" si="2"/>
        <v>0.57999999999999996</v>
      </c>
      <c r="K27" s="13">
        <f t="shared" si="6"/>
        <v>10.1541</v>
      </c>
      <c r="L27" s="12">
        <f t="shared" si="7"/>
        <v>8.4461900000000085</v>
      </c>
      <c r="M27" s="23">
        <f t="shared" si="3"/>
        <v>0.14079329888314732</v>
      </c>
      <c r="N27" s="13">
        <f t="shared" si="8"/>
        <v>4.7434499999999993</v>
      </c>
      <c r="O27" s="15">
        <f t="shared" si="9"/>
        <v>6.322450000000007</v>
      </c>
      <c r="P27" s="25">
        <f t="shared" si="4"/>
        <v>0.105391731955326</v>
      </c>
      <c r="Q27" s="26">
        <f t="shared" si="5"/>
        <v>2.1237400000000015</v>
      </c>
    </row>
    <row r="28" spans="1:17" ht="14.4" x14ac:dyDescent="0.3">
      <c r="A28" s="9">
        <v>23</v>
      </c>
      <c r="B28" s="10" t="s">
        <v>57</v>
      </c>
      <c r="C28" s="9" t="s">
        <v>26</v>
      </c>
      <c r="D28" s="9" t="s">
        <v>27</v>
      </c>
      <c r="E28" s="100">
        <v>19.989999999999998</v>
      </c>
      <c r="F28" s="100">
        <v>7</v>
      </c>
      <c r="G28" s="12">
        <f t="shared" si="0"/>
        <v>26.99</v>
      </c>
      <c r="H28" s="11">
        <v>44.99</v>
      </c>
      <c r="I28" s="13">
        <f t="shared" si="1"/>
        <v>1.6047100000000001</v>
      </c>
      <c r="J28" s="13">
        <f t="shared" si="2"/>
        <v>0.57999999999999996</v>
      </c>
      <c r="K28" s="13">
        <f t="shared" si="6"/>
        <v>6.5967000000000002</v>
      </c>
      <c r="L28" s="12">
        <f t="shared" si="7"/>
        <v>9.2185900000000025</v>
      </c>
      <c r="M28" s="14">
        <f t="shared" si="3"/>
        <v>0.20490308957546127</v>
      </c>
      <c r="N28" s="13">
        <f t="shared" si="8"/>
        <v>4.6258499999999998</v>
      </c>
      <c r="O28" s="15">
        <f t="shared" si="9"/>
        <v>6.7774500000000035</v>
      </c>
      <c r="P28" s="16">
        <f t="shared" si="4"/>
        <v>0.15064347632807298</v>
      </c>
      <c r="Q28" s="17">
        <f t="shared" si="5"/>
        <v>2.441139999999999</v>
      </c>
    </row>
    <row r="29" spans="1:17" ht="14.4" x14ac:dyDescent="0.3">
      <c r="A29" s="18">
        <v>24</v>
      </c>
      <c r="B29" s="19" t="s">
        <v>58</v>
      </c>
      <c r="C29" s="18" t="s">
        <v>32</v>
      </c>
      <c r="D29" s="18" t="s">
        <v>27</v>
      </c>
      <c r="E29" s="101">
        <v>13.29</v>
      </c>
      <c r="F29" s="101">
        <v>7</v>
      </c>
      <c r="G29" s="21">
        <f t="shared" si="0"/>
        <v>20.29</v>
      </c>
      <c r="H29" s="20">
        <v>34.99</v>
      </c>
      <c r="I29" s="22">
        <f t="shared" si="1"/>
        <v>1.31471</v>
      </c>
      <c r="J29" s="22">
        <f t="shared" si="2"/>
        <v>0.57999999999999996</v>
      </c>
      <c r="K29" s="13">
        <f t="shared" si="6"/>
        <v>4.3856999999999999</v>
      </c>
      <c r="L29" s="12">
        <f t="shared" si="7"/>
        <v>8.419590000000003</v>
      </c>
      <c r="M29" s="23">
        <f t="shared" si="3"/>
        <v>0.24062846527579315</v>
      </c>
      <c r="N29" s="13">
        <f t="shared" si="8"/>
        <v>4.386849999999999</v>
      </c>
      <c r="O29" s="15">
        <f t="shared" si="9"/>
        <v>5.9274500000000039</v>
      </c>
      <c r="P29" s="25">
        <f t="shared" si="4"/>
        <v>0.16940411546156053</v>
      </c>
      <c r="Q29" s="26">
        <f t="shared" si="5"/>
        <v>2.4921399999999991</v>
      </c>
    </row>
    <row r="30" spans="1:17" ht="26.4" x14ac:dyDescent="0.3">
      <c r="A30" s="9">
        <v>25</v>
      </c>
      <c r="B30" s="10" t="s">
        <v>59</v>
      </c>
      <c r="C30" s="9" t="s">
        <v>26</v>
      </c>
      <c r="D30" s="9" t="s">
        <v>36</v>
      </c>
      <c r="E30" s="100">
        <v>5.29</v>
      </c>
      <c r="F30" s="100">
        <v>5.5</v>
      </c>
      <c r="G30" s="12">
        <f t="shared" si="0"/>
        <v>10.79</v>
      </c>
      <c r="H30" s="11">
        <v>19.989999999999998</v>
      </c>
      <c r="I30" s="13">
        <f t="shared" si="1"/>
        <v>0.87970999999999999</v>
      </c>
      <c r="J30" s="13">
        <f t="shared" si="2"/>
        <v>0.57999999999999996</v>
      </c>
      <c r="K30" s="13">
        <f t="shared" si="6"/>
        <v>1.7457</v>
      </c>
      <c r="L30" s="12">
        <f t="shared" si="7"/>
        <v>5.9945899999999996</v>
      </c>
      <c r="M30" s="14">
        <f t="shared" si="3"/>
        <v>0.29987943971985992</v>
      </c>
      <c r="N30" s="13">
        <f t="shared" si="8"/>
        <v>3.3518499999999998</v>
      </c>
      <c r="O30" s="15">
        <f t="shared" si="9"/>
        <v>4.1024499999999993</v>
      </c>
      <c r="P30" s="16">
        <f t="shared" si="4"/>
        <v>0.20522511255627812</v>
      </c>
      <c r="Q30" s="17">
        <f t="shared" si="5"/>
        <v>1.8921400000000004</v>
      </c>
    </row>
    <row r="31" spans="1:17" ht="14.4" x14ac:dyDescent="0.3">
      <c r="A31" s="18">
        <v>26</v>
      </c>
      <c r="B31" s="19" t="s">
        <v>60</v>
      </c>
      <c r="C31" s="18" t="s">
        <v>38</v>
      </c>
      <c r="D31" s="18" t="s">
        <v>27</v>
      </c>
      <c r="E31" s="101">
        <v>13.39</v>
      </c>
      <c r="F31" s="101">
        <v>6.5</v>
      </c>
      <c r="G31" s="21">
        <f t="shared" si="0"/>
        <v>19.89</v>
      </c>
      <c r="H31" s="20">
        <v>29.99</v>
      </c>
      <c r="I31" s="22">
        <f t="shared" si="1"/>
        <v>1.16971</v>
      </c>
      <c r="J31" s="22">
        <f t="shared" si="2"/>
        <v>0.57999999999999996</v>
      </c>
      <c r="K31" s="13">
        <f t="shared" si="6"/>
        <v>4.4187000000000003</v>
      </c>
      <c r="L31" s="12">
        <f t="shared" si="7"/>
        <v>3.9315899999999973</v>
      </c>
      <c r="M31" s="23">
        <f t="shared" si="3"/>
        <v>0.13109669889963313</v>
      </c>
      <c r="N31" s="13">
        <f t="shared" si="8"/>
        <v>3.128849999999999</v>
      </c>
      <c r="O31" s="15">
        <f t="shared" si="9"/>
        <v>2.5524499999999986</v>
      </c>
      <c r="P31" s="25">
        <f t="shared" si="4"/>
        <v>8.5110036678892914E-2</v>
      </c>
      <c r="Q31" s="26">
        <f t="shared" si="5"/>
        <v>1.3791399999999987</v>
      </c>
    </row>
    <row r="32" spans="1:17" ht="14.4" x14ac:dyDescent="0.3">
      <c r="A32" s="9">
        <v>27</v>
      </c>
      <c r="B32" s="10" t="s">
        <v>61</v>
      </c>
      <c r="C32" s="9" t="s">
        <v>26</v>
      </c>
      <c r="D32" s="9" t="s">
        <v>27</v>
      </c>
      <c r="E32" s="100">
        <v>10.49</v>
      </c>
      <c r="F32" s="100">
        <v>6.5</v>
      </c>
      <c r="G32" s="12">
        <f t="shared" si="0"/>
        <v>16.990000000000002</v>
      </c>
      <c r="H32" s="11">
        <v>34.99</v>
      </c>
      <c r="I32" s="13">
        <f t="shared" si="1"/>
        <v>1.31471</v>
      </c>
      <c r="J32" s="13">
        <f t="shared" si="2"/>
        <v>0.57999999999999996</v>
      </c>
      <c r="K32" s="13">
        <f t="shared" si="6"/>
        <v>3.4617000000000004</v>
      </c>
      <c r="L32" s="12">
        <f t="shared" si="7"/>
        <v>12.64359</v>
      </c>
      <c r="M32" s="14">
        <f t="shared" si="3"/>
        <v>0.36134867104887108</v>
      </c>
      <c r="N32" s="13">
        <f t="shared" si="8"/>
        <v>5.3108499999999985</v>
      </c>
      <c r="O32" s="15">
        <f t="shared" si="9"/>
        <v>9.227450000000001</v>
      </c>
      <c r="P32" s="16">
        <f t="shared" si="4"/>
        <v>0.26371677622177764</v>
      </c>
      <c r="Q32" s="17">
        <f t="shared" si="5"/>
        <v>3.4161399999999986</v>
      </c>
    </row>
    <row r="33" spans="1:17" ht="14.4" x14ac:dyDescent="0.3">
      <c r="A33" s="18">
        <v>28</v>
      </c>
      <c r="B33" s="19" t="s">
        <v>62</v>
      </c>
      <c r="C33" s="18" t="s">
        <v>38</v>
      </c>
      <c r="D33" s="18" t="s">
        <v>27</v>
      </c>
      <c r="E33" s="101">
        <v>13.39</v>
      </c>
      <c r="F33" s="101">
        <v>7</v>
      </c>
      <c r="G33" s="21">
        <f t="shared" si="0"/>
        <v>20.39</v>
      </c>
      <c r="H33" s="20">
        <v>29.99</v>
      </c>
      <c r="I33" s="22">
        <f t="shared" si="1"/>
        <v>1.16971</v>
      </c>
      <c r="J33" s="22">
        <f t="shared" si="2"/>
        <v>0.57999999999999996</v>
      </c>
      <c r="K33" s="13">
        <f t="shared" si="6"/>
        <v>4.4187000000000003</v>
      </c>
      <c r="L33" s="12">
        <f t="shared" si="7"/>
        <v>3.4315899999999973</v>
      </c>
      <c r="M33" s="23">
        <f t="shared" si="3"/>
        <v>0.11442447482494156</v>
      </c>
      <c r="N33" s="13">
        <f t="shared" si="8"/>
        <v>3.128849999999999</v>
      </c>
      <c r="O33" s="15">
        <f t="shared" si="9"/>
        <v>2.0524499999999986</v>
      </c>
      <c r="P33" s="25">
        <f t="shared" si="4"/>
        <v>6.8437812604201356E-2</v>
      </c>
      <c r="Q33" s="26">
        <f t="shared" si="5"/>
        <v>1.3791399999999987</v>
      </c>
    </row>
    <row r="34" spans="1:17" ht="14.4" x14ac:dyDescent="0.3">
      <c r="A34" s="9">
        <v>29</v>
      </c>
      <c r="B34" s="10" t="s">
        <v>63</v>
      </c>
      <c r="C34" s="9" t="s">
        <v>26</v>
      </c>
      <c r="D34" s="9" t="s">
        <v>36</v>
      </c>
      <c r="E34" s="100">
        <v>7.29</v>
      </c>
      <c r="F34" s="100">
        <v>5.5</v>
      </c>
      <c r="G34" s="12">
        <f t="shared" si="0"/>
        <v>12.79</v>
      </c>
      <c r="H34" s="11">
        <v>24.99</v>
      </c>
      <c r="I34" s="13">
        <f t="shared" si="1"/>
        <v>1.02471</v>
      </c>
      <c r="J34" s="13">
        <f t="shared" si="2"/>
        <v>0.57999999999999996</v>
      </c>
      <c r="K34" s="13">
        <f t="shared" si="6"/>
        <v>2.4056999999999999</v>
      </c>
      <c r="L34" s="12">
        <f t="shared" si="7"/>
        <v>8.189589999999999</v>
      </c>
      <c r="M34" s="14">
        <f t="shared" si="3"/>
        <v>0.32771468587434971</v>
      </c>
      <c r="N34" s="13">
        <f t="shared" si="8"/>
        <v>3.9168499999999997</v>
      </c>
      <c r="O34" s="15">
        <f t="shared" si="9"/>
        <v>5.8774499999999996</v>
      </c>
      <c r="P34" s="16">
        <f t="shared" si="4"/>
        <v>0.23519207683073229</v>
      </c>
      <c r="Q34" s="17">
        <f t="shared" si="5"/>
        <v>2.3121399999999994</v>
      </c>
    </row>
    <row r="35" spans="1:17" ht="14.4" x14ac:dyDescent="0.3">
      <c r="A35" s="18">
        <v>30</v>
      </c>
      <c r="B35" s="19" t="s">
        <v>64</v>
      </c>
      <c r="C35" s="18" t="s">
        <v>26</v>
      </c>
      <c r="D35" s="18" t="s">
        <v>49</v>
      </c>
      <c r="E35" s="101">
        <v>10.09</v>
      </c>
      <c r="F35" s="101">
        <v>6.5</v>
      </c>
      <c r="G35" s="21">
        <f t="shared" si="0"/>
        <v>16.59</v>
      </c>
      <c r="H35" s="20">
        <v>24.99</v>
      </c>
      <c r="I35" s="22">
        <f t="shared" si="1"/>
        <v>1.02471</v>
      </c>
      <c r="J35" s="22">
        <f t="shared" si="2"/>
        <v>0.57999999999999996</v>
      </c>
      <c r="K35" s="13">
        <f t="shared" si="6"/>
        <v>3.3297000000000003</v>
      </c>
      <c r="L35" s="12">
        <f t="shared" si="7"/>
        <v>3.4655899999999984</v>
      </c>
      <c r="M35" s="23">
        <f t="shared" si="3"/>
        <v>0.1386790716286514</v>
      </c>
      <c r="N35" s="13">
        <f t="shared" si="8"/>
        <v>2.9928499999999993</v>
      </c>
      <c r="O35" s="15">
        <f t="shared" si="9"/>
        <v>2.0774499999999994</v>
      </c>
      <c r="P35" s="25">
        <f t="shared" si="4"/>
        <v>8.3131252501000383E-2</v>
      </c>
      <c r="Q35" s="26">
        <f t="shared" si="5"/>
        <v>1.388139999999999</v>
      </c>
    </row>
    <row r="36" spans="1:17" ht="14.4" x14ac:dyDescent="0.3">
      <c r="A36" s="9">
        <v>31</v>
      </c>
      <c r="B36" s="10" t="s">
        <v>65</v>
      </c>
      <c r="C36" s="9" t="s">
        <v>26</v>
      </c>
      <c r="D36" s="9" t="s">
        <v>49</v>
      </c>
      <c r="E36" s="100">
        <v>10.09</v>
      </c>
      <c r="F36" s="100">
        <v>6.5</v>
      </c>
      <c r="G36" s="12">
        <f t="shared" si="0"/>
        <v>16.59</v>
      </c>
      <c r="H36" s="11">
        <v>24.99</v>
      </c>
      <c r="I36" s="13">
        <f t="shared" si="1"/>
        <v>1.02471</v>
      </c>
      <c r="J36" s="13">
        <f t="shared" si="2"/>
        <v>0.57999999999999996</v>
      </c>
      <c r="K36" s="13">
        <f t="shared" si="6"/>
        <v>3.3297000000000003</v>
      </c>
      <c r="L36" s="12">
        <f t="shared" si="7"/>
        <v>3.4655899999999984</v>
      </c>
      <c r="M36" s="14">
        <f t="shared" si="3"/>
        <v>0.1386790716286514</v>
      </c>
      <c r="N36" s="13">
        <f t="shared" si="8"/>
        <v>2.9928499999999993</v>
      </c>
      <c r="O36" s="15">
        <f t="shared" si="9"/>
        <v>2.0774499999999994</v>
      </c>
      <c r="P36" s="16">
        <f t="shared" si="4"/>
        <v>8.3131252501000383E-2</v>
      </c>
      <c r="Q36" s="17">
        <f t="shared" si="5"/>
        <v>1.388139999999999</v>
      </c>
    </row>
    <row r="37" spans="1:17" ht="26.4" x14ac:dyDescent="0.3">
      <c r="A37" s="18">
        <v>32</v>
      </c>
      <c r="B37" s="19" t="s">
        <v>66</v>
      </c>
      <c r="C37" s="18" t="s">
        <v>26</v>
      </c>
      <c r="D37" s="18" t="s">
        <v>36</v>
      </c>
      <c r="E37" s="101">
        <v>9.99</v>
      </c>
      <c r="F37" s="101">
        <v>6.5</v>
      </c>
      <c r="G37" s="21">
        <f t="shared" si="0"/>
        <v>16.490000000000002</v>
      </c>
      <c r="H37" s="20">
        <v>24.99</v>
      </c>
      <c r="I37" s="22">
        <f t="shared" si="1"/>
        <v>1.02471</v>
      </c>
      <c r="J37" s="22">
        <f t="shared" si="2"/>
        <v>0.57999999999999996</v>
      </c>
      <c r="K37" s="13">
        <f t="shared" si="6"/>
        <v>3.2967000000000004</v>
      </c>
      <c r="L37" s="12">
        <f t="shared" si="7"/>
        <v>3.5985899999999962</v>
      </c>
      <c r="M37" s="23">
        <f t="shared" si="3"/>
        <v>0.14400120048019194</v>
      </c>
      <c r="N37" s="13">
        <f t="shared" si="8"/>
        <v>3.0258499999999993</v>
      </c>
      <c r="O37" s="15">
        <f t="shared" si="9"/>
        <v>2.1774499999999968</v>
      </c>
      <c r="P37" s="25">
        <f t="shared" si="4"/>
        <v>8.7132853141256378E-2</v>
      </c>
      <c r="Q37" s="26">
        <f t="shared" si="5"/>
        <v>1.4211399999999994</v>
      </c>
    </row>
    <row r="38" spans="1:17" ht="26.4" x14ac:dyDescent="0.3">
      <c r="A38" s="9">
        <v>33</v>
      </c>
      <c r="B38" s="10" t="s">
        <v>67</v>
      </c>
      <c r="C38" s="9" t="s">
        <v>26</v>
      </c>
      <c r="D38" s="9" t="s">
        <v>36</v>
      </c>
      <c r="E38" s="100">
        <v>8.2899999999999991</v>
      </c>
      <c r="F38" s="100">
        <v>6.5</v>
      </c>
      <c r="G38" s="12">
        <f t="shared" si="0"/>
        <v>14.79</v>
      </c>
      <c r="H38" s="11">
        <v>24.99</v>
      </c>
      <c r="I38" s="13">
        <f t="shared" si="1"/>
        <v>1.02471</v>
      </c>
      <c r="J38" s="13">
        <f t="shared" si="2"/>
        <v>0.57999999999999996</v>
      </c>
      <c r="K38" s="13">
        <f t="shared" si="6"/>
        <v>2.7357</v>
      </c>
      <c r="L38" s="12">
        <f t="shared" si="7"/>
        <v>5.859589999999999</v>
      </c>
      <c r="M38" s="14">
        <f t="shared" si="3"/>
        <v>0.23447739095638254</v>
      </c>
      <c r="N38" s="13">
        <f t="shared" si="8"/>
        <v>3.5868499999999996</v>
      </c>
      <c r="O38" s="15">
        <f t="shared" si="9"/>
        <v>3.8774499999999992</v>
      </c>
      <c r="P38" s="16">
        <f t="shared" si="4"/>
        <v>0.15516006402561022</v>
      </c>
      <c r="Q38" s="17">
        <f t="shared" si="5"/>
        <v>1.9821399999999998</v>
      </c>
    </row>
    <row r="40" spans="1:17" ht="14.4" x14ac:dyDescent="0.3">
      <c r="A40" s="97" t="s">
        <v>68</v>
      </c>
      <c r="B40" s="97"/>
      <c r="C40" s="97"/>
      <c r="D40" s="97"/>
      <c r="E40" s="27">
        <f t="shared" ref="E40:Q40" si="10">AVERAGE(E6:E38)</f>
        <v>15.465757575757577</v>
      </c>
      <c r="F40" s="27">
        <f t="shared" si="10"/>
        <v>6.8939393939393936</v>
      </c>
      <c r="G40" s="27">
        <f t="shared" si="10"/>
        <v>22.359696969696966</v>
      </c>
      <c r="H40" s="27">
        <f t="shared" si="10"/>
        <v>38.171818181818182</v>
      </c>
      <c r="I40" s="27">
        <f t="shared" si="10"/>
        <v>1.4069827272727271</v>
      </c>
      <c r="J40" s="27">
        <f t="shared" si="10"/>
        <v>0.57999999999999974</v>
      </c>
      <c r="K40" s="27"/>
      <c r="L40" s="27">
        <f t="shared" si="10"/>
        <v>8.7214384848484876</v>
      </c>
      <c r="M40" s="28">
        <f t="shared" si="10"/>
        <v>0.2245054465990482</v>
      </c>
      <c r="N40" s="27">
        <f t="shared" si="10"/>
        <v>4.4483954545454543</v>
      </c>
      <c r="O40" s="27">
        <f t="shared" si="10"/>
        <v>6.2600257575757583</v>
      </c>
      <c r="P40" s="28">
        <f t="shared" si="10"/>
        <v>0.15866473826644245</v>
      </c>
      <c r="Q40" s="27">
        <f t="shared" si="10"/>
        <v>2.4614127272727253</v>
      </c>
    </row>
  </sheetData>
  <mergeCells count="3">
    <mergeCell ref="A1:P1"/>
    <mergeCell ref="A2:P2"/>
    <mergeCell ref="A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285F4"/>
  </sheetPr>
  <dimension ref="A1:G26"/>
  <sheetViews>
    <sheetView zoomScaleNormal="100" workbookViewId="0">
      <pane ySplit="4" topLeftCell="A5" activePane="bottomLeft" state="frozen"/>
      <selection pane="bottomLeft" sqref="A1:G1"/>
    </sheetView>
  </sheetViews>
  <sheetFormatPr defaultColWidth="8.6640625" defaultRowHeight="15" customHeight="1" x14ac:dyDescent="0.3"/>
  <cols>
    <col min="1" max="3" width="22" customWidth="1"/>
    <col min="4" max="5" width="14" customWidth="1"/>
    <col min="6" max="6" width="42" customWidth="1"/>
  </cols>
  <sheetData>
    <row r="1" spans="1:7" ht="17.399999999999999" x14ac:dyDescent="0.3">
      <c r="A1" s="95" t="s">
        <v>69</v>
      </c>
      <c r="B1" s="95"/>
      <c r="C1" s="95"/>
      <c r="D1" s="95"/>
      <c r="E1" s="95"/>
      <c r="F1" s="95"/>
      <c r="G1" s="95"/>
    </row>
    <row r="2" spans="1:7" ht="14.4" x14ac:dyDescent="0.3">
      <c r="A2" s="96" t="s">
        <v>70</v>
      </c>
      <c r="B2" s="96"/>
      <c r="C2" s="96"/>
      <c r="D2" s="96"/>
      <c r="E2" s="96"/>
      <c r="F2" s="96"/>
      <c r="G2" s="96"/>
    </row>
    <row r="4" spans="1:7" ht="39.6" x14ac:dyDescent="0.3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</row>
    <row r="5" spans="1:7" ht="26.4" x14ac:dyDescent="0.3">
      <c r="A5" s="10" t="s">
        <v>77</v>
      </c>
      <c r="B5" s="29" t="s">
        <v>78</v>
      </c>
      <c r="C5" s="30" t="s">
        <v>79</v>
      </c>
      <c r="D5" s="31" t="s">
        <v>80</v>
      </c>
      <c r="E5" s="31" t="s">
        <v>81</v>
      </c>
      <c r="F5" s="9" t="s">
        <v>82</v>
      </c>
    </row>
    <row r="6" spans="1:7" ht="26.4" x14ac:dyDescent="0.3">
      <c r="A6" s="19" t="s">
        <v>83</v>
      </c>
      <c r="B6" s="32" t="s">
        <v>84</v>
      </c>
      <c r="C6" s="33" t="s">
        <v>85</v>
      </c>
      <c r="D6" s="34" t="s">
        <v>86</v>
      </c>
      <c r="E6" s="34" t="s">
        <v>87</v>
      </c>
      <c r="F6" s="18" t="s">
        <v>88</v>
      </c>
    </row>
    <row r="7" spans="1:7" ht="39.6" x14ac:dyDescent="0.3">
      <c r="A7" s="10" t="s">
        <v>89</v>
      </c>
      <c r="B7" s="29" t="s">
        <v>90</v>
      </c>
      <c r="C7" s="30" t="s">
        <v>91</v>
      </c>
      <c r="D7" s="31" t="s">
        <v>92</v>
      </c>
      <c r="E7" s="31" t="s">
        <v>93</v>
      </c>
      <c r="F7" s="9" t="s">
        <v>94</v>
      </c>
    </row>
    <row r="8" spans="1:7" ht="26.4" x14ac:dyDescent="0.3">
      <c r="A8" s="19" t="s">
        <v>95</v>
      </c>
      <c r="B8" s="32" t="s">
        <v>90</v>
      </c>
      <c r="C8" s="33" t="s">
        <v>96</v>
      </c>
      <c r="D8" s="34" t="s">
        <v>97</v>
      </c>
      <c r="E8" s="34" t="s">
        <v>98</v>
      </c>
      <c r="F8" s="18" t="s">
        <v>99</v>
      </c>
    </row>
    <row r="9" spans="1:7" ht="26.4" x14ac:dyDescent="0.3">
      <c r="A9" s="10" t="s">
        <v>100</v>
      </c>
      <c r="B9" s="29" t="s">
        <v>101</v>
      </c>
      <c r="C9" s="30" t="s">
        <v>102</v>
      </c>
      <c r="D9" s="31" t="s">
        <v>103</v>
      </c>
      <c r="E9" s="31" t="s">
        <v>104</v>
      </c>
      <c r="F9" s="9" t="s">
        <v>105</v>
      </c>
    </row>
    <row r="10" spans="1:7" ht="26.4" x14ac:dyDescent="0.3">
      <c r="A10" s="19" t="s">
        <v>106</v>
      </c>
      <c r="B10" s="32" t="s">
        <v>90</v>
      </c>
      <c r="C10" s="33" t="s">
        <v>107</v>
      </c>
      <c r="D10" s="34" t="s">
        <v>108</v>
      </c>
      <c r="E10" s="34" t="s">
        <v>108</v>
      </c>
      <c r="F10" s="18" t="s">
        <v>109</v>
      </c>
    </row>
    <row r="11" spans="1:7" ht="26.4" x14ac:dyDescent="0.3">
      <c r="A11" s="10" t="s">
        <v>110</v>
      </c>
      <c r="B11" s="29" t="s">
        <v>90</v>
      </c>
      <c r="C11" s="30" t="s">
        <v>111</v>
      </c>
      <c r="D11" s="31" t="s">
        <v>112</v>
      </c>
      <c r="E11" s="31" t="s">
        <v>113</v>
      </c>
      <c r="F11" s="9" t="s">
        <v>114</v>
      </c>
    </row>
    <row r="12" spans="1:7" ht="14.4" x14ac:dyDescent="0.3">
      <c r="A12" s="19" t="s">
        <v>115</v>
      </c>
      <c r="B12" s="32" t="s">
        <v>116</v>
      </c>
      <c r="C12" s="33" t="s">
        <v>117</v>
      </c>
      <c r="D12" s="34" t="s">
        <v>118</v>
      </c>
      <c r="E12" s="34" t="s">
        <v>119</v>
      </c>
      <c r="F12" s="18" t="s">
        <v>120</v>
      </c>
    </row>
    <row r="15" spans="1:7" ht="17.399999999999999" x14ac:dyDescent="0.3">
      <c r="A15" s="98" t="s">
        <v>121</v>
      </c>
      <c r="B15" s="98"/>
      <c r="C15" s="98"/>
      <c r="D15" s="98"/>
      <c r="E15" s="98"/>
      <c r="F15" s="98"/>
    </row>
    <row r="16" spans="1:7" ht="39.6" x14ac:dyDescent="0.3">
      <c r="A16" s="8" t="s">
        <v>122</v>
      </c>
      <c r="B16" s="8" t="s">
        <v>123</v>
      </c>
      <c r="C16" s="8" t="s">
        <v>124</v>
      </c>
      <c r="D16" s="8" t="s">
        <v>125</v>
      </c>
      <c r="E16" s="8" t="s">
        <v>126</v>
      </c>
    </row>
    <row r="17" spans="1:6" ht="26.4" x14ac:dyDescent="0.3">
      <c r="A17" s="35" t="s">
        <v>127</v>
      </c>
      <c r="B17" s="36">
        <f>40*0.029+0.3+29/50</f>
        <v>2.04</v>
      </c>
      <c r="C17" s="37">
        <f>B17/40</f>
        <v>5.1000000000000004E-2</v>
      </c>
      <c r="D17" s="38">
        <f>40-20-B17</f>
        <v>17.96</v>
      </c>
      <c r="E17" s="39">
        <f>D17/40</f>
        <v>0.44900000000000001</v>
      </c>
    </row>
    <row r="18" spans="1:6" ht="14.4" x14ac:dyDescent="0.3">
      <c r="A18" s="40" t="s">
        <v>128</v>
      </c>
      <c r="B18" s="41">
        <f>40*0.245+0.2</f>
        <v>10</v>
      </c>
      <c r="C18" s="42">
        <f>B18/40</f>
        <v>0.25</v>
      </c>
      <c r="D18" s="43">
        <f>40-20-B18</f>
        <v>10</v>
      </c>
      <c r="E18" s="44">
        <f>D18/40</f>
        <v>0.25</v>
      </c>
    </row>
    <row r="19" spans="1:6" ht="26.4" x14ac:dyDescent="0.3">
      <c r="A19" s="45" t="s">
        <v>129</v>
      </c>
      <c r="B19" s="46">
        <f>B18-B17</f>
        <v>7.96</v>
      </c>
      <c r="C19" s="47"/>
      <c r="D19" s="46">
        <f>D17-D18</f>
        <v>7.9600000000000009</v>
      </c>
      <c r="E19" s="47"/>
    </row>
    <row r="21" spans="1:6" ht="17.399999999999999" x14ac:dyDescent="0.3">
      <c r="A21" s="98" t="s">
        <v>130</v>
      </c>
      <c r="B21" s="98"/>
      <c r="C21" s="98"/>
      <c r="D21" s="98"/>
      <c r="E21" s="98"/>
      <c r="F21" s="98"/>
    </row>
    <row r="22" spans="1:6" ht="14.4" x14ac:dyDescent="0.3">
      <c r="A22" s="8" t="s">
        <v>131</v>
      </c>
      <c r="B22" s="8" t="s">
        <v>132</v>
      </c>
      <c r="C22" s="8" t="s">
        <v>73</v>
      </c>
      <c r="D22" s="8" t="s">
        <v>133</v>
      </c>
    </row>
    <row r="23" spans="1:6" ht="14.4" x14ac:dyDescent="0.3">
      <c r="A23" s="48" t="s">
        <v>134</v>
      </c>
      <c r="B23" s="49">
        <f>600*40</f>
        <v>24000</v>
      </c>
      <c r="C23" s="50">
        <f>600*40</f>
        <v>24000</v>
      </c>
      <c r="D23" s="51">
        <f>B23-C23</f>
        <v>0</v>
      </c>
    </row>
    <row r="24" spans="1:6" ht="14.4" x14ac:dyDescent="0.3">
      <c r="A24" s="52" t="s">
        <v>135</v>
      </c>
      <c r="B24" s="53">
        <f>B17*600</f>
        <v>1224</v>
      </c>
      <c r="C24" s="54">
        <f>B18*600</f>
        <v>6000</v>
      </c>
      <c r="D24" s="55">
        <f>B24-C24</f>
        <v>-4776</v>
      </c>
    </row>
    <row r="25" spans="1:6" ht="14.4" x14ac:dyDescent="0.3">
      <c r="A25" s="48" t="s">
        <v>136</v>
      </c>
      <c r="B25" s="49">
        <f>D17*600</f>
        <v>10776</v>
      </c>
      <c r="C25" s="50">
        <f>D18*600</f>
        <v>6000</v>
      </c>
      <c r="D25" s="51">
        <f>B25-C25</f>
        <v>4776</v>
      </c>
    </row>
    <row r="26" spans="1:6" ht="26.4" x14ac:dyDescent="0.3">
      <c r="A26" s="45" t="s">
        <v>137</v>
      </c>
      <c r="B26" s="47"/>
      <c r="C26" s="47"/>
      <c r="D26" s="56">
        <f>C24-B24</f>
        <v>4776</v>
      </c>
    </row>
  </sheetData>
  <mergeCells count="4">
    <mergeCell ref="A1:G1"/>
    <mergeCell ref="A2:G2"/>
    <mergeCell ref="A15:F15"/>
    <mergeCell ref="A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7F"/>
  </sheetPr>
  <dimension ref="A1:L19"/>
  <sheetViews>
    <sheetView zoomScale="70" zoomScaleNormal="70" workbookViewId="0">
      <pane ySplit="4" topLeftCell="A5" activePane="bottomLeft" state="frozen"/>
      <selection pane="bottomLeft" activeCell="O9" sqref="O9"/>
    </sheetView>
  </sheetViews>
  <sheetFormatPr defaultColWidth="8.6640625" defaultRowHeight="15" customHeight="1" x14ac:dyDescent="0.3"/>
  <cols>
    <col min="1" max="1" width="5" customWidth="1"/>
    <col min="2" max="2" width="34" customWidth="1"/>
    <col min="3" max="3" width="6" customWidth="1"/>
    <col min="4" max="4" width="8" customWidth="1"/>
    <col min="5" max="5" width="7" customWidth="1"/>
    <col min="6" max="6" width="8" customWidth="1"/>
    <col min="7" max="7" width="9" customWidth="1"/>
    <col min="8" max="8" width="8" customWidth="1"/>
    <col min="9" max="10" width="9" customWidth="1"/>
    <col min="11" max="11" width="48" customWidth="1"/>
    <col min="12" max="12" width="10" customWidth="1"/>
  </cols>
  <sheetData>
    <row r="1" spans="1:12" ht="17.399999999999999" x14ac:dyDescent="0.3">
      <c r="A1" s="95" t="s">
        <v>138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14.4" x14ac:dyDescent="0.3">
      <c r="A2" s="96" t="s">
        <v>139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4" spans="1:12" ht="39.6" x14ac:dyDescent="0.3">
      <c r="A4" s="8" t="s">
        <v>140</v>
      </c>
      <c r="B4" s="8" t="s">
        <v>141</v>
      </c>
      <c r="C4" s="8" t="s">
        <v>12</v>
      </c>
      <c r="D4" s="8" t="s">
        <v>142</v>
      </c>
      <c r="E4" s="8" t="s">
        <v>143</v>
      </c>
      <c r="F4" s="8" t="s">
        <v>144</v>
      </c>
      <c r="G4" s="8" t="s">
        <v>19</v>
      </c>
      <c r="H4" s="8" t="s">
        <v>20</v>
      </c>
      <c r="I4" s="8" t="s">
        <v>22</v>
      </c>
      <c r="J4" s="8" t="s">
        <v>145</v>
      </c>
      <c r="K4" s="8" t="s">
        <v>146</v>
      </c>
      <c r="L4" s="8" t="s">
        <v>147</v>
      </c>
    </row>
    <row r="5" spans="1:12" ht="39.6" x14ac:dyDescent="0.3">
      <c r="A5" s="31" t="s">
        <v>148</v>
      </c>
      <c r="B5" s="10" t="s">
        <v>149</v>
      </c>
      <c r="C5" s="9" t="s">
        <v>36</v>
      </c>
      <c r="D5" s="100">
        <v>5.29</v>
      </c>
      <c r="E5" s="100">
        <v>5.5</v>
      </c>
      <c r="F5" s="100">
        <v>19.989999999999998</v>
      </c>
      <c r="G5" s="12">
        <f t="shared" ref="G5:G19" si="0">F5-(D5+E5)-(F5*0.029+0.3)-(29/50)</f>
        <v>7.7402899999999999</v>
      </c>
      <c r="H5" s="14">
        <f t="shared" ref="H5:H19" si="1">IF(F5&gt;0,G5/F5,0)</f>
        <v>0.38720810405202605</v>
      </c>
      <c r="I5" s="15">
        <f t="shared" ref="I5:I19" si="2">F5-(D5+E5)-(F5*0.245+0.2)</f>
        <v>4.1024499999999993</v>
      </c>
      <c r="J5" s="57">
        <f t="shared" ref="J5:J19" si="3">G5-I5</f>
        <v>3.6378400000000006</v>
      </c>
      <c r="K5" s="9" t="s">
        <v>150</v>
      </c>
      <c r="L5" s="31" t="s">
        <v>151</v>
      </c>
    </row>
    <row r="6" spans="1:12" ht="26.4" x14ac:dyDescent="0.3">
      <c r="A6" s="34" t="s">
        <v>148</v>
      </c>
      <c r="B6" s="19" t="s">
        <v>152</v>
      </c>
      <c r="C6" s="18" t="s">
        <v>36</v>
      </c>
      <c r="D6" s="101">
        <v>7.29</v>
      </c>
      <c r="E6" s="101">
        <v>5.5</v>
      </c>
      <c r="F6" s="101">
        <v>24.99</v>
      </c>
      <c r="G6" s="21">
        <f t="shared" si="0"/>
        <v>10.595289999999999</v>
      </c>
      <c r="H6" s="23">
        <f t="shared" si="1"/>
        <v>0.42398119247699079</v>
      </c>
      <c r="I6" s="24">
        <f t="shared" si="2"/>
        <v>5.8774499999999996</v>
      </c>
      <c r="J6" s="58">
        <f t="shared" si="3"/>
        <v>4.7178399999999989</v>
      </c>
      <c r="K6" s="18" t="s">
        <v>153</v>
      </c>
      <c r="L6" s="34" t="s">
        <v>151</v>
      </c>
    </row>
    <row r="7" spans="1:12" ht="26.4" x14ac:dyDescent="0.3">
      <c r="A7" s="31" t="s">
        <v>148</v>
      </c>
      <c r="B7" s="10" t="s">
        <v>154</v>
      </c>
      <c r="C7" s="9" t="s">
        <v>27</v>
      </c>
      <c r="D7" s="100">
        <v>8.15</v>
      </c>
      <c r="E7" s="100">
        <v>6.5</v>
      </c>
      <c r="F7" s="100">
        <v>29.99</v>
      </c>
      <c r="G7" s="12">
        <f t="shared" si="0"/>
        <v>13.590289999999998</v>
      </c>
      <c r="H7" s="14">
        <f t="shared" si="1"/>
        <v>0.45316072024007997</v>
      </c>
      <c r="I7" s="15">
        <f t="shared" si="2"/>
        <v>7.7924499999999988</v>
      </c>
      <c r="J7" s="57">
        <f t="shared" si="3"/>
        <v>5.797839999999999</v>
      </c>
      <c r="K7" s="9" t="s">
        <v>155</v>
      </c>
      <c r="L7" s="31" t="s">
        <v>151</v>
      </c>
    </row>
    <row r="8" spans="1:12" ht="39.6" x14ac:dyDescent="0.3">
      <c r="A8" s="34" t="s">
        <v>148</v>
      </c>
      <c r="B8" s="19" t="s">
        <v>156</v>
      </c>
      <c r="C8" s="18" t="s">
        <v>36</v>
      </c>
      <c r="D8" s="101">
        <v>8.2899999999999991</v>
      </c>
      <c r="E8" s="101">
        <v>6.5</v>
      </c>
      <c r="F8" s="101">
        <v>24.99</v>
      </c>
      <c r="G8" s="21">
        <f t="shared" si="0"/>
        <v>8.5952899999999985</v>
      </c>
      <c r="H8" s="23">
        <f t="shared" si="1"/>
        <v>0.34394917967186872</v>
      </c>
      <c r="I8" s="24">
        <f t="shared" si="2"/>
        <v>3.8774499999999996</v>
      </c>
      <c r="J8" s="58">
        <f t="shared" si="3"/>
        <v>4.7178399999999989</v>
      </c>
      <c r="K8" s="18" t="s">
        <v>157</v>
      </c>
      <c r="L8" s="34" t="s">
        <v>151</v>
      </c>
    </row>
    <row r="9" spans="1:12" ht="26.4" x14ac:dyDescent="0.3">
      <c r="A9" s="31" t="s">
        <v>148</v>
      </c>
      <c r="B9" s="10" t="s">
        <v>158</v>
      </c>
      <c r="C9" s="9" t="s">
        <v>27</v>
      </c>
      <c r="D9" s="100">
        <v>8.75</v>
      </c>
      <c r="E9" s="100">
        <v>6.5</v>
      </c>
      <c r="F9" s="100">
        <v>29.99</v>
      </c>
      <c r="G9" s="12">
        <f t="shared" si="0"/>
        <v>12.990289999999998</v>
      </c>
      <c r="H9" s="14">
        <f t="shared" si="1"/>
        <v>0.4331540513504501</v>
      </c>
      <c r="I9" s="15">
        <f t="shared" si="2"/>
        <v>7.1924499999999991</v>
      </c>
      <c r="J9" s="57">
        <f t="shared" si="3"/>
        <v>5.797839999999999</v>
      </c>
      <c r="K9" s="9" t="s">
        <v>159</v>
      </c>
      <c r="L9" s="31" t="s">
        <v>151</v>
      </c>
    </row>
    <row r="10" spans="1:12" ht="26.4" x14ac:dyDescent="0.3">
      <c r="A10" s="34" t="s">
        <v>148</v>
      </c>
      <c r="B10" s="19" t="s">
        <v>160</v>
      </c>
      <c r="C10" s="18" t="s">
        <v>27</v>
      </c>
      <c r="D10" s="101">
        <v>8.92</v>
      </c>
      <c r="E10" s="101">
        <v>6.5</v>
      </c>
      <c r="F10" s="101">
        <v>24.99</v>
      </c>
      <c r="G10" s="21">
        <f t="shared" si="0"/>
        <v>7.9652899999999978</v>
      </c>
      <c r="H10" s="23">
        <f t="shared" si="1"/>
        <v>0.31873909563825525</v>
      </c>
      <c r="I10" s="24">
        <f t="shared" si="2"/>
        <v>3.2474499999999988</v>
      </c>
      <c r="J10" s="58">
        <f t="shared" si="3"/>
        <v>4.7178399999999989</v>
      </c>
      <c r="K10" s="18" t="s">
        <v>161</v>
      </c>
      <c r="L10" s="34" t="s">
        <v>151</v>
      </c>
    </row>
    <row r="11" spans="1:12" ht="39.6" x14ac:dyDescent="0.3">
      <c r="A11" s="31" t="s">
        <v>162</v>
      </c>
      <c r="B11" s="10" t="s">
        <v>163</v>
      </c>
      <c r="C11" s="9" t="s">
        <v>27</v>
      </c>
      <c r="D11" s="100">
        <v>25.64</v>
      </c>
      <c r="E11" s="100">
        <v>8.5</v>
      </c>
      <c r="F11" s="100">
        <v>69.989999999999995</v>
      </c>
      <c r="G11" s="12">
        <f t="shared" si="0"/>
        <v>32.940289999999997</v>
      </c>
      <c r="H11" s="14">
        <f t="shared" si="1"/>
        <v>0.4706428061151593</v>
      </c>
      <c r="I11" s="15">
        <f t="shared" si="2"/>
        <v>18.502449999999996</v>
      </c>
      <c r="J11" s="57">
        <f t="shared" si="3"/>
        <v>14.437840000000001</v>
      </c>
      <c r="K11" s="9" t="s">
        <v>164</v>
      </c>
      <c r="L11" s="31" t="s">
        <v>165</v>
      </c>
    </row>
    <row r="12" spans="1:12" ht="26.4" x14ac:dyDescent="0.3">
      <c r="A12" s="34" t="s">
        <v>162</v>
      </c>
      <c r="B12" s="19" t="s">
        <v>166</v>
      </c>
      <c r="C12" s="18" t="s">
        <v>27</v>
      </c>
      <c r="D12" s="101">
        <v>23.49</v>
      </c>
      <c r="E12" s="101">
        <v>7.5</v>
      </c>
      <c r="F12" s="101">
        <v>49.99</v>
      </c>
      <c r="G12" s="21">
        <f t="shared" si="0"/>
        <v>16.670290000000005</v>
      </c>
      <c r="H12" s="23">
        <f t="shared" si="1"/>
        <v>0.33347249449889987</v>
      </c>
      <c r="I12" s="24">
        <f t="shared" si="2"/>
        <v>6.5524500000000039</v>
      </c>
      <c r="J12" s="58">
        <f t="shared" si="3"/>
        <v>10.117840000000001</v>
      </c>
      <c r="K12" s="18" t="s">
        <v>167</v>
      </c>
      <c r="L12" s="34" t="s">
        <v>168</v>
      </c>
    </row>
    <row r="13" spans="1:12" ht="39.6" x14ac:dyDescent="0.3">
      <c r="A13" s="31" t="s">
        <v>162</v>
      </c>
      <c r="B13" s="10" t="s">
        <v>169</v>
      </c>
      <c r="C13" s="9" t="s">
        <v>27</v>
      </c>
      <c r="D13" s="100">
        <v>14.69</v>
      </c>
      <c r="E13" s="100">
        <v>6.5</v>
      </c>
      <c r="F13" s="100">
        <v>34.99</v>
      </c>
      <c r="G13" s="12">
        <f t="shared" si="0"/>
        <v>11.905290000000004</v>
      </c>
      <c r="H13" s="14">
        <f t="shared" si="1"/>
        <v>0.34024835667333536</v>
      </c>
      <c r="I13" s="15">
        <f t="shared" si="2"/>
        <v>5.0274500000000053</v>
      </c>
      <c r="J13" s="57">
        <f t="shared" si="3"/>
        <v>6.8778399999999991</v>
      </c>
      <c r="K13" s="9" t="s">
        <v>170</v>
      </c>
      <c r="L13" s="31" t="s">
        <v>165</v>
      </c>
    </row>
    <row r="14" spans="1:12" ht="39.6" x14ac:dyDescent="0.3">
      <c r="A14" s="34" t="s">
        <v>162</v>
      </c>
      <c r="B14" s="19" t="s">
        <v>171</v>
      </c>
      <c r="C14" s="18" t="s">
        <v>27</v>
      </c>
      <c r="D14" s="101">
        <v>13.19</v>
      </c>
      <c r="E14" s="101">
        <v>7</v>
      </c>
      <c r="F14" s="101">
        <v>39.99</v>
      </c>
      <c r="G14" s="21">
        <f t="shared" si="0"/>
        <v>17.760290000000005</v>
      </c>
      <c r="H14" s="23">
        <f t="shared" si="1"/>
        <v>0.44411827956989258</v>
      </c>
      <c r="I14" s="24">
        <f t="shared" si="2"/>
        <v>9.8024500000000039</v>
      </c>
      <c r="J14" s="58">
        <f t="shared" si="3"/>
        <v>7.9578400000000009</v>
      </c>
      <c r="K14" s="18" t="s">
        <v>172</v>
      </c>
      <c r="L14" s="34" t="s">
        <v>165</v>
      </c>
    </row>
    <row r="15" spans="1:12" ht="26.4" x14ac:dyDescent="0.3">
      <c r="A15" s="31" t="s">
        <v>162</v>
      </c>
      <c r="B15" s="10" t="s">
        <v>173</v>
      </c>
      <c r="C15" s="9" t="s">
        <v>27</v>
      </c>
      <c r="D15" s="100">
        <v>13.29</v>
      </c>
      <c r="E15" s="100">
        <v>7</v>
      </c>
      <c r="F15" s="100">
        <v>39.99</v>
      </c>
      <c r="G15" s="12">
        <f t="shared" si="0"/>
        <v>17.660290000000003</v>
      </c>
      <c r="H15" s="14">
        <f t="shared" si="1"/>
        <v>0.44161765441360346</v>
      </c>
      <c r="I15" s="15">
        <f t="shared" si="2"/>
        <v>9.7024500000000025</v>
      </c>
      <c r="J15" s="57">
        <f t="shared" si="3"/>
        <v>7.9578400000000009</v>
      </c>
      <c r="K15" s="9" t="s">
        <v>174</v>
      </c>
      <c r="L15" s="31" t="s">
        <v>165</v>
      </c>
    </row>
    <row r="16" spans="1:12" ht="26.4" x14ac:dyDescent="0.3">
      <c r="A16" s="34" t="s">
        <v>162</v>
      </c>
      <c r="B16" s="19" t="s">
        <v>175</v>
      </c>
      <c r="C16" s="18" t="s">
        <v>27</v>
      </c>
      <c r="D16" s="101">
        <v>13.29</v>
      </c>
      <c r="E16" s="101">
        <v>7</v>
      </c>
      <c r="F16" s="101">
        <v>34.99</v>
      </c>
      <c r="G16" s="21">
        <f t="shared" si="0"/>
        <v>12.805290000000003</v>
      </c>
      <c r="H16" s="23">
        <f t="shared" si="1"/>
        <v>0.3659699914261218</v>
      </c>
      <c r="I16" s="24">
        <f t="shared" si="2"/>
        <v>5.9274500000000039</v>
      </c>
      <c r="J16" s="58">
        <f t="shared" si="3"/>
        <v>6.8778399999999991</v>
      </c>
      <c r="K16" s="18" t="s">
        <v>176</v>
      </c>
      <c r="L16" s="34" t="s">
        <v>177</v>
      </c>
    </row>
    <row r="17" spans="1:12" ht="26.4" x14ac:dyDescent="0.3">
      <c r="A17" s="31" t="s">
        <v>140</v>
      </c>
      <c r="B17" s="10" t="s">
        <v>178</v>
      </c>
      <c r="C17" s="9" t="s">
        <v>27</v>
      </c>
      <c r="D17" s="100">
        <v>19.989999999999998</v>
      </c>
      <c r="E17" s="100">
        <v>7</v>
      </c>
      <c r="F17" s="100">
        <v>44.99</v>
      </c>
      <c r="G17" s="12">
        <f t="shared" si="0"/>
        <v>15.815290000000003</v>
      </c>
      <c r="H17" s="14">
        <f t="shared" si="1"/>
        <v>0.35152900644587692</v>
      </c>
      <c r="I17" s="15">
        <f t="shared" si="2"/>
        <v>6.7774500000000035</v>
      </c>
      <c r="J17" s="57">
        <f t="shared" si="3"/>
        <v>9.0378399999999992</v>
      </c>
      <c r="K17" s="9" t="s">
        <v>179</v>
      </c>
      <c r="L17" s="31" t="s">
        <v>180</v>
      </c>
    </row>
    <row r="18" spans="1:12" ht="26.4" x14ac:dyDescent="0.3">
      <c r="A18" s="34" t="s">
        <v>140</v>
      </c>
      <c r="B18" s="19" t="s">
        <v>181</v>
      </c>
      <c r="C18" s="18" t="s">
        <v>27</v>
      </c>
      <c r="D18" s="101">
        <v>18.39</v>
      </c>
      <c r="E18" s="101">
        <v>7</v>
      </c>
      <c r="F18" s="101">
        <v>39.99</v>
      </c>
      <c r="G18" s="21">
        <f t="shared" si="0"/>
        <v>12.560290000000002</v>
      </c>
      <c r="H18" s="23">
        <f t="shared" si="1"/>
        <v>0.31408577144286076</v>
      </c>
      <c r="I18" s="24">
        <f t="shared" si="2"/>
        <v>4.602450000000001</v>
      </c>
      <c r="J18" s="58">
        <f t="shared" si="3"/>
        <v>7.9578400000000009</v>
      </c>
      <c r="K18" s="18" t="s">
        <v>182</v>
      </c>
      <c r="L18" s="34" t="s">
        <v>180</v>
      </c>
    </row>
    <row r="19" spans="1:12" ht="39.6" x14ac:dyDescent="0.3">
      <c r="A19" s="31" t="s">
        <v>140</v>
      </c>
      <c r="B19" s="10" t="s">
        <v>183</v>
      </c>
      <c r="C19" s="9" t="s">
        <v>27</v>
      </c>
      <c r="D19" s="100">
        <v>23.09</v>
      </c>
      <c r="E19" s="100">
        <v>8</v>
      </c>
      <c r="F19" s="100">
        <v>54.99</v>
      </c>
      <c r="G19" s="12">
        <f t="shared" si="0"/>
        <v>21.425290000000004</v>
      </c>
      <c r="H19" s="14">
        <f t="shared" si="1"/>
        <v>0.3896215675577378</v>
      </c>
      <c r="I19" s="15">
        <f t="shared" si="2"/>
        <v>10.227450000000003</v>
      </c>
      <c r="J19" s="57">
        <f t="shared" si="3"/>
        <v>11.197840000000001</v>
      </c>
      <c r="K19" s="9" t="s">
        <v>184</v>
      </c>
      <c r="L19" s="31" t="s">
        <v>180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B6B"/>
  </sheetPr>
  <dimension ref="A1:G42"/>
  <sheetViews>
    <sheetView zoomScaleNormal="100" workbookViewId="0">
      <pane ySplit="4" topLeftCell="A11" activePane="bottomLeft" state="frozen"/>
      <selection pane="bottomLeft" activeCell="B36" sqref="B36:B37"/>
    </sheetView>
  </sheetViews>
  <sheetFormatPr defaultColWidth="8.6640625" defaultRowHeight="15" customHeight="1" x14ac:dyDescent="0.3"/>
  <cols>
    <col min="1" max="1" width="30" customWidth="1"/>
    <col min="2" max="7" width="12" customWidth="1"/>
  </cols>
  <sheetData>
    <row r="1" spans="1:7" ht="17.399999999999999" x14ac:dyDescent="0.3">
      <c r="A1" s="95" t="s">
        <v>185</v>
      </c>
      <c r="B1" s="95"/>
      <c r="C1" s="95"/>
      <c r="D1" s="95"/>
      <c r="E1" s="95"/>
      <c r="F1" s="95"/>
      <c r="G1" s="95"/>
    </row>
    <row r="2" spans="1:7" ht="14.4" x14ac:dyDescent="0.3">
      <c r="A2" s="96" t="s">
        <v>186</v>
      </c>
      <c r="B2" s="96"/>
      <c r="C2" s="96"/>
      <c r="D2" s="96"/>
      <c r="E2" s="96"/>
      <c r="F2" s="96"/>
      <c r="G2" s="96"/>
    </row>
    <row r="4" spans="1:7" ht="14.4" x14ac:dyDescent="0.3">
      <c r="A4" s="59" t="s">
        <v>187</v>
      </c>
      <c r="B4" s="60" t="s">
        <v>188</v>
      </c>
    </row>
    <row r="5" spans="1:7" ht="14.4" x14ac:dyDescent="0.3">
      <c r="A5" s="61" t="s">
        <v>189</v>
      </c>
      <c r="B5" s="84">
        <v>300</v>
      </c>
    </row>
    <row r="6" spans="1:7" ht="14.4" x14ac:dyDescent="0.3">
      <c r="A6" s="62" t="s">
        <v>190</v>
      </c>
      <c r="B6" s="85">
        <v>0.65</v>
      </c>
    </row>
    <row r="7" spans="1:7" ht="14.4" x14ac:dyDescent="0.3">
      <c r="A7" s="61" t="s">
        <v>191</v>
      </c>
      <c r="B7" s="86">
        <f>B5/B6</f>
        <v>461.53846153846155</v>
      </c>
    </row>
    <row r="8" spans="1:7" ht="14.4" x14ac:dyDescent="0.3">
      <c r="A8" s="62" t="s">
        <v>192</v>
      </c>
      <c r="B8" s="87">
        <v>2.5000000000000001E-2</v>
      </c>
    </row>
    <row r="9" spans="1:7" ht="14.4" x14ac:dyDescent="0.3">
      <c r="A9" s="61" t="s">
        <v>193</v>
      </c>
      <c r="B9" s="86">
        <f>B7*B8</f>
        <v>11.53846153846154</v>
      </c>
    </row>
    <row r="10" spans="1:7" ht="14.4" x14ac:dyDescent="0.3">
      <c r="A10" s="62" t="s">
        <v>194</v>
      </c>
      <c r="B10" s="85">
        <v>35</v>
      </c>
    </row>
    <row r="11" spans="1:7" ht="14.4" x14ac:dyDescent="0.3">
      <c r="A11" s="61" t="s">
        <v>195</v>
      </c>
      <c r="B11" s="88">
        <v>18.5</v>
      </c>
    </row>
    <row r="12" spans="1:7" ht="14.4" x14ac:dyDescent="0.3">
      <c r="A12" s="62" t="s">
        <v>196</v>
      </c>
      <c r="B12" s="87">
        <v>2.9000000000000001E-2</v>
      </c>
    </row>
    <row r="13" spans="1:7" ht="14.4" x14ac:dyDescent="0.3">
      <c r="A13" s="61" t="s">
        <v>197</v>
      </c>
      <c r="B13" s="88">
        <v>0.3</v>
      </c>
    </row>
    <row r="14" spans="1:7" ht="14.4" x14ac:dyDescent="0.3">
      <c r="A14" s="62" t="s">
        <v>198</v>
      </c>
      <c r="B14" s="89">
        <f>IF(B9&gt;0,29/B9,0)</f>
        <v>2.5133333333333332</v>
      </c>
    </row>
    <row r="15" spans="1:7" ht="15" customHeight="1" x14ac:dyDescent="0.3">
      <c r="B15" s="90"/>
    </row>
    <row r="16" spans="1:7" ht="14.4" x14ac:dyDescent="0.3">
      <c r="A16" s="59" t="s">
        <v>199</v>
      </c>
      <c r="B16" s="91" t="s">
        <v>200</v>
      </c>
    </row>
    <row r="17" spans="1:3" ht="14.4" x14ac:dyDescent="0.3">
      <c r="A17" s="61" t="s">
        <v>201</v>
      </c>
      <c r="B17" s="88">
        <f>B9*B10</f>
        <v>403.84615384615392</v>
      </c>
    </row>
    <row r="18" spans="1:3" ht="14.4" x14ac:dyDescent="0.3">
      <c r="A18" s="62" t="s">
        <v>202</v>
      </c>
      <c r="B18" s="85">
        <f>B9*B11</f>
        <v>213.46153846153848</v>
      </c>
    </row>
    <row r="19" spans="1:3" ht="14.4" x14ac:dyDescent="0.3">
      <c r="A19" s="61" t="s">
        <v>203</v>
      </c>
      <c r="B19" s="88">
        <f>B9*(B10*B12+B13)</f>
        <v>15.173076923076927</v>
      </c>
    </row>
    <row r="20" spans="1:3" ht="14.4" x14ac:dyDescent="0.3">
      <c r="A20" s="62" t="s">
        <v>204</v>
      </c>
      <c r="B20" s="85">
        <f>29</f>
        <v>29</v>
      </c>
    </row>
    <row r="21" spans="1:3" ht="14.4" x14ac:dyDescent="0.3">
      <c r="A21" s="61" t="s">
        <v>205</v>
      </c>
      <c r="B21" s="88">
        <f>B5</f>
        <v>300</v>
      </c>
    </row>
    <row r="22" spans="1:3" ht="14.4" x14ac:dyDescent="0.3">
      <c r="A22" s="62" t="s">
        <v>206</v>
      </c>
      <c r="B22" s="85">
        <f>B18+B19+B20+B21</f>
        <v>557.63461538461547</v>
      </c>
    </row>
    <row r="23" spans="1:3" ht="14.4" x14ac:dyDescent="0.3">
      <c r="A23" s="61" t="s">
        <v>207</v>
      </c>
      <c r="B23" s="92">
        <f>B17-B22</f>
        <v>-153.78846153846155</v>
      </c>
    </row>
    <row r="24" spans="1:3" ht="14.4" x14ac:dyDescent="0.3">
      <c r="A24" s="63" t="s">
        <v>208</v>
      </c>
      <c r="B24" s="93">
        <f>IF(B5&gt;0,B17/B5,0)</f>
        <v>1.3461538461538465</v>
      </c>
    </row>
    <row r="25" spans="1:3" ht="14.4" x14ac:dyDescent="0.3">
      <c r="A25" s="64" t="s">
        <v>209</v>
      </c>
      <c r="B25" s="94">
        <f>IF(B9&gt;0,B23/B9,0)</f>
        <v>-13.328333333333331</v>
      </c>
    </row>
    <row r="28" spans="1:3" ht="14.4" x14ac:dyDescent="0.3">
      <c r="A28" s="99" t="s">
        <v>210</v>
      </c>
      <c r="B28" s="99"/>
    </row>
    <row r="29" spans="1:3" ht="66" x14ac:dyDescent="0.3">
      <c r="A29" s="10" t="s">
        <v>211</v>
      </c>
      <c r="B29" s="14">
        <f>IF(B10&gt;0,(B5+29)/(B7*(B10-(B10*B12+B13)-B11)),0)</f>
        <v>4.6943255405553719E-2</v>
      </c>
      <c r="C29" s="65" t="s">
        <v>212</v>
      </c>
    </row>
    <row r="30" spans="1:3" ht="66" x14ac:dyDescent="0.3">
      <c r="A30" s="19" t="s">
        <v>213</v>
      </c>
      <c r="B30" s="66">
        <f>IF(B7&gt;0,B9*(B10-(B10*B12+B13)-B11-29/B9)/B7,0)</f>
        <v>0.31679166666666675</v>
      </c>
      <c r="C30" s="67" t="s">
        <v>214</v>
      </c>
    </row>
    <row r="31" spans="1:3" ht="52.8" x14ac:dyDescent="0.3">
      <c r="A31" s="10" t="s">
        <v>215</v>
      </c>
      <c r="B31" s="68">
        <f>IF(B9&gt;0,(B9*B11+B9*(B12*B10+B13)+29+B5)/B9/(1-B12),0)</f>
        <v>49.771713010641953</v>
      </c>
      <c r="C31" s="65" t="s">
        <v>216</v>
      </c>
    </row>
    <row r="34" spans="1:7" ht="17.399999999999999" x14ac:dyDescent="0.3">
      <c r="A34" s="98" t="s">
        <v>217</v>
      </c>
      <c r="B34" s="98"/>
      <c r="C34" s="98"/>
      <c r="D34" s="98"/>
      <c r="E34" s="98"/>
      <c r="F34" s="98"/>
      <c r="G34" s="98"/>
    </row>
    <row r="35" spans="1:7" ht="26.4" x14ac:dyDescent="0.3">
      <c r="A35" s="60" t="s">
        <v>218</v>
      </c>
      <c r="B35" s="69">
        <v>0.3</v>
      </c>
      <c r="C35" s="69">
        <v>0.45</v>
      </c>
      <c r="D35" s="69">
        <v>0.65</v>
      </c>
      <c r="E35" s="69">
        <v>0.85</v>
      </c>
      <c r="F35" s="69">
        <v>1</v>
      </c>
      <c r="G35" s="69">
        <v>1.2</v>
      </c>
    </row>
    <row r="36" spans="1:7" ht="14.4" x14ac:dyDescent="0.3">
      <c r="A36" s="70">
        <v>1.4999999999999999E-2</v>
      </c>
      <c r="B36" s="71">
        <f>($B$5/0.3)*0.015*($B$10-$B$11-($B$10*$B$12+$B$13))-29-$B$5</f>
        <v>-101.22499999999999</v>
      </c>
      <c r="C36" s="71">
        <f>($B$5/0.45)*0.015*($B$10-$B$11-($B$10*$B$12+$B$13))-29-$B$5</f>
        <v>-177.15000000000003</v>
      </c>
      <c r="D36" s="71">
        <f>($B$5/0.65)*0.015*($B$10-$B$11-($B$10*$B$12+$B$13))-29-$B$5</f>
        <v>-223.87307692307689</v>
      </c>
      <c r="E36" s="71">
        <f>($B$5/0.85)*0.015*($B$10-$B$11-($B$10*$B$12+$B$13))-29-$B$5</f>
        <v>-248.60882352941178</v>
      </c>
      <c r="F36" s="71">
        <f>($B$5/1)*0.015*($B$10-$B$11-($B$10*$B$12+$B$13))-29-$B$5</f>
        <v>-260.66750000000002</v>
      </c>
      <c r="G36" s="71">
        <f>($B$5/1.2)*0.015*($B$10-$B$11-($B$10*$B$12+$B$13))-29-$B$5</f>
        <v>-272.05624999999998</v>
      </c>
    </row>
    <row r="37" spans="1:7" ht="14.4" x14ac:dyDescent="0.3">
      <c r="A37" s="72">
        <v>0.02</v>
      </c>
      <c r="B37" s="73">
        <f>($B$5/0.3)*0.02*($B$10-$B$11-($B$10*$B$12+$B$13))-29-$B$5</f>
        <v>-25.300000000000011</v>
      </c>
      <c r="C37" s="73">
        <f>($B$5/0.45)*0.02*($B$10-$B$11-($B$10*$B$12+$B$13))-29-$B$5</f>
        <v>-126.53333333333333</v>
      </c>
      <c r="D37" s="73">
        <f>($B$5/0.65)*0.02*($B$10-$B$11-($B$10*$B$12+$B$13))-29-$B$5</f>
        <v>-188.83076923076922</v>
      </c>
      <c r="E37" s="73">
        <f>($B$5/0.85)*0.02*($B$10-$B$11-($B$10*$B$12+$B$13))-29-$B$5</f>
        <v>-221.81176470588235</v>
      </c>
      <c r="F37" s="73">
        <f>($B$5/1)*0.02*($B$10-$B$11-($B$10*$B$12+$B$13))-29-$B$5</f>
        <v>-237.89</v>
      </c>
      <c r="G37" s="73">
        <f>($B$5/1.2)*0.02*($B$10-$B$11-($B$10*$B$12+$B$13))-29-$B$5</f>
        <v>-253.07499999999999</v>
      </c>
    </row>
    <row r="38" spans="1:7" ht="14.4" x14ac:dyDescent="0.3">
      <c r="A38" s="70">
        <v>2.5000000000000001E-2</v>
      </c>
      <c r="B38" s="71">
        <f>($B$5/0.3)*0.025*($B$10-$B$11-($B$10*$B$12+$B$13))-29-$B$5</f>
        <v>50.625</v>
      </c>
      <c r="C38" s="71">
        <f>($B$5/0.45)*0.025*($B$10-$B$11-($B$10*$B$12+$B$13))-29-$B$5</f>
        <v>-75.916666666666629</v>
      </c>
      <c r="D38" s="71">
        <f>($B$5/0.65)*0.025*($B$10-$B$11-($B$10*$B$12+$B$13))-29-$B$5</f>
        <v>-153.78846153846152</v>
      </c>
      <c r="E38" s="71">
        <f>($B$5/0.85)*0.025*($B$10-$B$11-($B$10*$B$12+$B$13))-29-$B$5</f>
        <v>-195.01470588235293</v>
      </c>
      <c r="F38" s="71">
        <f>($B$5/1)*0.025*($B$10-$B$11-($B$10*$B$12+$B$13))-29-$B$5</f>
        <v>-215.11250000000001</v>
      </c>
      <c r="G38" s="71">
        <f>($B$5/1.2)*0.025*($B$10-$B$11-($B$10*$B$12+$B$13))-29-$B$5</f>
        <v>-234.09375</v>
      </c>
    </row>
    <row r="39" spans="1:7" ht="14.4" x14ac:dyDescent="0.3">
      <c r="A39" s="72">
        <v>0.03</v>
      </c>
      <c r="B39" s="73">
        <f>($B$5/0.3)*0.03*($B$10-$B$11-($B$10*$B$12+$B$13))-29-$B$5</f>
        <v>126.55000000000001</v>
      </c>
      <c r="C39" s="73">
        <f>($B$5/0.45)*0.03*($B$10-$B$11-($B$10*$B$12+$B$13))-29-$B$5</f>
        <v>-25.300000000000068</v>
      </c>
      <c r="D39" s="73">
        <f>($B$5/0.65)*0.03*($B$10-$B$11-($B$10*$B$12+$B$13))-29-$B$5</f>
        <v>-118.74615384615382</v>
      </c>
      <c r="E39" s="73">
        <f>($B$5/0.85)*0.03*($B$10-$B$11-($B$10*$B$12+$B$13))-29-$B$5</f>
        <v>-168.21764705882353</v>
      </c>
      <c r="F39" s="73">
        <f>($B$5/1)*0.03*($B$10-$B$11-($B$10*$B$12+$B$13))-29-$B$5</f>
        <v>-192.33500000000001</v>
      </c>
      <c r="G39" s="73">
        <f>($B$5/1.2)*0.03*($B$10-$B$11-($B$10*$B$12+$B$13))-29-$B$5</f>
        <v>-215.11250000000001</v>
      </c>
    </row>
    <row r="40" spans="1:7" ht="14.4" x14ac:dyDescent="0.3">
      <c r="A40" s="70">
        <v>3.5000000000000003E-2</v>
      </c>
      <c r="B40" s="71">
        <f>($B$5/0.3)*0.035*($B$10-$B$11-($B$10*$B$12+$B$13))-29-$B$5</f>
        <v>202.47500000000002</v>
      </c>
      <c r="C40" s="71">
        <f>($B$5/0.45)*0.035*($B$10-$B$11-($B$10*$B$12+$B$13))-29-$B$5</f>
        <v>25.31666666666672</v>
      </c>
      <c r="D40" s="71">
        <f>($B$5/0.65)*0.035*($B$10-$B$11-($B$10*$B$12+$B$13))-29-$B$5</f>
        <v>-83.703846153846087</v>
      </c>
      <c r="E40" s="71">
        <f>($B$5/0.85)*0.035*($B$10-$B$11-($B$10*$B$12+$B$13))-29-$B$5</f>
        <v>-141.4205882352941</v>
      </c>
      <c r="F40" s="71">
        <f>($B$5/1)*0.035*($B$10-$B$11-($B$10*$B$12+$B$13))-29-$B$5</f>
        <v>-169.55749999999998</v>
      </c>
      <c r="G40" s="71">
        <f>($B$5/1.2)*0.035*($B$10-$B$11-($B$10*$B$12+$B$13))-29-$B$5</f>
        <v>-196.13124999999999</v>
      </c>
    </row>
    <row r="41" spans="1:7" ht="14.4" x14ac:dyDescent="0.3">
      <c r="A41" s="72">
        <v>0.04</v>
      </c>
      <c r="B41" s="73">
        <f>($B$5/0.3)*0.04*($B$10-$B$11-($B$10*$B$12+$B$13))-29-$B$5</f>
        <v>278.39999999999998</v>
      </c>
      <c r="C41" s="73">
        <f>($B$5/0.45)*0.04*($B$10-$B$11-($B$10*$B$12+$B$13))-29-$B$5</f>
        <v>75.933333333333337</v>
      </c>
      <c r="D41" s="73">
        <f>($B$5/0.65)*0.04*($B$10-$B$11-($B$10*$B$12+$B$13))-29-$B$5</f>
        <v>-48.661538461538441</v>
      </c>
      <c r="E41" s="73">
        <f>($B$5/0.85)*0.04*($B$10-$B$11-($B$10*$B$12+$B$13))-29-$B$5</f>
        <v>-114.62352941176471</v>
      </c>
      <c r="F41" s="73">
        <f>($B$5/1)*0.04*($B$10-$B$11-($B$10*$B$12+$B$13))-29-$B$5</f>
        <v>-146.78</v>
      </c>
      <c r="G41" s="73">
        <f>($B$5/1.2)*0.04*($B$10-$B$11-($B$10*$B$12+$B$13))-29-$B$5</f>
        <v>-177.15</v>
      </c>
    </row>
    <row r="42" spans="1:7" ht="14.4" x14ac:dyDescent="0.3">
      <c r="A42" s="70">
        <v>0.05</v>
      </c>
      <c r="B42" s="71">
        <f>($B$5/0.3)*0.05*($B$10-$B$11-($B$10*$B$12+$B$13))-29-$B$5</f>
        <v>430.25</v>
      </c>
      <c r="C42" s="71">
        <f>($B$5/0.45)*0.05*($B$10-$B$11-($B$10*$B$12+$B$13))-29-$B$5</f>
        <v>177.16666666666674</v>
      </c>
      <c r="D42" s="71">
        <f>($B$5/0.65)*0.05*($B$10-$B$11-($B$10*$B$12+$B$13))-29-$B$5</f>
        <v>21.423076923076962</v>
      </c>
      <c r="E42" s="71">
        <f>($B$5/0.85)*0.05*($B$10-$B$11-($B$10*$B$12+$B$13))-29-$B$5</f>
        <v>-61.029411764705856</v>
      </c>
      <c r="F42" s="71">
        <f>($B$5/1)*0.05*($B$10-$B$11-($B$10*$B$12+$B$13))-29-$B$5</f>
        <v>-101.22499999999999</v>
      </c>
      <c r="G42" s="71">
        <f>($B$5/1.2)*0.05*($B$10-$B$11-($B$10*$B$12+$B$13))-29-$B$5</f>
        <v>-139.1875</v>
      </c>
    </row>
  </sheetData>
  <mergeCells count="4">
    <mergeCell ref="A1:G1"/>
    <mergeCell ref="A2:G2"/>
    <mergeCell ref="A28:B28"/>
    <mergeCell ref="A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700"/>
  </sheetPr>
  <dimension ref="A1:G14"/>
  <sheetViews>
    <sheetView tabSelected="1" zoomScaleNormal="100" workbookViewId="0">
      <pane ySplit="4" topLeftCell="A5" activePane="bottomLeft" state="frozen"/>
      <selection pane="bottomLeft" activeCell="C7" sqref="C7"/>
    </sheetView>
  </sheetViews>
  <sheetFormatPr defaultColWidth="8.6640625" defaultRowHeight="15" customHeight="1" x14ac:dyDescent="0.3"/>
  <cols>
    <col min="1" max="1" width="6" customWidth="1"/>
    <col min="2" max="2" width="28" customWidth="1"/>
    <col min="3" max="3" width="50" customWidth="1"/>
    <col min="4" max="4" width="12" customWidth="1"/>
    <col min="5" max="5" width="10" customWidth="1"/>
    <col min="6" max="6" width="35" customWidth="1"/>
    <col min="7" max="7" width="25" customWidth="1"/>
  </cols>
  <sheetData>
    <row r="1" spans="1:7" ht="17.399999999999999" x14ac:dyDescent="0.3">
      <c r="A1" s="95" t="s">
        <v>219</v>
      </c>
      <c r="B1" s="95"/>
      <c r="C1" s="95"/>
      <c r="D1" s="95"/>
      <c r="E1" s="95"/>
      <c r="F1" s="95"/>
      <c r="G1" s="95"/>
    </row>
    <row r="2" spans="1:7" ht="14.4" x14ac:dyDescent="0.3">
      <c r="A2" s="96" t="s">
        <v>220</v>
      </c>
      <c r="B2" s="96"/>
      <c r="C2" s="96"/>
      <c r="D2" s="96"/>
      <c r="E2" s="96"/>
      <c r="F2" s="96"/>
      <c r="G2" s="96"/>
    </row>
    <row r="4" spans="1:7" ht="14.4" x14ac:dyDescent="0.3">
      <c r="A4" s="8" t="s">
        <v>221</v>
      </c>
      <c r="B4" s="8" t="s">
        <v>222</v>
      </c>
      <c r="C4" s="8" t="s">
        <v>223</v>
      </c>
      <c r="D4" s="8" t="s">
        <v>142</v>
      </c>
      <c r="E4" s="8" t="s">
        <v>224</v>
      </c>
      <c r="F4" s="8" t="s">
        <v>225</v>
      </c>
      <c r="G4" s="8" t="s">
        <v>226</v>
      </c>
    </row>
    <row r="5" spans="1:7" ht="60" customHeight="1" x14ac:dyDescent="0.3">
      <c r="A5" s="74" t="s">
        <v>227</v>
      </c>
      <c r="B5" s="75" t="s">
        <v>228</v>
      </c>
      <c r="C5" s="76" t="s">
        <v>229</v>
      </c>
      <c r="D5" s="77" t="s">
        <v>230</v>
      </c>
      <c r="E5" s="76" t="s">
        <v>231</v>
      </c>
      <c r="F5" s="76" t="s">
        <v>232</v>
      </c>
      <c r="G5" s="78" t="s">
        <v>233</v>
      </c>
    </row>
    <row r="6" spans="1:7" ht="60" customHeight="1" x14ac:dyDescent="0.3">
      <c r="A6" s="79" t="s">
        <v>234</v>
      </c>
      <c r="B6" s="80" t="s">
        <v>235</v>
      </c>
      <c r="C6" s="81" t="s">
        <v>236</v>
      </c>
      <c r="D6" s="82" t="s">
        <v>90</v>
      </c>
      <c r="E6" s="81" t="s">
        <v>237</v>
      </c>
      <c r="F6" s="81" t="s">
        <v>238</v>
      </c>
      <c r="G6" s="83" t="s">
        <v>239</v>
      </c>
    </row>
    <row r="7" spans="1:7" ht="60" customHeight="1" x14ac:dyDescent="0.3">
      <c r="A7" s="74" t="s">
        <v>240</v>
      </c>
      <c r="B7" s="75" t="s">
        <v>241</v>
      </c>
      <c r="C7" s="76" t="s">
        <v>242</v>
      </c>
      <c r="D7" s="77" t="s">
        <v>90</v>
      </c>
      <c r="E7" s="76" t="s">
        <v>231</v>
      </c>
      <c r="F7" s="76" t="s">
        <v>243</v>
      </c>
      <c r="G7" s="78" t="s">
        <v>244</v>
      </c>
    </row>
    <row r="8" spans="1:7" ht="60" customHeight="1" x14ac:dyDescent="0.3">
      <c r="A8" s="79" t="s">
        <v>245</v>
      </c>
      <c r="B8" s="80" t="s">
        <v>246</v>
      </c>
      <c r="C8" s="81" t="s">
        <v>247</v>
      </c>
      <c r="D8" s="82" t="s">
        <v>90</v>
      </c>
      <c r="E8" s="81" t="s">
        <v>231</v>
      </c>
      <c r="F8" s="81" t="s">
        <v>248</v>
      </c>
      <c r="G8" s="83" t="s">
        <v>249</v>
      </c>
    </row>
    <row r="9" spans="1:7" ht="60" customHeight="1" x14ac:dyDescent="0.3">
      <c r="A9" s="74" t="s">
        <v>250</v>
      </c>
      <c r="B9" s="75" t="s">
        <v>251</v>
      </c>
      <c r="C9" s="76" t="s">
        <v>252</v>
      </c>
      <c r="D9" s="77" t="s">
        <v>253</v>
      </c>
      <c r="E9" s="76" t="s">
        <v>237</v>
      </c>
      <c r="F9" s="76" t="s">
        <v>254</v>
      </c>
      <c r="G9" s="78" t="s">
        <v>255</v>
      </c>
    </row>
    <row r="10" spans="1:7" ht="60" customHeight="1" x14ac:dyDescent="0.3">
      <c r="A10" s="79" t="s">
        <v>256</v>
      </c>
      <c r="B10" s="80" t="s">
        <v>257</v>
      </c>
      <c r="C10" s="81" t="s">
        <v>258</v>
      </c>
      <c r="D10" s="82" t="s">
        <v>253</v>
      </c>
      <c r="E10" s="81" t="s">
        <v>259</v>
      </c>
      <c r="F10" s="81" t="s">
        <v>260</v>
      </c>
      <c r="G10" s="83" t="s">
        <v>261</v>
      </c>
    </row>
    <row r="11" spans="1:7" ht="60" customHeight="1" x14ac:dyDescent="0.3">
      <c r="A11" s="74" t="s">
        <v>262</v>
      </c>
      <c r="B11" s="75" t="s">
        <v>263</v>
      </c>
      <c r="C11" s="76" t="s">
        <v>264</v>
      </c>
      <c r="D11" s="77" t="s">
        <v>108</v>
      </c>
      <c r="E11" s="76" t="s">
        <v>265</v>
      </c>
      <c r="F11" s="76" t="s">
        <v>266</v>
      </c>
      <c r="G11" s="78" t="s">
        <v>267</v>
      </c>
    </row>
    <row r="12" spans="1:7" ht="60" customHeight="1" x14ac:dyDescent="0.3">
      <c r="A12" s="79" t="s">
        <v>268</v>
      </c>
      <c r="B12" s="80" t="s">
        <v>269</v>
      </c>
      <c r="C12" s="81" t="s">
        <v>270</v>
      </c>
      <c r="D12" s="82" t="s">
        <v>271</v>
      </c>
      <c r="E12" s="81" t="s">
        <v>272</v>
      </c>
      <c r="F12" s="81" t="s">
        <v>273</v>
      </c>
      <c r="G12" s="83" t="s">
        <v>274</v>
      </c>
    </row>
    <row r="13" spans="1:7" ht="60" customHeight="1" x14ac:dyDescent="0.3">
      <c r="A13" s="74" t="s">
        <v>275</v>
      </c>
      <c r="B13" s="75" t="s">
        <v>276</v>
      </c>
      <c r="C13" s="76" t="s">
        <v>277</v>
      </c>
      <c r="D13" s="77" t="s">
        <v>90</v>
      </c>
      <c r="E13" s="76" t="s">
        <v>278</v>
      </c>
      <c r="F13" s="76" t="s">
        <v>279</v>
      </c>
      <c r="G13" s="78" t="s">
        <v>280</v>
      </c>
    </row>
    <row r="14" spans="1:7" ht="60" customHeight="1" x14ac:dyDescent="0.3">
      <c r="A14" s="79" t="s">
        <v>281</v>
      </c>
      <c r="B14" s="80" t="s">
        <v>282</v>
      </c>
      <c r="C14" s="81" t="s">
        <v>283</v>
      </c>
      <c r="D14" s="82" t="s">
        <v>90</v>
      </c>
      <c r="E14" s="81" t="s">
        <v>259</v>
      </c>
      <c r="F14" s="81" t="s">
        <v>284</v>
      </c>
      <c r="G14" s="83" t="s">
        <v>285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Cotton Catalog (Google)</vt:lpstr>
      <vt:lpstr>Google vs Etsy Fees</vt:lpstr>
      <vt:lpstr>Top Opportunities</vt:lpstr>
      <vt:lpstr>Ads ROI Model</vt:lpstr>
      <vt:lpstr>Launch Playbook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2026-02-24T05:34:42Z</dcterms:created>
  <dcterms:modified xsi:type="dcterms:W3CDTF">2026-02-27T00:06:16Z</dcterms:modified>
  <dc:language>en-US</dc:language>
</cp:coreProperties>
</file>