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28CF4D2D-5D51-4154-AC49-08A9DEDA5A5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Landed Costs" sheetId="1" r:id="rId1"/>
    <sheet name="Etsy Channel" sheetId="2" r:id="rId2"/>
    <sheet name="Google Shopping" sheetId="3" r:id="rId3"/>
    <sheet name="Keyword Intelligence" sheetId="4" r:id="rId4"/>
    <sheet name="Channel Comparison" sheetId="5" r:id="rId5"/>
    <sheet name="Verdict &amp; Strateg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G17" i="1"/>
  <c r="C17" i="1"/>
  <c r="H16" i="1"/>
  <c r="G16" i="1"/>
  <c r="C16" i="1"/>
</calcChain>
</file>

<file path=xl/sharedStrings.xml><?xml version="1.0" encoding="utf-8"?>
<sst xmlns="http://schemas.openxmlformats.org/spreadsheetml/2006/main" count="514" uniqueCount="283">
  <si>
    <t>Landed Cost Analysis — Yoycol AOP Dresses (China → US)</t>
  </si>
  <si>
    <t>Tariff: 34.5% mid estimate (8% base + 7.5% Sec 301 + 15% Sec 122 + customs) | Feb 26, 2026</t>
  </si>
  <si>
    <t>#</t>
  </si>
  <si>
    <t>Product</t>
  </si>
  <si>
    <t>COGS</t>
  </si>
  <si>
    <t>Tariff (34.5%)</t>
  </si>
  <si>
    <t>Std Ship ($12.80)</t>
  </si>
  <si>
    <t>Fast Ship ($19.14)</t>
  </si>
  <si>
    <t>Landed (Std)</t>
  </si>
  <si>
    <t>Landed (Fast)</t>
  </si>
  <si>
    <t>Suggested Etsy Price</t>
  </si>
  <si>
    <t>Suggested GShop Price</t>
  </si>
  <si>
    <t>Size Range</t>
  </si>
  <si>
    <t>Elegant Long Dress</t>
  </si>
  <si>
    <t>S-8XL</t>
  </si>
  <si>
    <t>Slip Dress</t>
  </si>
  <si>
    <t>XS-5XL</t>
  </si>
  <si>
    <t>Ruffle Hem Dress</t>
  </si>
  <si>
    <t>S-6XL</t>
  </si>
  <si>
    <t>V-Neck Maxi Dress</t>
  </si>
  <si>
    <t>S-5XL</t>
  </si>
  <si>
    <t>Off-shoulder Dress w/ Ruffle</t>
  </si>
  <si>
    <t>XS-2XL</t>
  </si>
  <si>
    <t>Long Dress with Slit</t>
  </si>
  <si>
    <t>Short Sleeve V Neck Midi</t>
  </si>
  <si>
    <t>Velvet Shine Maxi Dress</t>
  </si>
  <si>
    <t>XS-6XL</t>
  </si>
  <si>
    <t>Halter Skater Dress</t>
  </si>
  <si>
    <t>Long Sleeve Dress</t>
  </si>
  <si>
    <t>RANGE:</t>
  </si>
  <si>
    <t>to</t>
  </si>
  <si>
    <t>Etsy Profitability Model — Standard Shipping vs Fast Shipping</t>
  </si>
  <si>
    <t>Fees: 6.5% transaction + 3% payment + $0.45 fixed | Offsite Ads: +15% if triggered | Free shipping model (baked into price)</t>
  </si>
  <si>
    <t>Etsy Fee Structure</t>
  </si>
  <si>
    <t>Fee Type</t>
  </si>
  <si>
    <t>Rate</t>
  </si>
  <si>
    <t>Applied To</t>
  </si>
  <si>
    <t>Notes</t>
  </si>
  <si>
    <t>Listing Fee</t>
  </si>
  <si>
    <t>$0.20</t>
  </si>
  <si>
    <t>Per listing</t>
  </si>
  <si>
    <t>Renews every 4 months + per unit sold</t>
  </si>
  <si>
    <t>Transaction Fee</t>
  </si>
  <si>
    <t>6.5%</t>
  </si>
  <si>
    <t>Total (item + ship)</t>
  </si>
  <si>
    <t>Largest fee component</t>
  </si>
  <si>
    <t>Payment Processing</t>
  </si>
  <si>
    <t>3% + $0.25</t>
  </si>
  <si>
    <t>Total sale</t>
  </si>
  <si>
    <t>US rate; varies by country</t>
  </si>
  <si>
    <t>Offsite Ads</t>
  </si>
  <si>
    <t>15%</t>
  </si>
  <si>
    <t>If buyer came via Google/FB ad (opt-out &lt;$10K)</t>
  </si>
  <si>
    <t>Scenario A: Standard Shipping ($12.80) — Delivery 3-4 weeks</t>
  </si>
  <si>
    <t>Retail Price</t>
  </si>
  <si>
    <t>Gross Margin</t>
  </si>
  <si>
    <t>Etsy Fees (9.5%+$0.45)</t>
  </si>
  <si>
    <t>Net Profit</t>
  </si>
  <si>
    <t>Net Margin %</t>
  </si>
  <si>
    <t>w/ Offsite Ads Fee</t>
  </si>
  <si>
    <t>Profit w/ Offsite</t>
  </si>
  <si>
    <t>Margin w/ Offsite</t>
  </si>
  <si>
    <t>Verdict (No Ads)</t>
  </si>
  <si>
    <t>Verdict (w/ Offsite)</t>
  </si>
  <si>
    <t>PROFITABLE</t>
  </si>
  <si>
    <t>MARGINAL</t>
  </si>
  <si>
    <t>LOSS</t>
  </si>
  <si>
    <t>Scenario B: Fast Shipping ($19.14) — Delivery 2-3 weeks</t>
  </si>
  <si>
    <t>Google Shopping Feasibility — CPC, ROAS &amp; Profitability</t>
  </si>
  <si>
    <t>Assumes own Shopify store ($39/mo) + Stripe processing (2.9% + $0.30) | Standard shipping to customer</t>
  </si>
  <si>
    <t>Google Shopping CPC Assumptions</t>
  </si>
  <si>
    <t>Scenario</t>
  </si>
  <si>
    <t>CPC</t>
  </si>
  <si>
    <t>Source</t>
  </si>
  <si>
    <t>Conv. Rate</t>
  </si>
  <si>
    <t>Clicks/Sale</t>
  </si>
  <si>
    <t>CAC</t>
  </si>
  <si>
    <t>Niche keywords (our niches)</t>
  </si>
  <si>
    <t>Keywords Everywhere avg</t>
  </si>
  <si>
    <t>dark floral, cottagecore, celestial etc.</t>
  </si>
  <si>
    <t>Mid-range fashion</t>
  </si>
  <si>
    <t>Google Shopping benchmark</t>
  </si>
  <si>
    <t>Broader dress keywords</t>
  </si>
  <si>
    <t>Competitive fashion</t>
  </si>
  <si>
    <t>Apparel industry avg</t>
  </si>
  <si>
    <t>Generic "women dress" type queries</t>
  </si>
  <si>
    <t>Best case (niche + good CVR)</t>
  </si>
  <si>
    <t>Low-comp niche terms</t>
  </si>
  <si>
    <t>Whimsigoth, mushroom, moon etc.</t>
  </si>
  <si>
    <t>Per-Product Google Shopping Profitability (Standard Shipping)</t>
  </si>
  <si>
    <t>Retail</t>
  </si>
  <si>
    <t>Shopify Fees</t>
  </si>
  <si>
    <t>Niche CPC CAC ($23)</t>
  </si>
  <si>
    <t>Profit @Niche</t>
  </si>
  <si>
    <t>Margin @Niche</t>
  </si>
  <si>
    <t>Mid CPC CAC ($50)</t>
  </si>
  <si>
    <t>Profit @Mid</t>
  </si>
  <si>
    <t>Margin @Mid</t>
  </si>
  <si>
    <t>Min Price for Niche Profit</t>
  </si>
  <si>
    <t>ROAS @Niche</t>
  </si>
  <si>
    <t>Verdict (Niche)</t>
  </si>
  <si>
    <t>Verdict (Mid CPC)</t>
  </si>
  <si>
    <t>2.1x</t>
  </si>
  <si>
    <t>1.5x</t>
  </si>
  <si>
    <t>1.9x</t>
  </si>
  <si>
    <t>1.7x</t>
  </si>
  <si>
    <t>Per-Product Google Shopping Profitability (Fast Shipping — better customer experience)</t>
  </si>
  <si>
    <t>Keyword Intelligence — Search Volume, CPC &amp; Product Mapping</t>
  </si>
  <si>
    <t>Source: Keywords Everywhere (US, Feb 2026) | Competition: 0-1 scale</t>
  </si>
  <si>
    <t>Keyword</t>
  </si>
  <si>
    <t>Monthly Volume</t>
  </si>
  <si>
    <t>CPC ($)</t>
  </si>
  <si>
    <t>Competition</t>
  </si>
  <si>
    <t>Best Product Match</t>
  </si>
  <si>
    <t>Seasonality</t>
  </si>
  <si>
    <t>Peak Months</t>
  </si>
  <si>
    <t>CAC @1.5% CVR</t>
  </si>
  <si>
    <t>ROAS @$44.99</t>
  </si>
  <si>
    <t>floral maxi dress</t>
  </si>
  <si>
    <t>V-Neck Maxi / Elegant Long</t>
  </si>
  <si>
    <t>Spring-Summer</t>
  </si>
  <si>
    <t>Mar-Jun</t>
  </si>
  <si>
    <t>2.0x</t>
  </si>
  <si>
    <t>long sleeve dress women</t>
  </si>
  <si>
    <t>Fall-Winter</t>
  </si>
  <si>
    <t>Oct-Feb</t>
  </si>
  <si>
    <t>dark floral dress</t>
  </si>
  <si>
    <t>Elegant Long / Slit / V-Neck</t>
  </si>
  <si>
    <t>Year-round</t>
  </si>
  <si>
    <t>Feb-Jun</t>
  </si>
  <si>
    <t>velvet dress women</t>
  </si>
  <si>
    <t>Velvet Shine Maxi</t>
  </si>
  <si>
    <t>Winter peak</t>
  </si>
  <si>
    <t>Nov-Jan</t>
  </si>
  <si>
    <t>2.4x</t>
  </si>
  <si>
    <t>cottagecore dress</t>
  </si>
  <si>
    <t>Ruffle Hem / Midi / Off-shoulder</t>
  </si>
  <si>
    <t>Feb-Jul</t>
  </si>
  <si>
    <t>slip dress women</t>
  </si>
  <si>
    <t>Summer</t>
  </si>
  <si>
    <t>May-Aug</t>
  </si>
  <si>
    <t>halter dress women</t>
  </si>
  <si>
    <t>2.7x</t>
  </si>
  <si>
    <t>celestial dress</t>
  </si>
  <si>
    <t>Elegant Long / Velvet / Slip</t>
  </si>
  <si>
    <t>Oct-Dec</t>
  </si>
  <si>
    <t>ruffle dress women</t>
  </si>
  <si>
    <t>Ruffle Hem / Off-shoulder</t>
  </si>
  <si>
    <t>mushroom dress</t>
  </si>
  <si>
    <t>Midi / Ruffle Hem / Long Sleeve</t>
  </si>
  <si>
    <t>Apr-Jul</t>
  </si>
  <si>
    <t>off shoulder dress women</t>
  </si>
  <si>
    <t>vintage floral dress</t>
  </si>
  <si>
    <t>Ruffle Hem / V-Neck Maxi</t>
  </si>
  <si>
    <t>Spring</t>
  </si>
  <si>
    <t>Feb-May</t>
  </si>
  <si>
    <t>whimsigoth dress</t>
  </si>
  <si>
    <t>Long Sleeve / Slit / Elegant</t>
  </si>
  <si>
    <t>Fall</t>
  </si>
  <si>
    <t>Sep-Nov</t>
  </si>
  <si>
    <t>moon and stars dress</t>
  </si>
  <si>
    <t>1.8x</t>
  </si>
  <si>
    <t>boho floral maxi dress</t>
  </si>
  <si>
    <t>V-Neck Maxi / Ruffle Hem</t>
  </si>
  <si>
    <t>1.0x</t>
  </si>
  <si>
    <t>Etsy vs Google Shopping — Side-by-Side Comparison</t>
  </si>
  <si>
    <t>Factor</t>
  </si>
  <si>
    <t>Etsy</t>
  </si>
  <si>
    <t>Google Shopping</t>
  </si>
  <si>
    <t>Winner</t>
  </si>
  <si>
    <t>Startup Cost</t>
  </si>
  <si>
    <t>$0 (just listing fees)</t>
  </si>
  <si>
    <t>$39/mo Shopify + domain ($12/yr)</t>
  </si>
  <si>
    <t>Per-Sale Fees</t>
  </si>
  <si>
    <t>~10-11% (or 25% w/ offsite ads)</t>
  </si>
  <si>
    <t>~3.2% (Stripe/Shopify)</t>
  </si>
  <si>
    <t>Google</t>
  </si>
  <si>
    <t>Traffic Source</t>
  </si>
  <si>
    <t>Organic Etsy search + offsite ads</t>
  </si>
  <si>
    <t>Paid ads required (Google Shopping)</t>
  </si>
  <si>
    <t>Customer Acquisition</t>
  </si>
  <si>
    <t>Free (organic) or 15% (offsite)</t>
  </si>
  <si>
    <t>$23-50 per sale via ads (CPC)</t>
  </si>
  <si>
    <t>Price Sensitivity</t>
  </si>
  <si>
    <t>Medium — buyers expect unique/handmade</t>
  </si>
  <si>
    <t>High — competing with Shein/Amazon/Temu</t>
  </si>
  <si>
    <t>Shipping Expectations</t>
  </si>
  <si>
    <t>1-4 weeks acceptable for handmade</t>
  </si>
  <si>
    <t>3-7 days expected (Amazon standard)</t>
  </si>
  <si>
    <t>Trust / Brand Building</t>
  </si>
  <si>
    <t>Built-in marketplace trust</t>
  </si>
  <si>
    <t>Must build own brand from scratch</t>
  </si>
  <si>
    <t>Margins (Std Ship, No Ads)</t>
  </si>
  <si>
    <t>10-25% on these products</t>
  </si>
  <si>
    <t>Negative to marginal (after CAC)</t>
  </si>
  <si>
    <t>Margins (Std Ship, w/ Ads)</t>
  </si>
  <si>
    <t>-5% to +10% (offsite ads hit)</t>
  </si>
  <si>
    <t>-30% to -5% (CPC too high)</t>
  </si>
  <si>
    <t>Scalability</t>
  </si>
  <si>
    <t>Capped by Etsy search volume</t>
  </si>
  <si>
    <t>Unlimited — scale with ad spend</t>
  </si>
  <si>
    <t>Data Ownership</t>
  </si>
  <si>
    <t>Limited — Etsy owns customer data</t>
  </si>
  <si>
    <t>Full — own customer emails/data</t>
  </si>
  <si>
    <t>Competition Level</t>
  </si>
  <si>
    <t>Moderate — POD dress niche growing</t>
  </si>
  <si>
    <t>Extreme — fast fashion giants dominate</t>
  </si>
  <si>
    <t>Return/Refund Risk</t>
  </si>
  <si>
    <t>~5-10% for apparel</t>
  </si>
  <si>
    <t>~10-15% for apparel (higher w/ ads)</t>
  </si>
  <si>
    <t>Best Products</t>
  </si>
  <si>
    <t>All 10 viable at current pricing</t>
  </si>
  <si>
    <t>Only Slip Dress &amp; Off-shoulder (low COGS)</t>
  </si>
  <si>
    <t>OVERALL SCORE</t>
  </si>
  <si>
    <t>Etsy: 11/14</t>
  </si>
  <si>
    <t>Google: 3/14</t>
  </si>
  <si>
    <t>Final Verdict &amp; Recommended Strategy</t>
  </si>
  <si>
    <t>VERDICT: Etsy is the clear primary channel. Google Shopping is NOT viable at current prices/tariffs.</t>
  </si>
  <si>
    <t>ETSY STRATEGY</t>
  </si>
  <si>
    <t>Tier 1 — Best Sellers (highest margin)</t>
  </si>
  <si>
    <t>Slip Dress ($34.99) — $7.11 COGS, lowest landed, ~25% margin</t>
  </si>
  <si>
    <t>Off-shoulder Dress ($34.99) — $7.25 COGS, ~24% margin</t>
  </si>
  <si>
    <t>Long Dress with Slit ($39.99) — $8.33 COGS, ~22% margin</t>
  </si>
  <si>
    <t>Tier 2 — Solid Performers</t>
  </si>
  <si>
    <t>Short Sleeve V Neck Midi ($39.99) — seasonal appeal, cottagecore niche</t>
  </si>
  <si>
    <t>Halter Skater Dress ($39.99) — summer peak, 2,900 mo volume on keyword</t>
  </si>
  <si>
    <t>Velvet Shine Maxi ($44.99) — winter seasonal, 9,900 vol "velvet dress"</t>
  </si>
  <si>
    <t>Tier 3 — Premium (tighter margins)</t>
  </si>
  <si>
    <t>Elegant Long Dress ($49.99) — maps to "dark floral dress" 9,900 vol</t>
  </si>
  <si>
    <t>V-Neck Maxi Dress ($44.99) — maps to "floral maxi dress" 33,100 vol</t>
  </si>
  <si>
    <t>Long Sleeve Dress ($44.99) — maps to 14,800 vol keyword</t>
  </si>
  <si>
    <t>Ruffle Hem Dress ($44.99) — maps to cottagecore + ruffle keywords</t>
  </si>
  <si>
    <t>GOOGLE SHOPPING — NOT RECOMMENDED (currently)</t>
  </si>
  <si>
    <t>• CAC ($23-50/sale) eats all margin — most products are unprofitable after ad spend</t>
  </si>
  <si>
    <t>• Competing with Shein, Temu, Amazon on Google = price war you cannot win at $35-50</t>
  </si>
  <si>
    <t>• Customers expect 3-7 day shipping on Google — Yoycol delivers in 2-4 weeks</t>
  </si>
  <si>
    <t>• ROAS of 1.5-2.1x is below the 3x+ minimum needed for sustainable ecommerce</t>
  </si>
  <si>
    <t>• Only viable IF: (a) tariffs drop after July 2026, (b) CVR reaches 2.5%+, (c) niche CPCs stay under $0.30</t>
  </si>
  <si>
    <t>GOOGLE SHOPPING — POSSIBLE EXCEPTIONS</t>
  </si>
  <si>
    <t>• Free Google Shopping listings (Merchant Center): $0 CPC, organic traffic — worth setting up</t>
  </si>
  <si>
    <t>• Slip Dress ($7.11 COGS) at $39.99+ could work with niche keywords at $0.25-$0.30 CPC</t>
  </si>
  <si>
    <t>• After Section 122 expires (Jul 2026): tariffs drop ~15 points, improves all margins</t>
  </si>
  <si>
    <t>• Retargeting only (not cold traffic): higher CVR 3-5% makes ROAS viable</t>
  </si>
  <si>
    <t>• Consider Pinterest Ads instead: lower CPC ($0.10-0.30), better for aesthetic/niche products</t>
  </si>
  <si>
    <t>KEY NUMBERS SUMMARY</t>
  </si>
  <si>
    <t>Metric</t>
  </si>
  <si>
    <t>Etsy (Std Ship)</t>
  </si>
  <si>
    <t>Etsy (Fast Ship)</t>
  </si>
  <si>
    <t>GShop (Std Ship)</t>
  </si>
  <si>
    <t>GShop (Fast Ship)</t>
  </si>
  <si>
    <t>Avg Landed Cost</t>
  </si>
  <si>
    <t>$28.41</t>
  </si>
  <si>
    <t>$34.75</t>
  </si>
  <si>
    <t>Avg Profit/Sale (no ads)</t>
  </si>
  <si>
    <t>$8.70</t>
  </si>
  <si>
    <t>$2.36</t>
  </si>
  <si>
    <t>N/A (need ads)</t>
  </si>
  <si>
    <t>N/A</t>
  </si>
  <si>
    <t>Avg Profit/Sale (w/ ads)</t>
  </si>
  <si>
    <t>$2.28</t>
  </si>
  <si>
    <t>-$4.06</t>
  </si>
  <si>
    <t>-$11.82</t>
  </si>
  <si>
    <t>-$18.16</t>
  </si>
  <si>
    <t>Avg Net Margin (no ads)</t>
  </si>
  <si>
    <t>20.3%</t>
  </si>
  <si>
    <t>5.5%</t>
  </si>
  <si>
    <t>Avg Net Margin (w/ ads)</t>
  </si>
  <si>
    <t>5.3%</t>
  </si>
  <si>
    <t>-9.5%</t>
  </si>
  <si>
    <t>-27.5%</t>
  </si>
  <si>
    <t>-42.3%</t>
  </si>
  <si>
    <t>Customer Acq. Cost</t>
  </si>
  <si>
    <t>$0 (organic)</t>
  </si>
  <si>
    <t>$23-50 (CPC)</t>
  </si>
  <si>
    <t>Shipping Lead Time</t>
  </si>
  <si>
    <t>3-4 weeks</t>
  </si>
  <si>
    <t>2-3 weeks</t>
  </si>
  <si>
    <t>Tariff Impact</t>
  </si>
  <si>
    <t>+$2.45-$5.47/unit</t>
  </si>
  <si>
    <t>Best Niche Keywords (vol)</t>
  </si>
  <si>
    <t>33K+</t>
  </si>
  <si>
    <t>Top Keyword CPC</t>
  </si>
  <si>
    <t>$0.25-$0.45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</si>
</sst>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2F5496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rgb="FF2F5496"/>
      <name val="Arial"/>
      <family val="2"/>
    </font>
    <font>
      <b/>
      <sz val="12"/>
      <color rgb="FF006100"/>
      <name val="Arial"/>
      <family val="2"/>
    </font>
    <font>
      <b/>
      <sz val="12"/>
      <color rgb="FFC00000"/>
      <name val="Arial"/>
      <family val="2"/>
    </font>
    <font>
      <b/>
      <sz val="16"/>
      <color rgb="FF2F5496"/>
      <name val="Arial"/>
      <family val="2"/>
    </font>
    <font>
      <b/>
      <sz val="13"/>
      <color rgb="FF006100"/>
      <name val="Arial"/>
      <family val="2"/>
    </font>
    <font>
      <b/>
      <sz val="13"/>
      <color rgb="FFC00000"/>
      <name val="Arial"/>
      <family val="2"/>
    </font>
    <font>
      <b/>
      <sz val="11"/>
      <color rgb="FF996600"/>
      <name val="Arial"/>
      <family val="2"/>
    </font>
    <font>
      <b/>
      <sz val="13"/>
      <color rgb="FF2F549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DE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164" fontId="4" fillId="3" borderId="1" xfId="0" applyNumberFormat="1" applyFont="1" applyFill="1" applyBorder="1"/>
    <xf numFmtId="0" fontId="5" fillId="0" borderId="1" xfId="0" applyFont="1" applyBorder="1"/>
    <xf numFmtId="165" fontId="4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/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164" fontId="8" fillId="0" borderId="1" xfId="0" applyNumberFormat="1" applyFont="1" applyBorder="1"/>
    <xf numFmtId="0" fontId="5" fillId="6" borderId="1" xfId="0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9" fillId="0" borderId="1" xfId="0" applyFont="1" applyBorder="1"/>
    <xf numFmtId="0" fontId="10" fillId="4" borderId="1" xfId="0" applyFont="1" applyFill="1" applyBorder="1"/>
    <xf numFmtId="0" fontId="11" fillId="6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  <xf numFmtId="0" fontId="4" fillId="0" borderId="0" xfId="0" applyFont="1"/>
    <xf numFmtId="0" fontId="15" fillId="5" borderId="0" xfId="0" applyFont="1" applyFill="1"/>
    <xf numFmtId="0" fontId="11" fillId="5" borderId="0" xfId="0" applyFont="1" applyFill="1"/>
    <xf numFmtId="0" fontId="6" fillId="7" borderId="1" xfId="0" applyFont="1" applyFill="1" applyBorder="1"/>
    <xf numFmtId="0" fontId="0" fillId="0" borderId="2" xfId="0" applyBorder="1"/>
    <xf numFmtId="0" fontId="0" fillId="0" borderId="3" xfId="0" applyBorder="1"/>
    <xf numFmtId="0" fontId="13" fillId="4" borderId="0" xfId="0" applyFont="1" applyFill="1"/>
    <xf numFmtId="0" fontId="14" fillId="6" borderId="0" xfId="0" applyFont="1" applyFill="1"/>
    <xf numFmtId="0" fontId="16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J20" sqref="J20"/>
    </sheetView>
  </sheetViews>
  <sheetFormatPr defaultRowHeight="14.4" x14ac:dyDescent="0.3"/>
  <cols>
    <col min="1" max="1" width="4" customWidth="1"/>
    <col min="2" max="2" width="28" customWidth="1"/>
    <col min="3" max="3" width="10" customWidth="1"/>
    <col min="4" max="4" width="13" customWidth="1"/>
    <col min="5" max="6" width="14" customWidth="1"/>
    <col min="7" max="8" width="13" customWidth="1"/>
    <col min="9" max="10" width="17" customWidth="1"/>
    <col min="11" max="11" width="12" customWidth="1"/>
  </cols>
  <sheetData>
    <row r="1" spans="1:11" ht="17.399999999999999" x14ac:dyDescent="0.3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28.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2">
        <v>1</v>
      </c>
      <c r="B5" s="3" t="s">
        <v>13</v>
      </c>
      <c r="C5" s="4">
        <v>15.87</v>
      </c>
      <c r="D5" s="4">
        <v>5.48</v>
      </c>
      <c r="E5" s="4">
        <v>12.8</v>
      </c>
      <c r="F5" s="4">
        <v>19.14</v>
      </c>
      <c r="G5" s="5">
        <v>34.15</v>
      </c>
      <c r="H5" s="5">
        <v>40.49</v>
      </c>
      <c r="I5" s="6">
        <v>49.99</v>
      </c>
      <c r="J5" s="6">
        <v>49.99</v>
      </c>
      <c r="K5" s="2" t="s">
        <v>14</v>
      </c>
    </row>
    <row r="6" spans="1:11" x14ac:dyDescent="0.3">
      <c r="A6" s="2">
        <v>2</v>
      </c>
      <c r="B6" s="3" t="s">
        <v>15</v>
      </c>
      <c r="C6" s="4">
        <v>7.11</v>
      </c>
      <c r="D6" s="4">
        <v>2.4500000000000002</v>
      </c>
      <c r="E6" s="4">
        <v>12.8</v>
      </c>
      <c r="F6" s="4">
        <v>19.14</v>
      </c>
      <c r="G6" s="5">
        <v>22.36</v>
      </c>
      <c r="H6" s="5">
        <v>28.7</v>
      </c>
      <c r="I6" s="6">
        <v>34.99</v>
      </c>
      <c r="J6" s="6">
        <v>34.99</v>
      </c>
      <c r="K6" s="2" t="s">
        <v>16</v>
      </c>
    </row>
    <row r="7" spans="1:11" x14ac:dyDescent="0.3">
      <c r="A7" s="2">
        <v>3</v>
      </c>
      <c r="B7" s="3" t="s">
        <v>17</v>
      </c>
      <c r="C7" s="4">
        <v>14.3</v>
      </c>
      <c r="D7" s="4">
        <v>4.93</v>
      </c>
      <c r="E7" s="4">
        <v>12.8</v>
      </c>
      <c r="F7" s="4">
        <v>19.14</v>
      </c>
      <c r="G7" s="5">
        <v>32.03</v>
      </c>
      <c r="H7" s="5">
        <v>38.369999999999997</v>
      </c>
      <c r="I7" s="6">
        <v>44.99</v>
      </c>
      <c r="J7" s="6">
        <v>44.99</v>
      </c>
      <c r="K7" s="2" t="s">
        <v>18</v>
      </c>
    </row>
    <row r="8" spans="1:11" x14ac:dyDescent="0.3">
      <c r="A8" s="2">
        <v>4</v>
      </c>
      <c r="B8" s="3" t="s">
        <v>19</v>
      </c>
      <c r="C8" s="4">
        <v>14.89</v>
      </c>
      <c r="D8" s="4">
        <v>5.14</v>
      </c>
      <c r="E8" s="4">
        <v>12.8</v>
      </c>
      <c r="F8" s="4">
        <v>19.14</v>
      </c>
      <c r="G8" s="5">
        <v>32.83</v>
      </c>
      <c r="H8" s="5">
        <v>39.17</v>
      </c>
      <c r="I8" s="6">
        <v>44.99</v>
      </c>
      <c r="J8" s="6">
        <v>44.99</v>
      </c>
      <c r="K8" s="2" t="s">
        <v>20</v>
      </c>
    </row>
    <row r="9" spans="1:11" x14ac:dyDescent="0.3">
      <c r="A9" s="2">
        <v>5</v>
      </c>
      <c r="B9" s="3" t="s">
        <v>21</v>
      </c>
      <c r="C9" s="4">
        <v>7.25</v>
      </c>
      <c r="D9" s="4">
        <v>2.5</v>
      </c>
      <c r="E9" s="4">
        <v>12.8</v>
      </c>
      <c r="F9" s="4">
        <v>19.14</v>
      </c>
      <c r="G9" s="5">
        <v>22.55</v>
      </c>
      <c r="H9" s="5">
        <v>28.89</v>
      </c>
      <c r="I9" s="6">
        <v>34.99</v>
      </c>
      <c r="J9" s="6">
        <v>34.99</v>
      </c>
      <c r="K9" s="2" t="s">
        <v>22</v>
      </c>
    </row>
    <row r="10" spans="1:11" x14ac:dyDescent="0.3">
      <c r="A10" s="2">
        <v>6</v>
      </c>
      <c r="B10" s="3" t="s">
        <v>23</v>
      </c>
      <c r="C10" s="4">
        <v>8.33</v>
      </c>
      <c r="D10" s="4">
        <v>2.87</v>
      </c>
      <c r="E10" s="4">
        <v>12.8</v>
      </c>
      <c r="F10" s="4">
        <v>19.14</v>
      </c>
      <c r="G10" s="5">
        <v>24</v>
      </c>
      <c r="H10" s="5">
        <v>30.34</v>
      </c>
      <c r="I10" s="6">
        <v>39.99</v>
      </c>
      <c r="J10" s="6">
        <v>39.99</v>
      </c>
      <c r="K10" s="2" t="s">
        <v>16</v>
      </c>
    </row>
    <row r="11" spans="1:11" x14ac:dyDescent="0.3">
      <c r="A11" s="2">
        <v>7</v>
      </c>
      <c r="B11" s="3" t="s">
        <v>24</v>
      </c>
      <c r="C11" s="4">
        <v>12.74</v>
      </c>
      <c r="D11" s="4">
        <v>4.4000000000000004</v>
      </c>
      <c r="E11" s="4">
        <v>12.8</v>
      </c>
      <c r="F11" s="4">
        <v>19.14</v>
      </c>
      <c r="G11" s="5">
        <v>29.94</v>
      </c>
      <c r="H11" s="5">
        <v>36.28</v>
      </c>
      <c r="I11" s="6">
        <v>39.99</v>
      </c>
      <c r="J11" s="6">
        <v>39.99</v>
      </c>
      <c r="K11" s="2" t="s">
        <v>20</v>
      </c>
    </row>
    <row r="12" spans="1:11" x14ac:dyDescent="0.3">
      <c r="A12" s="2">
        <v>8</v>
      </c>
      <c r="B12" s="3" t="s">
        <v>25</v>
      </c>
      <c r="C12" s="4">
        <v>13.03</v>
      </c>
      <c r="D12" s="4">
        <v>4.5</v>
      </c>
      <c r="E12" s="4">
        <v>12.8</v>
      </c>
      <c r="F12" s="4">
        <v>19.14</v>
      </c>
      <c r="G12" s="5">
        <v>30.33</v>
      </c>
      <c r="H12" s="5">
        <v>36.67</v>
      </c>
      <c r="I12" s="6">
        <v>44.99</v>
      </c>
      <c r="J12" s="6">
        <v>44.99</v>
      </c>
      <c r="K12" s="2" t="s">
        <v>26</v>
      </c>
    </row>
    <row r="13" spans="1:11" x14ac:dyDescent="0.3">
      <c r="A13" s="2">
        <v>9</v>
      </c>
      <c r="B13" s="3" t="s">
        <v>27</v>
      </c>
      <c r="C13" s="4">
        <v>13.81</v>
      </c>
      <c r="D13" s="4">
        <v>4.76</v>
      </c>
      <c r="E13" s="4">
        <v>12.8</v>
      </c>
      <c r="F13" s="4">
        <v>19.14</v>
      </c>
      <c r="G13" s="5">
        <v>31.37</v>
      </c>
      <c r="H13" s="5">
        <v>37.71</v>
      </c>
      <c r="I13" s="6">
        <v>39.99</v>
      </c>
      <c r="J13" s="6">
        <v>39.99</v>
      </c>
      <c r="K13" s="2" t="s">
        <v>16</v>
      </c>
    </row>
    <row r="14" spans="1:11" x14ac:dyDescent="0.3">
      <c r="A14" s="2">
        <v>10</v>
      </c>
      <c r="B14" s="3" t="s">
        <v>28</v>
      </c>
      <c r="C14" s="4">
        <v>14.11</v>
      </c>
      <c r="D14" s="4">
        <v>4.87</v>
      </c>
      <c r="E14" s="4">
        <v>12.8</v>
      </c>
      <c r="F14" s="4">
        <v>19.14</v>
      </c>
      <c r="G14" s="5">
        <v>31.78</v>
      </c>
      <c r="H14" s="5">
        <v>38.119999999999997</v>
      </c>
      <c r="I14" s="6">
        <v>44.99</v>
      </c>
      <c r="J14" s="6">
        <v>44.99</v>
      </c>
      <c r="K14" s="2" t="s">
        <v>20</v>
      </c>
    </row>
    <row r="16" spans="1:11" x14ac:dyDescent="0.3">
      <c r="B16" s="7" t="s">
        <v>29</v>
      </c>
      <c r="C16" s="5">
        <f>MIN(C5:C14)</f>
        <v>7.11</v>
      </c>
      <c r="G16" s="5">
        <f>MIN(G5:G14)</f>
        <v>22.36</v>
      </c>
      <c r="H16" s="5">
        <f>MIN(H5:H14)</f>
        <v>28.7</v>
      </c>
    </row>
    <row r="17" spans="2:8" x14ac:dyDescent="0.3">
      <c r="B17" s="7" t="s">
        <v>30</v>
      </c>
      <c r="C17" s="5">
        <f>MAX(C5:C14)</f>
        <v>15.87</v>
      </c>
      <c r="G17" s="5">
        <f>MAX(G5:G14)</f>
        <v>34.15</v>
      </c>
      <c r="H17" s="5">
        <f>MAX(H5:H14)</f>
        <v>40.49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topLeftCell="A10" workbookViewId="0">
      <selection activeCell="K11" sqref="K11"/>
    </sheetView>
  </sheetViews>
  <sheetFormatPr defaultRowHeight="14.4" x14ac:dyDescent="0.3"/>
  <cols>
    <col min="1" max="1" width="4" customWidth="1"/>
    <col min="2" max="2" width="26" customWidth="1"/>
    <col min="3" max="3" width="12" customWidth="1"/>
    <col min="4" max="4" width="13" customWidth="1"/>
    <col min="5" max="5" width="12" customWidth="1"/>
    <col min="6" max="6" width="20" customWidth="1"/>
    <col min="7" max="8" width="12" customWidth="1"/>
    <col min="9" max="9" width="17" customWidth="1"/>
    <col min="10" max="11" width="14" customWidth="1"/>
    <col min="12" max="13" width="16" customWidth="1"/>
  </cols>
  <sheetData>
    <row r="1" spans="1:14" ht="17.399999999999999" x14ac:dyDescent="0.3">
      <c r="A1" s="27" t="s">
        <v>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">
      <c r="A2" s="25" t="s">
        <v>32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x14ac:dyDescent="0.3">
      <c r="A4" s="28" t="s">
        <v>33</v>
      </c>
      <c r="B4" s="26"/>
      <c r="C4" s="26"/>
      <c r="D4" s="26"/>
      <c r="E4" s="26"/>
      <c r="F4" s="26"/>
    </row>
    <row r="5" spans="1:14" ht="55.8" x14ac:dyDescent="0.3">
      <c r="A5" s="1" t="s">
        <v>34</v>
      </c>
      <c r="B5" s="1" t="s">
        <v>35</v>
      </c>
      <c r="C5" s="1" t="s">
        <v>36</v>
      </c>
      <c r="D5" s="1" t="s">
        <v>37</v>
      </c>
    </row>
    <row r="6" spans="1:14" x14ac:dyDescent="0.3">
      <c r="A6" s="3" t="s">
        <v>38</v>
      </c>
      <c r="B6" s="3" t="s">
        <v>39</v>
      </c>
      <c r="C6" s="3" t="s">
        <v>40</v>
      </c>
      <c r="D6" s="3" t="s">
        <v>41</v>
      </c>
    </row>
    <row r="7" spans="1:14" x14ac:dyDescent="0.3">
      <c r="A7" s="3" t="s">
        <v>42</v>
      </c>
      <c r="B7" s="3" t="s">
        <v>43</v>
      </c>
      <c r="C7" s="3" t="s">
        <v>44</v>
      </c>
      <c r="D7" s="3" t="s">
        <v>45</v>
      </c>
    </row>
    <row r="8" spans="1:14" x14ac:dyDescent="0.3">
      <c r="A8" s="3" t="s">
        <v>46</v>
      </c>
      <c r="B8" s="3" t="s">
        <v>47</v>
      </c>
      <c r="C8" s="3" t="s">
        <v>48</v>
      </c>
      <c r="D8" s="3" t="s">
        <v>49</v>
      </c>
    </row>
    <row r="9" spans="1:14" x14ac:dyDescent="0.3">
      <c r="A9" s="3" t="s">
        <v>50</v>
      </c>
      <c r="B9" s="3" t="s">
        <v>51</v>
      </c>
      <c r="C9" s="3" t="s">
        <v>48</v>
      </c>
      <c r="D9" s="3" t="s">
        <v>52</v>
      </c>
    </row>
    <row r="12" spans="1:14" x14ac:dyDescent="0.3">
      <c r="A12" s="28" t="s">
        <v>53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4" ht="28.2" x14ac:dyDescent="0.3">
      <c r="A13" s="1" t="s">
        <v>2</v>
      </c>
      <c r="B13" s="1" t="s">
        <v>3</v>
      </c>
      <c r="C13" s="1" t="s">
        <v>54</v>
      </c>
      <c r="D13" s="1" t="s">
        <v>8</v>
      </c>
      <c r="E13" s="1" t="s">
        <v>55</v>
      </c>
      <c r="F13" s="1" t="s">
        <v>56</v>
      </c>
      <c r="G13" s="1" t="s">
        <v>57</v>
      </c>
      <c r="H13" s="1" t="s">
        <v>58</v>
      </c>
      <c r="I13" s="1" t="s">
        <v>59</v>
      </c>
      <c r="J13" s="1" t="s">
        <v>60</v>
      </c>
      <c r="K13" s="1" t="s">
        <v>61</v>
      </c>
      <c r="L13" s="1" t="s">
        <v>62</v>
      </c>
      <c r="M13" s="1" t="s">
        <v>63</v>
      </c>
    </row>
    <row r="14" spans="1:14" x14ac:dyDescent="0.3">
      <c r="A14" s="2">
        <v>1</v>
      </c>
      <c r="B14" s="3" t="s">
        <v>13</v>
      </c>
      <c r="C14" s="4">
        <v>49.99</v>
      </c>
      <c r="D14" s="4">
        <v>34.15</v>
      </c>
      <c r="E14" s="4">
        <v>15.84</v>
      </c>
      <c r="F14" s="4">
        <v>5.2</v>
      </c>
      <c r="G14" s="5">
        <v>10.64</v>
      </c>
      <c r="H14" s="8">
        <v>0.21284256851370281</v>
      </c>
      <c r="I14" s="4">
        <v>7.5</v>
      </c>
      <c r="J14" s="9">
        <v>3.14</v>
      </c>
      <c r="K14" s="8">
        <v>6.2812562512502501E-2</v>
      </c>
      <c r="L14" s="10" t="s">
        <v>64</v>
      </c>
      <c r="M14" s="11" t="s">
        <v>65</v>
      </c>
    </row>
    <row r="15" spans="1:14" x14ac:dyDescent="0.3">
      <c r="A15" s="2">
        <v>2</v>
      </c>
      <c r="B15" s="3" t="s">
        <v>15</v>
      </c>
      <c r="C15" s="4">
        <v>34.99</v>
      </c>
      <c r="D15" s="4">
        <v>22.36</v>
      </c>
      <c r="E15" s="4">
        <v>12.63</v>
      </c>
      <c r="F15" s="4">
        <v>3.77</v>
      </c>
      <c r="G15" s="5">
        <v>8.86</v>
      </c>
      <c r="H15" s="8">
        <v>0.25321520434409828</v>
      </c>
      <c r="I15" s="4">
        <v>5.25</v>
      </c>
      <c r="J15" s="9">
        <v>3.61</v>
      </c>
      <c r="K15" s="8">
        <v>0.1031723349528437</v>
      </c>
      <c r="L15" s="10" t="s">
        <v>64</v>
      </c>
      <c r="M15" s="10" t="s">
        <v>64</v>
      </c>
    </row>
    <row r="16" spans="1:14" x14ac:dyDescent="0.3">
      <c r="A16" s="2">
        <v>3</v>
      </c>
      <c r="B16" s="3" t="s">
        <v>17</v>
      </c>
      <c r="C16" s="4">
        <v>44.99</v>
      </c>
      <c r="D16" s="4">
        <v>32.03</v>
      </c>
      <c r="E16" s="4">
        <v>12.96</v>
      </c>
      <c r="F16" s="4">
        <v>4.72</v>
      </c>
      <c r="G16" s="5">
        <v>8.24</v>
      </c>
      <c r="H16" s="8">
        <v>0.18315181151366969</v>
      </c>
      <c r="I16" s="4">
        <v>6.75</v>
      </c>
      <c r="J16" s="9">
        <v>1.49</v>
      </c>
      <c r="K16" s="8">
        <v>3.3118470771282507E-2</v>
      </c>
      <c r="L16" s="10" t="s">
        <v>64</v>
      </c>
      <c r="M16" s="11" t="s">
        <v>65</v>
      </c>
    </row>
    <row r="17" spans="1:14" x14ac:dyDescent="0.3">
      <c r="A17" s="2">
        <v>4</v>
      </c>
      <c r="B17" s="3" t="s">
        <v>19</v>
      </c>
      <c r="C17" s="4">
        <v>44.99</v>
      </c>
      <c r="D17" s="4">
        <v>32.83</v>
      </c>
      <c r="E17" s="4">
        <v>12.16</v>
      </c>
      <c r="F17" s="4">
        <v>4.72</v>
      </c>
      <c r="G17" s="5">
        <v>7.44</v>
      </c>
      <c r="H17" s="8">
        <v>0.1653700822404979</v>
      </c>
      <c r="I17" s="4">
        <v>6.75</v>
      </c>
      <c r="J17" s="9">
        <v>0.69</v>
      </c>
      <c r="K17" s="8">
        <v>1.5336741498110691E-2</v>
      </c>
      <c r="L17" s="10" t="s">
        <v>64</v>
      </c>
      <c r="M17" s="11" t="s">
        <v>65</v>
      </c>
    </row>
    <row r="18" spans="1:14" x14ac:dyDescent="0.3">
      <c r="A18" s="2">
        <v>5</v>
      </c>
      <c r="B18" s="3" t="s">
        <v>21</v>
      </c>
      <c r="C18" s="4">
        <v>34.99</v>
      </c>
      <c r="D18" s="4">
        <v>22.55</v>
      </c>
      <c r="E18" s="4">
        <v>12.44</v>
      </c>
      <c r="F18" s="4">
        <v>3.77</v>
      </c>
      <c r="G18" s="5">
        <v>8.67</v>
      </c>
      <c r="H18" s="8">
        <v>0.24778508145184339</v>
      </c>
      <c r="I18" s="4">
        <v>5.25</v>
      </c>
      <c r="J18" s="9">
        <v>3.42</v>
      </c>
      <c r="K18" s="8">
        <v>9.7742212060588737E-2</v>
      </c>
      <c r="L18" s="10" t="s">
        <v>64</v>
      </c>
      <c r="M18" s="11" t="s">
        <v>65</v>
      </c>
    </row>
    <row r="19" spans="1:14" x14ac:dyDescent="0.3">
      <c r="A19" s="2">
        <v>6</v>
      </c>
      <c r="B19" s="3" t="s">
        <v>23</v>
      </c>
      <c r="C19" s="4">
        <v>39.99</v>
      </c>
      <c r="D19" s="4">
        <v>24</v>
      </c>
      <c r="E19" s="4">
        <v>15.99</v>
      </c>
      <c r="F19" s="4">
        <v>4.25</v>
      </c>
      <c r="G19" s="5">
        <v>11.74</v>
      </c>
      <c r="H19" s="8">
        <v>0.2935733933483371</v>
      </c>
      <c r="I19" s="4">
        <v>6</v>
      </c>
      <c r="J19" s="9">
        <v>5.74</v>
      </c>
      <c r="K19" s="8">
        <v>0.14353588397099271</v>
      </c>
      <c r="L19" s="10" t="s">
        <v>64</v>
      </c>
      <c r="M19" s="10" t="s">
        <v>64</v>
      </c>
    </row>
    <row r="20" spans="1:14" x14ac:dyDescent="0.3">
      <c r="A20" s="2">
        <v>7</v>
      </c>
      <c r="B20" s="3" t="s">
        <v>24</v>
      </c>
      <c r="C20" s="4">
        <v>39.99</v>
      </c>
      <c r="D20" s="4">
        <v>29.94</v>
      </c>
      <c r="E20" s="4">
        <v>10.050000000000001</v>
      </c>
      <c r="F20" s="4">
        <v>4.25</v>
      </c>
      <c r="G20" s="5">
        <v>5.8</v>
      </c>
      <c r="H20" s="8">
        <v>0.14503625906476619</v>
      </c>
      <c r="I20" s="4">
        <v>6</v>
      </c>
      <c r="J20" s="12">
        <v>-0.2</v>
      </c>
      <c r="K20" s="8">
        <v>-5.0012503125781444E-3</v>
      </c>
      <c r="L20" s="11" t="s">
        <v>65</v>
      </c>
      <c r="M20" s="13" t="s">
        <v>66</v>
      </c>
    </row>
    <row r="21" spans="1:14" x14ac:dyDescent="0.3">
      <c r="A21" s="2">
        <v>8</v>
      </c>
      <c r="B21" s="3" t="s">
        <v>25</v>
      </c>
      <c r="C21" s="4">
        <v>44.99</v>
      </c>
      <c r="D21" s="4">
        <v>30.33</v>
      </c>
      <c r="E21" s="4">
        <v>14.66</v>
      </c>
      <c r="F21" s="4">
        <v>4.72</v>
      </c>
      <c r="G21" s="5">
        <v>9.94</v>
      </c>
      <c r="H21" s="8">
        <v>0.2209379862191598</v>
      </c>
      <c r="I21" s="4">
        <v>6.75</v>
      </c>
      <c r="J21" s="9">
        <v>3.19</v>
      </c>
      <c r="K21" s="8">
        <v>7.090464547677261E-2</v>
      </c>
      <c r="L21" s="10" t="s">
        <v>64</v>
      </c>
      <c r="M21" s="11" t="s">
        <v>65</v>
      </c>
    </row>
    <row r="22" spans="1:14" x14ac:dyDescent="0.3">
      <c r="A22" s="2">
        <v>9</v>
      </c>
      <c r="B22" s="3" t="s">
        <v>27</v>
      </c>
      <c r="C22" s="4">
        <v>39.99</v>
      </c>
      <c r="D22" s="4">
        <v>31.37</v>
      </c>
      <c r="E22" s="4">
        <v>8.6199999999999992</v>
      </c>
      <c r="F22" s="4">
        <v>4.25</v>
      </c>
      <c r="G22" s="5">
        <v>4.37</v>
      </c>
      <c r="H22" s="8">
        <v>0.10927731932983251</v>
      </c>
      <c r="I22" s="4">
        <v>6</v>
      </c>
      <c r="J22" s="12">
        <v>-1.63</v>
      </c>
      <c r="K22" s="8">
        <v>-4.0760190047511871E-2</v>
      </c>
      <c r="L22" s="11" t="s">
        <v>65</v>
      </c>
      <c r="M22" s="13" t="s">
        <v>66</v>
      </c>
    </row>
    <row r="23" spans="1:14" x14ac:dyDescent="0.3">
      <c r="A23" s="2">
        <v>10</v>
      </c>
      <c r="B23" s="3" t="s">
        <v>28</v>
      </c>
      <c r="C23" s="4">
        <v>44.99</v>
      </c>
      <c r="D23" s="4">
        <v>31.78</v>
      </c>
      <c r="E23" s="4">
        <v>13.21</v>
      </c>
      <c r="F23" s="4">
        <v>4.72</v>
      </c>
      <c r="G23" s="5">
        <v>8.49</v>
      </c>
      <c r="H23" s="8">
        <v>0.18870860191153591</v>
      </c>
      <c r="I23" s="4">
        <v>6.75</v>
      </c>
      <c r="J23" s="9">
        <v>1.74</v>
      </c>
      <c r="K23" s="8">
        <v>3.8675261169148697E-2</v>
      </c>
      <c r="L23" s="10" t="s">
        <v>64</v>
      </c>
      <c r="M23" s="11" t="s">
        <v>65</v>
      </c>
    </row>
    <row r="26" spans="1:14" x14ac:dyDescent="0.3">
      <c r="A26" s="28" t="s">
        <v>67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 spans="1:14" ht="28.2" x14ac:dyDescent="0.3">
      <c r="A27" s="1" t="s">
        <v>2</v>
      </c>
      <c r="B27" s="1" t="s">
        <v>3</v>
      </c>
      <c r="C27" s="1" t="s">
        <v>54</v>
      </c>
      <c r="D27" s="1" t="s">
        <v>8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</row>
    <row r="28" spans="1:14" x14ac:dyDescent="0.3">
      <c r="A28" s="2">
        <v>1</v>
      </c>
      <c r="B28" s="3" t="s">
        <v>13</v>
      </c>
      <c r="C28" s="4">
        <v>49.99</v>
      </c>
      <c r="D28" s="4">
        <v>40.49</v>
      </c>
      <c r="E28" s="4">
        <v>9.5</v>
      </c>
      <c r="F28" s="4">
        <v>5.2</v>
      </c>
      <c r="G28" s="5">
        <v>4.3</v>
      </c>
      <c r="H28" s="8">
        <v>8.6017203440688125E-2</v>
      </c>
      <c r="I28" s="4">
        <v>7.5</v>
      </c>
      <c r="J28" s="12">
        <v>-3.2</v>
      </c>
      <c r="K28" s="8">
        <v>-6.4012802560512103E-2</v>
      </c>
      <c r="L28" s="11" t="s">
        <v>65</v>
      </c>
      <c r="M28" s="13" t="s">
        <v>66</v>
      </c>
    </row>
    <row r="29" spans="1:14" x14ac:dyDescent="0.3">
      <c r="A29" s="2">
        <v>2</v>
      </c>
      <c r="B29" s="3" t="s">
        <v>15</v>
      </c>
      <c r="C29" s="4">
        <v>34.99</v>
      </c>
      <c r="D29" s="4">
        <v>28.7</v>
      </c>
      <c r="E29" s="4">
        <v>6.29</v>
      </c>
      <c r="F29" s="4">
        <v>3.77</v>
      </c>
      <c r="G29" s="5">
        <v>2.52</v>
      </c>
      <c r="H29" s="8">
        <v>7.202057730780223E-2</v>
      </c>
      <c r="I29" s="4">
        <v>5.25</v>
      </c>
      <c r="J29" s="12">
        <v>-2.73</v>
      </c>
      <c r="K29" s="8">
        <v>-7.8022292083452405E-2</v>
      </c>
      <c r="L29" s="11" t="s">
        <v>65</v>
      </c>
      <c r="M29" s="13" t="s">
        <v>66</v>
      </c>
    </row>
    <row r="30" spans="1:14" x14ac:dyDescent="0.3">
      <c r="A30" s="2">
        <v>3</v>
      </c>
      <c r="B30" s="3" t="s">
        <v>17</v>
      </c>
      <c r="C30" s="4">
        <v>44.99</v>
      </c>
      <c r="D30" s="4">
        <v>38.369999999999997</v>
      </c>
      <c r="E30" s="4">
        <v>6.62</v>
      </c>
      <c r="F30" s="4">
        <v>4.72</v>
      </c>
      <c r="G30" s="5">
        <v>1.9</v>
      </c>
      <c r="H30" s="8">
        <v>4.2231607023783063E-2</v>
      </c>
      <c r="I30" s="4">
        <v>6.75</v>
      </c>
      <c r="J30" s="12">
        <v>-4.8499999999999996</v>
      </c>
      <c r="K30" s="8">
        <v>-0.1078017337186041</v>
      </c>
      <c r="L30" s="13" t="s">
        <v>66</v>
      </c>
      <c r="M30" s="13" t="s">
        <v>66</v>
      </c>
    </row>
    <row r="31" spans="1:14" x14ac:dyDescent="0.3">
      <c r="A31" s="2">
        <v>4</v>
      </c>
      <c r="B31" s="3" t="s">
        <v>19</v>
      </c>
      <c r="C31" s="4">
        <v>44.99</v>
      </c>
      <c r="D31" s="4">
        <v>39.17</v>
      </c>
      <c r="E31" s="4">
        <v>5.82</v>
      </c>
      <c r="F31" s="4">
        <v>4.72</v>
      </c>
      <c r="G31" s="5">
        <v>1.1000000000000001</v>
      </c>
      <c r="H31" s="8">
        <v>2.4449877750611249E-2</v>
      </c>
      <c r="I31" s="4">
        <v>6.75</v>
      </c>
      <c r="J31" s="12">
        <v>-5.65</v>
      </c>
      <c r="K31" s="8">
        <v>-0.12558346299177589</v>
      </c>
      <c r="L31" s="13" t="s">
        <v>66</v>
      </c>
      <c r="M31" s="13" t="s">
        <v>66</v>
      </c>
    </row>
    <row r="32" spans="1:14" x14ac:dyDescent="0.3">
      <c r="A32" s="2">
        <v>5</v>
      </c>
      <c r="B32" s="3" t="s">
        <v>21</v>
      </c>
      <c r="C32" s="4">
        <v>34.99</v>
      </c>
      <c r="D32" s="4">
        <v>28.89</v>
      </c>
      <c r="E32" s="4">
        <v>6.1</v>
      </c>
      <c r="F32" s="4">
        <v>3.77</v>
      </c>
      <c r="G32" s="5">
        <v>2.33</v>
      </c>
      <c r="H32" s="8">
        <v>6.6590454415547298E-2</v>
      </c>
      <c r="I32" s="4">
        <v>5.25</v>
      </c>
      <c r="J32" s="12">
        <v>-2.92</v>
      </c>
      <c r="K32" s="8">
        <v>-8.3452414975707337E-2</v>
      </c>
      <c r="L32" s="11" t="s">
        <v>65</v>
      </c>
      <c r="M32" s="13" t="s">
        <v>66</v>
      </c>
    </row>
    <row r="33" spans="1:13" x14ac:dyDescent="0.3">
      <c r="A33" s="2">
        <v>6</v>
      </c>
      <c r="B33" s="3" t="s">
        <v>23</v>
      </c>
      <c r="C33" s="4">
        <v>39.99</v>
      </c>
      <c r="D33" s="4">
        <v>30.34</v>
      </c>
      <c r="E33" s="4">
        <v>9.65</v>
      </c>
      <c r="F33" s="4">
        <v>4.25</v>
      </c>
      <c r="G33" s="5">
        <v>5.4</v>
      </c>
      <c r="H33" s="8">
        <v>0.13503375843960991</v>
      </c>
      <c r="I33" s="4">
        <v>6</v>
      </c>
      <c r="J33" s="12">
        <v>-0.6</v>
      </c>
      <c r="K33" s="8">
        <v>-1.500375093773443E-2</v>
      </c>
      <c r="L33" s="11" t="s">
        <v>65</v>
      </c>
      <c r="M33" s="13" t="s">
        <v>66</v>
      </c>
    </row>
    <row r="34" spans="1:13" x14ac:dyDescent="0.3">
      <c r="A34" s="2">
        <v>7</v>
      </c>
      <c r="B34" s="3" t="s">
        <v>24</v>
      </c>
      <c r="C34" s="4">
        <v>39.99</v>
      </c>
      <c r="D34" s="4">
        <v>36.28</v>
      </c>
      <c r="E34" s="4">
        <v>3.71</v>
      </c>
      <c r="F34" s="4">
        <v>4.25</v>
      </c>
      <c r="G34" s="5">
        <v>-0.54</v>
      </c>
      <c r="H34" s="8">
        <v>-1.3503375843960989E-2</v>
      </c>
      <c r="I34" s="4">
        <v>6</v>
      </c>
      <c r="J34" s="12">
        <v>-6.54</v>
      </c>
      <c r="K34" s="8">
        <v>-0.1635408852213053</v>
      </c>
      <c r="L34" s="13" t="s">
        <v>66</v>
      </c>
      <c r="M34" s="13" t="s">
        <v>66</v>
      </c>
    </row>
    <row r="35" spans="1:13" x14ac:dyDescent="0.3">
      <c r="A35" s="2">
        <v>8</v>
      </c>
      <c r="B35" s="3" t="s">
        <v>25</v>
      </c>
      <c r="C35" s="4">
        <v>44.99</v>
      </c>
      <c r="D35" s="4">
        <v>36.67</v>
      </c>
      <c r="E35" s="4">
        <v>8.32</v>
      </c>
      <c r="F35" s="4">
        <v>4.72</v>
      </c>
      <c r="G35" s="5">
        <v>3.6</v>
      </c>
      <c r="H35" s="8">
        <v>8.0017781729273166E-2</v>
      </c>
      <c r="I35" s="4">
        <v>6.75</v>
      </c>
      <c r="J35" s="12">
        <v>-3.15</v>
      </c>
      <c r="K35" s="8">
        <v>-7.0015559013114015E-2</v>
      </c>
      <c r="L35" s="11" t="s">
        <v>65</v>
      </c>
      <c r="M35" s="13" t="s">
        <v>66</v>
      </c>
    </row>
    <row r="36" spans="1:13" x14ac:dyDescent="0.3">
      <c r="A36" s="2">
        <v>9</v>
      </c>
      <c r="B36" s="3" t="s">
        <v>27</v>
      </c>
      <c r="C36" s="4">
        <v>39.99</v>
      </c>
      <c r="D36" s="4">
        <v>37.71</v>
      </c>
      <c r="E36" s="4">
        <v>2.2799999999999998</v>
      </c>
      <c r="F36" s="4">
        <v>4.25</v>
      </c>
      <c r="G36" s="5">
        <v>-1.97</v>
      </c>
      <c r="H36" s="8">
        <v>-4.9262315578894718E-2</v>
      </c>
      <c r="I36" s="4">
        <v>6</v>
      </c>
      <c r="J36" s="12">
        <v>-7.97</v>
      </c>
      <c r="K36" s="8">
        <v>-0.19929982495623899</v>
      </c>
      <c r="L36" s="13" t="s">
        <v>66</v>
      </c>
      <c r="M36" s="13" t="s">
        <v>66</v>
      </c>
    </row>
    <row r="37" spans="1:13" x14ac:dyDescent="0.3">
      <c r="A37" s="2">
        <v>10</v>
      </c>
      <c r="B37" s="3" t="s">
        <v>28</v>
      </c>
      <c r="C37" s="4">
        <v>44.99</v>
      </c>
      <c r="D37" s="4">
        <v>38.119999999999997</v>
      </c>
      <c r="E37" s="4">
        <v>6.87</v>
      </c>
      <c r="F37" s="4">
        <v>4.72</v>
      </c>
      <c r="G37" s="5">
        <v>2.15</v>
      </c>
      <c r="H37" s="8">
        <v>4.7788397421649247E-2</v>
      </c>
      <c r="I37" s="4">
        <v>6.75</v>
      </c>
      <c r="J37" s="12">
        <v>-4.5999999999999996</v>
      </c>
      <c r="K37" s="8">
        <v>-0.1022449433207379</v>
      </c>
      <c r="L37" s="13" t="s">
        <v>66</v>
      </c>
      <c r="M37" s="13" t="s">
        <v>66</v>
      </c>
    </row>
  </sheetData>
  <mergeCells count="5">
    <mergeCell ref="A12:N12"/>
    <mergeCell ref="A26:N26"/>
    <mergeCell ref="A2:N2"/>
    <mergeCell ref="A4:F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opLeftCell="A4" workbookViewId="0">
      <selection activeCell="A12" sqref="A12:P12"/>
    </sheetView>
  </sheetViews>
  <sheetFormatPr defaultRowHeight="14.4" x14ac:dyDescent="0.3"/>
  <cols>
    <col min="1" max="1" width="36.44140625" customWidth="1"/>
    <col min="2" max="2" width="26" customWidth="1"/>
    <col min="3" max="3" width="10" customWidth="1"/>
    <col min="4" max="4" width="13" customWidth="1"/>
    <col min="5" max="5" width="12" customWidth="1"/>
    <col min="6" max="6" width="17" customWidth="1"/>
    <col min="7" max="7" width="15.5546875" customWidth="1"/>
    <col min="8" max="8" width="12" customWidth="1"/>
    <col min="9" max="9" width="16" customWidth="1"/>
    <col min="10" max="11" width="12" customWidth="1"/>
    <col min="12" max="12" width="22" customWidth="1"/>
    <col min="13" max="13" width="12" customWidth="1"/>
    <col min="14" max="15" width="16" customWidth="1"/>
  </cols>
  <sheetData>
    <row r="1" spans="1:16" ht="17.399999999999999" x14ac:dyDescent="0.3">
      <c r="A1" s="27" t="s">
        <v>68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25" t="s">
        <v>69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4" spans="1:16" x14ac:dyDescent="0.3">
      <c r="A4" s="28" t="s">
        <v>70</v>
      </c>
      <c r="B4" s="26"/>
      <c r="C4" s="26"/>
      <c r="D4" s="26"/>
      <c r="E4" s="26"/>
      <c r="F4" s="26"/>
      <c r="G4" s="26"/>
      <c r="H4" s="26"/>
    </row>
    <row r="5" spans="1:16" ht="55.8" x14ac:dyDescent="0.3">
      <c r="A5" s="1" t="s">
        <v>71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37</v>
      </c>
    </row>
    <row r="6" spans="1:16" x14ac:dyDescent="0.3">
      <c r="A6" s="3" t="s">
        <v>77</v>
      </c>
      <c r="B6" s="4">
        <v>0.35</v>
      </c>
      <c r="C6" s="3" t="s">
        <v>78</v>
      </c>
      <c r="D6" s="8">
        <v>1.4999999999999999E-2</v>
      </c>
      <c r="E6" s="14">
        <v>67</v>
      </c>
      <c r="F6" s="9">
        <v>23.45</v>
      </c>
      <c r="G6" s="3" t="s">
        <v>79</v>
      </c>
    </row>
    <row r="7" spans="1:16" x14ac:dyDescent="0.3">
      <c r="A7" s="3" t="s">
        <v>80</v>
      </c>
      <c r="B7" s="4">
        <v>0.75</v>
      </c>
      <c r="C7" s="3" t="s">
        <v>81</v>
      </c>
      <c r="D7" s="8">
        <v>1.4999999999999999E-2</v>
      </c>
      <c r="E7" s="14">
        <v>67</v>
      </c>
      <c r="F7" s="12">
        <v>50.25</v>
      </c>
      <c r="G7" s="3" t="s">
        <v>82</v>
      </c>
    </row>
    <row r="8" spans="1:16" x14ac:dyDescent="0.3">
      <c r="A8" s="3" t="s">
        <v>83</v>
      </c>
      <c r="B8" s="4">
        <v>1.5</v>
      </c>
      <c r="C8" s="3" t="s">
        <v>84</v>
      </c>
      <c r="D8" s="8">
        <v>1.4999999999999999E-2</v>
      </c>
      <c r="E8" s="14">
        <v>67</v>
      </c>
      <c r="F8" s="12">
        <v>100.5</v>
      </c>
      <c r="G8" s="3" t="s">
        <v>85</v>
      </c>
    </row>
    <row r="9" spans="1:16" x14ac:dyDescent="0.3">
      <c r="A9" s="3" t="s">
        <v>86</v>
      </c>
      <c r="B9" s="4">
        <v>0.3</v>
      </c>
      <c r="C9" s="3" t="s">
        <v>87</v>
      </c>
      <c r="D9" s="8">
        <v>2.5000000000000001E-2</v>
      </c>
      <c r="E9" s="14">
        <v>40</v>
      </c>
      <c r="F9" s="9">
        <v>12</v>
      </c>
      <c r="G9" s="3" t="s">
        <v>88</v>
      </c>
    </row>
    <row r="12" spans="1:16" x14ac:dyDescent="0.3">
      <c r="A12" s="28" t="s">
        <v>89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ht="28.2" x14ac:dyDescent="0.3">
      <c r="A13" s="1" t="s">
        <v>2</v>
      </c>
      <c r="B13" s="1" t="s">
        <v>3</v>
      </c>
      <c r="C13" s="1" t="s">
        <v>90</v>
      </c>
      <c r="D13" s="1" t="s">
        <v>8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  <c r="M13" s="1" t="s">
        <v>99</v>
      </c>
      <c r="N13" s="1" t="s">
        <v>100</v>
      </c>
      <c r="O13" s="1" t="s">
        <v>101</v>
      </c>
    </row>
    <row r="14" spans="1:16" x14ac:dyDescent="0.3">
      <c r="A14" s="2">
        <v>1</v>
      </c>
      <c r="B14" s="3" t="s">
        <v>13</v>
      </c>
      <c r="C14" s="4">
        <v>49.99</v>
      </c>
      <c r="D14" s="4">
        <v>34.15</v>
      </c>
      <c r="E14" s="4">
        <v>1.75</v>
      </c>
      <c r="F14" s="4">
        <v>23.33</v>
      </c>
      <c r="G14" s="12">
        <v>-9.24</v>
      </c>
      <c r="H14" s="8">
        <v>-0.18483696739347871</v>
      </c>
      <c r="I14" s="4">
        <v>50</v>
      </c>
      <c r="J14" s="12">
        <v>-35.909999999999997</v>
      </c>
      <c r="K14" s="8">
        <v>-0.71834366873374667</v>
      </c>
      <c r="L14" s="6">
        <v>66.34</v>
      </c>
      <c r="M14" s="2" t="s">
        <v>102</v>
      </c>
      <c r="N14" s="13" t="s">
        <v>66</v>
      </c>
      <c r="O14" s="13" t="s">
        <v>66</v>
      </c>
    </row>
    <row r="15" spans="1:16" x14ac:dyDescent="0.3">
      <c r="A15" s="2">
        <v>2</v>
      </c>
      <c r="B15" s="3" t="s">
        <v>15</v>
      </c>
      <c r="C15" s="4">
        <v>34.99</v>
      </c>
      <c r="D15" s="4">
        <v>22.36</v>
      </c>
      <c r="E15" s="4">
        <v>1.31</v>
      </c>
      <c r="F15" s="4">
        <v>23.33</v>
      </c>
      <c r="G15" s="12">
        <v>-12.01</v>
      </c>
      <c r="H15" s="8">
        <v>-0.34324092597885109</v>
      </c>
      <c r="I15" s="4">
        <v>50</v>
      </c>
      <c r="J15" s="12">
        <v>-38.68</v>
      </c>
      <c r="K15" s="8">
        <v>-1.1054587024864251</v>
      </c>
      <c r="L15" s="6">
        <v>52.8</v>
      </c>
      <c r="M15" s="2" t="s">
        <v>103</v>
      </c>
      <c r="N15" s="13" t="s">
        <v>66</v>
      </c>
      <c r="O15" s="13" t="s">
        <v>66</v>
      </c>
    </row>
    <row r="16" spans="1:16" x14ac:dyDescent="0.3">
      <c r="A16" s="2">
        <v>3</v>
      </c>
      <c r="B16" s="3" t="s">
        <v>17</v>
      </c>
      <c r="C16" s="4">
        <v>44.99</v>
      </c>
      <c r="D16" s="4">
        <v>32.03</v>
      </c>
      <c r="E16" s="4">
        <v>1.6</v>
      </c>
      <c r="F16" s="4">
        <v>23.33</v>
      </c>
      <c r="G16" s="12">
        <v>-11.97</v>
      </c>
      <c r="H16" s="8">
        <v>-0.2660591242498333</v>
      </c>
      <c r="I16" s="4">
        <v>50</v>
      </c>
      <c r="J16" s="12">
        <v>-38.64</v>
      </c>
      <c r="K16" s="8">
        <v>-0.85885752389419867</v>
      </c>
      <c r="L16" s="6">
        <v>63.9</v>
      </c>
      <c r="M16" s="2" t="s">
        <v>104</v>
      </c>
      <c r="N16" s="13" t="s">
        <v>66</v>
      </c>
      <c r="O16" s="13" t="s">
        <v>66</v>
      </c>
    </row>
    <row r="17" spans="1:16" x14ac:dyDescent="0.3">
      <c r="A17" s="2">
        <v>4</v>
      </c>
      <c r="B17" s="3" t="s">
        <v>19</v>
      </c>
      <c r="C17" s="4">
        <v>44.99</v>
      </c>
      <c r="D17" s="4">
        <v>32.83</v>
      </c>
      <c r="E17" s="4">
        <v>1.6</v>
      </c>
      <c r="F17" s="4">
        <v>23.33</v>
      </c>
      <c r="G17" s="12">
        <v>-12.77</v>
      </c>
      <c r="H17" s="8">
        <v>-0.28384085352300509</v>
      </c>
      <c r="I17" s="4">
        <v>50</v>
      </c>
      <c r="J17" s="12">
        <v>-39.44</v>
      </c>
      <c r="K17" s="8">
        <v>-0.87663925316737046</v>
      </c>
      <c r="L17" s="6">
        <v>64.819999999999993</v>
      </c>
      <c r="M17" s="2" t="s">
        <v>104</v>
      </c>
      <c r="N17" s="13" t="s">
        <v>66</v>
      </c>
      <c r="O17" s="13" t="s">
        <v>66</v>
      </c>
    </row>
    <row r="18" spans="1:16" x14ac:dyDescent="0.3">
      <c r="A18" s="2">
        <v>5</v>
      </c>
      <c r="B18" s="3" t="s">
        <v>21</v>
      </c>
      <c r="C18" s="4">
        <v>34.99</v>
      </c>
      <c r="D18" s="4">
        <v>22.55</v>
      </c>
      <c r="E18" s="4">
        <v>1.31</v>
      </c>
      <c r="F18" s="4">
        <v>23.33</v>
      </c>
      <c r="G18" s="12">
        <v>-12.2</v>
      </c>
      <c r="H18" s="8">
        <v>-0.348671048871106</v>
      </c>
      <c r="I18" s="4">
        <v>50</v>
      </c>
      <c r="J18" s="12">
        <v>-38.869999999999997</v>
      </c>
      <c r="K18" s="8">
        <v>-1.1108888253786799</v>
      </c>
      <c r="L18" s="6">
        <v>53.02</v>
      </c>
      <c r="M18" s="2" t="s">
        <v>103</v>
      </c>
      <c r="N18" s="13" t="s">
        <v>66</v>
      </c>
      <c r="O18" s="13" t="s">
        <v>66</v>
      </c>
    </row>
    <row r="19" spans="1:16" x14ac:dyDescent="0.3">
      <c r="A19" s="2">
        <v>6</v>
      </c>
      <c r="B19" s="3" t="s">
        <v>23</v>
      </c>
      <c r="C19" s="4">
        <v>39.99</v>
      </c>
      <c r="D19" s="4">
        <v>24</v>
      </c>
      <c r="E19" s="4">
        <v>1.46</v>
      </c>
      <c r="F19" s="4">
        <v>23.33</v>
      </c>
      <c r="G19" s="12">
        <v>-8.8000000000000007</v>
      </c>
      <c r="H19" s="8">
        <v>-0.22005501375343839</v>
      </c>
      <c r="I19" s="4">
        <v>50</v>
      </c>
      <c r="J19" s="12">
        <v>-35.47</v>
      </c>
      <c r="K19" s="8">
        <v>-0.88697174293573389</v>
      </c>
      <c r="L19" s="6">
        <v>54.68</v>
      </c>
      <c r="M19" s="2" t="s">
        <v>105</v>
      </c>
      <c r="N19" s="13" t="s">
        <v>66</v>
      </c>
      <c r="O19" s="13" t="s">
        <v>66</v>
      </c>
    </row>
    <row r="20" spans="1:16" x14ac:dyDescent="0.3">
      <c r="A20" s="2">
        <v>7</v>
      </c>
      <c r="B20" s="3" t="s">
        <v>24</v>
      </c>
      <c r="C20" s="4">
        <v>39.99</v>
      </c>
      <c r="D20" s="4">
        <v>29.94</v>
      </c>
      <c r="E20" s="4">
        <v>1.46</v>
      </c>
      <c r="F20" s="4">
        <v>23.33</v>
      </c>
      <c r="G20" s="12">
        <v>-14.74</v>
      </c>
      <c r="H20" s="8">
        <v>-0.36859214803700918</v>
      </c>
      <c r="I20" s="4">
        <v>50</v>
      </c>
      <c r="J20" s="12">
        <v>-41.41</v>
      </c>
      <c r="K20" s="8">
        <v>-1.0355088772193051</v>
      </c>
      <c r="L20" s="6">
        <v>61.5</v>
      </c>
      <c r="M20" s="2" t="s">
        <v>105</v>
      </c>
      <c r="N20" s="13" t="s">
        <v>66</v>
      </c>
      <c r="O20" s="13" t="s">
        <v>66</v>
      </c>
    </row>
    <row r="21" spans="1:16" x14ac:dyDescent="0.3">
      <c r="A21" s="2">
        <v>8</v>
      </c>
      <c r="B21" s="3" t="s">
        <v>25</v>
      </c>
      <c r="C21" s="4">
        <v>44.99</v>
      </c>
      <c r="D21" s="4">
        <v>30.33</v>
      </c>
      <c r="E21" s="4">
        <v>1.6</v>
      </c>
      <c r="F21" s="4">
        <v>23.33</v>
      </c>
      <c r="G21" s="12">
        <v>-10.27</v>
      </c>
      <c r="H21" s="8">
        <v>-0.22827294954434321</v>
      </c>
      <c r="I21" s="4">
        <v>50</v>
      </c>
      <c r="J21" s="12">
        <v>-36.94</v>
      </c>
      <c r="K21" s="8">
        <v>-0.8210713491887085</v>
      </c>
      <c r="L21" s="6">
        <v>61.95</v>
      </c>
      <c r="M21" s="2" t="s">
        <v>104</v>
      </c>
      <c r="N21" s="13" t="s">
        <v>66</v>
      </c>
      <c r="O21" s="13" t="s">
        <v>66</v>
      </c>
    </row>
    <row r="22" spans="1:16" x14ac:dyDescent="0.3">
      <c r="A22" s="2">
        <v>9</v>
      </c>
      <c r="B22" s="3" t="s">
        <v>27</v>
      </c>
      <c r="C22" s="4">
        <v>39.99</v>
      </c>
      <c r="D22" s="4">
        <v>31.37</v>
      </c>
      <c r="E22" s="4">
        <v>1.46</v>
      </c>
      <c r="F22" s="4">
        <v>23.33</v>
      </c>
      <c r="G22" s="12">
        <v>-16.170000000000002</v>
      </c>
      <c r="H22" s="8">
        <v>-0.40435108777194301</v>
      </c>
      <c r="I22" s="4">
        <v>50</v>
      </c>
      <c r="J22" s="12">
        <v>-42.84</v>
      </c>
      <c r="K22" s="8">
        <v>-1.0712678169542389</v>
      </c>
      <c r="L22" s="6">
        <v>63.15</v>
      </c>
      <c r="M22" s="2" t="s">
        <v>105</v>
      </c>
      <c r="N22" s="13" t="s">
        <v>66</v>
      </c>
      <c r="O22" s="13" t="s">
        <v>66</v>
      </c>
    </row>
    <row r="23" spans="1:16" x14ac:dyDescent="0.3">
      <c r="A23" s="2">
        <v>10</v>
      </c>
      <c r="B23" s="3" t="s">
        <v>28</v>
      </c>
      <c r="C23" s="4">
        <v>44.99</v>
      </c>
      <c r="D23" s="4">
        <v>31.78</v>
      </c>
      <c r="E23" s="4">
        <v>1.6</v>
      </c>
      <c r="F23" s="4">
        <v>23.33</v>
      </c>
      <c r="G23" s="12">
        <v>-11.72</v>
      </c>
      <c r="H23" s="8">
        <v>-0.26050233385196708</v>
      </c>
      <c r="I23" s="4">
        <v>50</v>
      </c>
      <c r="J23" s="12">
        <v>-38.39</v>
      </c>
      <c r="K23" s="8">
        <v>-0.85330073349633251</v>
      </c>
      <c r="L23" s="6">
        <v>63.62</v>
      </c>
      <c r="M23" s="2" t="s">
        <v>104</v>
      </c>
      <c r="N23" s="13" t="s">
        <v>66</v>
      </c>
      <c r="O23" s="13" t="s">
        <v>66</v>
      </c>
    </row>
    <row r="26" spans="1:16" x14ac:dyDescent="0.3">
      <c r="A26" s="28" t="s">
        <v>106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ht="28.2" x14ac:dyDescent="0.3">
      <c r="A27" s="1" t="s">
        <v>2</v>
      </c>
      <c r="B27" s="1" t="s">
        <v>3</v>
      </c>
      <c r="C27" s="1" t="s">
        <v>90</v>
      </c>
      <c r="D27" s="1" t="s">
        <v>8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97</v>
      </c>
      <c r="L27" s="1" t="s">
        <v>98</v>
      </c>
      <c r="M27" s="1" t="s">
        <v>99</v>
      </c>
      <c r="N27" s="1" t="s">
        <v>100</v>
      </c>
      <c r="O27" s="1" t="s">
        <v>101</v>
      </c>
    </row>
    <row r="28" spans="1:16" x14ac:dyDescent="0.3">
      <c r="A28" s="2">
        <v>1</v>
      </c>
      <c r="B28" s="3" t="s">
        <v>13</v>
      </c>
      <c r="C28" s="4">
        <v>49.99</v>
      </c>
      <c r="D28" s="4">
        <v>40.49</v>
      </c>
      <c r="E28" s="4">
        <v>1.75</v>
      </c>
      <c r="F28" s="4">
        <v>23.33</v>
      </c>
      <c r="G28" s="12">
        <v>-15.58</v>
      </c>
      <c r="H28" s="8">
        <v>-0.31166233246649327</v>
      </c>
      <c r="I28" s="4">
        <v>50</v>
      </c>
      <c r="J28" s="12">
        <v>-42.25</v>
      </c>
      <c r="K28" s="8">
        <v>-0.84516903380676134</v>
      </c>
      <c r="L28" s="6">
        <v>73.62</v>
      </c>
      <c r="M28" s="2" t="s">
        <v>102</v>
      </c>
      <c r="N28" s="13" t="s">
        <v>66</v>
      </c>
      <c r="O28" s="13" t="s">
        <v>66</v>
      </c>
    </row>
    <row r="29" spans="1:16" x14ac:dyDescent="0.3">
      <c r="A29" s="2">
        <v>2</v>
      </c>
      <c r="B29" s="3" t="s">
        <v>15</v>
      </c>
      <c r="C29" s="4">
        <v>34.99</v>
      </c>
      <c r="D29" s="4">
        <v>28.7</v>
      </c>
      <c r="E29" s="4">
        <v>1.31</v>
      </c>
      <c r="F29" s="4">
        <v>23.33</v>
      </c>
      <c r="G29" s="12">
        <v>-18.350000000000001</v>
      </c>
      <c r="H29" s="8">
        <v>-0.52443555301514722</v>
      </c>
      <c r="I29" s="4">
        <v>50</v>
      </c>
      <c r="J29" s="12">
        <v>-45.02</v>
      </c>
      <c r="K29" s="8">
        <v>-1.2866533295227209</v>
      </c>
      <c r="L29" s="6">
        <v>60.08</v>
      </c>
      <c r="M29" s="2" t="s">
        <v>103</v>
      </c>
      <c r="N29" s="13" t="s">
        <v>66</v>
      </c>
      <c r="O29" s="13" t="s">
        <v>66</v>
      </c>
    </row>
    <row r="30" spans="1:16" x14ac:dyDescent="0.3">
      <c r="A30" s="2">
        <v>3</v>
      </c>
      <c r="B30" s="3" t="s">
        <v>17</v>
      </c>
      <c r="C30" s="4">
        <v>44.99</v>
      </c>
      <c r="D30" s="4">
        <v>38.369999999999997</v>
      </c>
      <c r="E30" s="4">
        <v>1.6</v>
      </c>
      <c r="F30" s="4">
        <v>23.33</v>
      </c>
      <c r="G30" s="12">
        <v>-18.309999999999999</v>
      </c>
      <c r="H30" s="8">
        <v>-0.40697932873971993</v>
      </c>
      <c r="I30" s="4">
        <v>50</v>
      </c>
      <c r="J30" s="12">
        <v>-44.98</v>
      </c>
      <c r="K30" s="8">
        <v>-0.99977772838408518</v>
      </c>
      <c r="L30" s="6">
        <v>71.180000000000007</v>
      </c>
      <c r="M30" s="2" t="s">
        <v>104</v>
      </c>
      <c r="N30" s="13" t="s">
        <v>66</v>
      </c>
      <c r="O30" s="13" t="s">
        <v>66</v>
      </c>
    </row>
    <row r="31" spans="1:16" x14ac:dyDescent="0.3">
      <c r="A31" s="2">
        <v>4</v>
      </c>
      <c r="B31" s="3" t="s">
        <v>19</v>
      </c>
      <c r="C31" s="4">
        <v>44.99</v>
      </c>
      <c r="D31" s="4">
        <v>39.17</v>
      </c>
      <c r="E31" s="4">
        <v>1.6</v>
      </c>
      <c r="F31" s="4">
        <v>23.33</v>
      </c>
      <c r="G31" s="12">
        <v>-19.11</v>
      </c>
      <c r="H31" s="8">
        <v>-0.42476105801289171</v>
      </c>
      <c r="I31" s="4">
        <v>50</v>
      </c>
      <c r="J31" s="12">
        <v>-45.78</v>
      </c>
      <c r="K31" s="8">
        <v>-1.0175594576572571</v>
      </c>
      <c r="L31" s="6">
        <v>72.099999999999994</v>
      </c>
      <c r="M31" s="2" t="s">
        <v>104</v>
      </c>
      <c r="N31" s="13" t="s">
        <v>66</v>
      </c>
      <c r="O31" s="13" t="s">
        <v>66</v>
      </c>
    </row>
    <row r="32" spans="1:16" x14ac:dyDescent="0.3">
      <c r="A32" s="2">
        <v>5</v>
      </c>
      <c r="B32" s="3" t="s">
        <v>21</v>
      </c>
      <c r="C32" s="4">
        <v>34.99</v>
      </c>
      <c r="D32" s="4">
        <v>28.89</v>
      </c>
      <c r="E32" s="4">
        <v>1.31</v>
      </c>
      <c r="F32" s="4">
        <v>23.33</v>
      </c>
      <c r="G32" s="12">
        <v>-18.54</v>
      </c>
      <c r="H32" s="8">
        <v>-0.52986567590740208</v>
      </c>
      <c r="I32" s="4">
        <v>50</v>
      </c>
      <c r="J32" s="12">
        <v>-45.21</v>
      </c>
      <c r="K32" s="8">
        <v>-1.292083452414976</v>
      </c>
      <c r="L32" s="6">
        <v>60.3</v>
      </c>
      <c r="M32" s="2" t="s">
        <v>103</v>
      </c>
      <c r="N32" s="13" t="s">
        <v>66</v>
      </c>
      <c r="O32" s="13" t="s">
        <v>66</v>
      </c>
    </row>
    <row r="33" spans="1:15" x14ac:dyDescent="0.3">
      <c r="A33" s="2">
        <v>6</v>
      </c>
      <c r="B33" s="3" t="s">
        <v>23</v>
      </c>
      <c r="C33" s="4">
        <v>39.99</v>
      </c>
      <c r="D33" s="4">
        <v>30.34</v>
      </c>
      <c r="E33" s="4">
        <v>1.46</v>
      </c>
      <c r="F33" s="4">
        <v>23.33</v>
      </c>
      <c r="G33" s="12">
        <v>-15.14</v>
      </c>
      <c r="H33" s="8">
        <v>-0.37859464866216552</v>
      </c>
      <c r="I33" s="4">
        <v>50</v>
      </c>
      <c r="J33" s="12">
        <v>-41.81</v>
      </c>
      <c r="K33" s="8">
        <v>-1.0455113778444609</v>
      </c>
      <c r="L33" s="6">
        <v>61.96</v>
      </c>
      <c r="M33" s="2" t="s">
        <v>105</v>
      </c>
      <c r="N33" s="13" t="s">
        <v>66</v>
      </c>
      <c r="O33" s="13" t="s">
        <v>66</v>
      </c>
    </row>
    <row r="34" spans="1:15" x14ac:dyDescent="0.3">
      <c r="A34" s="2">
        <v>7</v>
      </c>
      <c r="B34" s="3" t="s">
        <v>24</v>
      </c>
      <c r="C34" s="4">
        <v>39.99</v>
      </c>
      <c r="D34" s="4">
        <v>36.28</v>
      </c>
      <c r="E34" s="4">
        <v>1.46</v>
      </c>
      <c r="F34" s="4">
        <v>23.33</v>
      </c>
      <c r="G34" s="12">
        <v>-21.08</v>
      </c>
      <c r="H34" s="8">
        <v>-0.52713178294573637</v>
      </c>
      <c r="I34" s="4">
        <v>50</v>
      </c>
      <c r="J34" s="12">
        <v>-47.75</v>
      </c>
      <c r="K34" s="8">
        <v>-1.194048512128032</v>
      </c>
      <c r="L34" s="6">
        <v>68.78</v>
      </c>
      <c r="M34" s="2" t="s">
        <v>105</v>
      </c>
      <c r="N34" s="13" t="s">
        <v>66</v>
      </c>
      <c r="O34" s="13" t="s">
        <v>66</v>
      </c>
    </row>
    <row r="35" spans="1:15" x14ac:dyDescent="0.3">
      <c r="A35" s="2">
        <v>8</v>
      </c>
      <c r="B35" s="3" t="s">
        <v>25</v>
      </c>
      <c r="C35" s="4">
        <v>44.99</v>
      </c>
      <c r="D35" s="4">
        <v>36.67</v>
      </c>
      <c r="E35" s="4">
        <v>1.6</v>
      </c>
      <c r="F35" s="4">
        <v>23.33</v>
      </c>
      <c r="G35" s="12">
        <v>-16.61</v>
      </c>
      <c r="H35" s="8">
        <v>-0.36919315403422981</v>
      </c>
      <c r="I35" s="4">
        <v>50</v>
      </c>
      <c r="J35" s="12">
        <v>-43.28</v>
      </c>
      <c r="K35" s="8">
        <v>-0.96199155367859523</v>
      </c>
      <c r="L35" s="6">
        <v>69.23</v>
      </c>
      <c r="M35" s="2" t="s">
        <v>104</v>
      </c>
      <c r="N35" s="13" t="s">
        <v>66</v>
      </c>
      <c r="O35" s="13" t="s">
        <v>66</v>
      </c>
    </row>
    <row r="36" spans="1:15" x14ac:dyDescent="0.3">
      <c r="A36" s="2">
        <v>9</v>
      </c>
      <c r="B36" s="3" t="s">
        <v>27</v>
      </c>
      <c r="C36" s="4">
        <v>39.99</v>
      </c>
      <c r="D36" s="4">
        <v>37.71</v>
      </c>
      <c r="E36" s="4">
        <v>1.46</v>
      </c>
      <c r="F36" s="4">
        <v>23.33</v>
      </c>
      <c r="G36" s="12">
        <v>-22.51</v>
      </c>
      <c r="H36" s="8">
        <v>-0.5628907226806702</v>
      </c>
      <c r="I36" s="4">
        <v>50</v>
      </c>
      <c r="J36" s="12">
        <v>-49.18</v>
      </c>
      <c r="K36" s="8">
        <v>-1.229807451862966</v>
      </c>
      <c r="L36" s="6">
        <v>70.42</v>
      </c>
      <c r="M36" s="2" t="s">
        <v>105</v>
      </c>
      <c r="N36" s="13" t="s">
        <v>66</v>
      </c>
      <c r="O36" s="13" t="s">
        <v>66</v>
      </c>
    </row>
    <row r="37" spans="1:15" x14ac:dyDescent="0.3">
      <c r="A37" s="2">
        <v>10</v>
      </c>
      <c r="B37" s="3" t="s">
        <v>28</v>
      </c>
      <c r="C37" s="4">
        <v>44.99</v>
      </c>
      <c r="D37" s="4">
        <v>38.119999999999997</v>
      </c>
      <c r="E37" s="4">
        <v>1.6</v>
      </c>
      <c r="F37" s="4">
        <v>23.33</v>
      </c>
      <c r="G37" s="12">
        <v>-18.059999999999999</v>
      </c>
      <c r="H37" s="8">
        <v>-0.40142253834185371</v>
      </c>
      <c r="I37" s="4">
        <v>50</v>
      </c>
      <c r="J37" s="12">
        <v>-44.73</v>
      </c>
      <c r="K37" s="8">
        <v>-0.99422093798621902</v>
      </c>
      <c r="L37" s="6">
        <v>70.900000000000006</v>
      </c>
      <c r="M37" s="2" t="s">
        <v>104</v>
      </c>
      <c r="N37" s="13" t="s">
        <v>66</v>
      </c>
      <c r="O37" s="13" t="s">
        <v>66</v>
      </c>
    </row>
  </sheetData>
  <mergeCells count="5">
    <mergeCell ref="A4:H4"/>
    <mergeCell ref="A1:P1"/>
    <mergeCell ref="A12:P12"/>
    <mergeCell ref="A26:P26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E23" sqref="E23"/>
    </sheetView>
  </sheetViews>
  <sheetFormatPr defaultRowHeight="14.4" x14ac:dyDescent="0.3"/>
  <cols>
    <col min="1" max="1" width="26" customWidth="1"/>
    <col min="2" max="2" width="14" customWidth="1"/>
    <col min="3" max="3" width="10" customWidth="1"/>
    <col min="4" max="4" width="12" customWidth="1"/>
    <col min="5" max="5" width="28" customWidth="1"/>
    <col min="6" max="6" width="14" customWidth="1"/>
    <col min="7" max="7" width="20" customWidth="1"/>
    <col min="8" max="9" width="14" customWidth="1"/>
  </cols>
  <sheetData>
    <row r="1" spans="1:9" ht="17.399999999999999" x14ac:dyDescent="0.3">
      <c r="A1" s="27" t="s">
        <v>107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5" t="s">
        <v>108</v>
      </c>
      <c r="B2" s="26"/>
      <c r="C2" s="26"/>
      <c r="D2" s="26"/>
      <c r="E2" s="26"/>
      <c r="F2" s="26"/>
      <c r="G2" s="26"/>
      <c r="H2" s="26"/>
      <c r="I2" s="26"/>
    </row>
    <row r="4" spans="1:9" ht="28.2" x14ac:dyDescent="0.3">
      <c r="A4" s="1" t="s">
        <v>109</v>
      </c>
      <c r="B4" s="1" t="s">
        <v>110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  <c r="H4" s="1" t="s">
        <v>116</v>
      </c>
      <c r="I4" s="1" t="s">
        <v>117</v>
      </c>
    </row>
    <row r="5" spans="1:9" x14ac:dyDescent="0.3">
      <c r="A5" s="7" t="s">
        <v>118</v>
      </c>
      <c r="B5" s="14">
        <v>33100</v>
      </c>
      <c r="C5" s="15">
        <v>0.34</v>
      </c>
      <c r="D5" s="16">
        <v>1</v>
      </c>
      <c r="E5" s="3" t="s">
        <v>119</v>
      </c>
      <c r="F5" s="2" t="s">
        <v>120</v>
      </c>
      <c r="G5" s="7" t="s">
        <v>121</v>
      </c>
      <c r="H5" s="15">
        <v>22.67</v>
      </c>
      <c r="I5" s="17" t="s">
        <v>122</v>
      </c>
    </row>
    <row r="6" spans="1:9" x14ac:dyDescent="0.3">
      <c r="A6" s="3" t="s">
        <v>123</v>
      </c>
      <c r="B6" s="14">
        <v>14800</v>
      </c>
      <c r="C6" s="15">
        <v>0.32</v>
      </c>
      <c r="D6" s="16">
        <v>1</v>
      </c>
      <c r="E6" s="3" t="s">
        <v>28</v>
      </c>
      <c r="F6" s="2" t="s">
        <v>124</v>
      </c>
      <c r="G6" s="3" t="s">
        <v>125</v>
      </c>
      <c r="H6" s="15">
        <v>21.33</v>
      </c>
      <c r="I6" s="17" t="s">
        <v>102</v>
      </c>
    </row>
    <row r="7" spans="1:9" x14ac:dyDescent="0.3">
      <c r="A7" s="3" t="s">
        <v>126</v>
      </c>
      <c r="B7" s="14">
        <v>9900</v>
      </c>
      <c r="C7" s="15">
        <v>0.35</v>
      </c>
      <c r="D7" s="16">
        <v>1</v>
      </c>
      <c r="E7" s="3" t="s">
        <v>127</v>
      </c>
      <c r="F7" s="2" t="s">
        <v>128</v>
      </c>
      <c r="G7" s="3" t="s">
        <v>129</v>
      </c>
      <c r="H7" s="15">
        <v>23.33</v>
      </c>
      <c r="I7" s="18" t="s">
        <v>104</v>
      </c>
    </row>
    <row r="8" spans="1:9" x14ac:dyDescent="0.3">
      <c r="A8" s="3" t="s">
        <v>130</v>
      </c>
      <c r="B8" s="14">
        <v>9900</v>
      </c>
      <c r="C8" s="15">
        <v>0.28000000000000003</v>
      </c>
      <c r="D8" s="16">
        <v>1</v>
      </c>
      <c r="E8" s="3" t="s">
        <v>131</v>
      </c>
      <c r="F8" s="2" t="s">
        <v>132</v>
      </c>
      <c r="G8" s="3" t="s">
        <v>133</v>
      </c>
      <c r="H8" s="15">
        <v>18.670000000000002</v>
      </c>
      <c r="I8" s="17" t="s">
        <v>134</v>
      </c>
    </row>
    <row r="9" spans="1:9" x14ac:dyDescent="0.3">
      <c r="A9" s="3" t="s">
        <v>135</v>
      </c>
      <c r="B9" s="14">
        <v>6600</v>
      </c>
      <c r="C9" s="15">
        <v>0.28000000000000003</v>
      </c>
      <c r="D9" s="16">
        <v>1</v>
      </c>
      <c r="E9" s="3" t="s">
        <v>136</v>
      </c>
      <c r="F9" s="2" t="s">
        <v>120</v>
      </c>
      <c r="G9" s="3" t="s">
        <v>137</v>
      </c>
      <c r="H9" s="15">
        <v>18.670000000000002</v>
      </c>
      <c r="I9" s="17" t="s">
        <v>134</v>
      </c>
    </row>
    <row r="10" spans="1:9" x14ac:dyDescent="0.3">
      <c r="A10" s="7" t="s">
        <v>138</v>
      </c>
      <c r="B10" s="14">
        <v>3600</v>
      </c>
      <c r="C10" s="15">
        <v>0.39</v>
      </c>
      <c r="D10" s="16">
        <v>1</v>
      </c>
      <c r="E10" s="3" t="s">
        <v>15</v>
      </c>
      <c r="F10" s="2" t="s">
        <v>139</v>
      </c>
      <c r="G10" s="7" t="s">
        <v>140</v>
      </c>
      <c r="H10" s="15">
        <v>26</v>
      </c>
      <c r="I10" s="18" t="s">
        <v>105</v>
      </c>
    </row>
    <row r="11" spans="1:9" x14ac:dyDescent="0.3">
      <c r="A11" s="7" t="s">
        <v>141</v>
      </c>
      <c r="B11" s="14">
        <v>2900</v>
      </c>
      <c r="C11" s="15">
        <v>0.25</v>
      </c>
      <c r="D11" s="16">
        <v>1</v>
      </c>
      <c r="E11" s="3" t="s">
        <v>27</v>
      </c>
      <c r="F11" s="2" t="s">
        <v>139</v>
      </c>
      <c r="G11" s="7" t="s">
        <v>140</v>
      </c>
      <c r="H11" s="15">
        <v>16.670000000000002</v>
      </c>
      <c r="I11" s="17" t="s">
        <v>142</v>
      </c>
    </row>
    <row r="12" spans="1:9" x14ac:dyDescent="0.3">
      <c r="A12" s="3" t="s">
        <v>143</v>
      </c>
      <c r="B12" s="14">
        <v>2900</v>
      </c>
      <c r="C12" s="15">
        <v>0.45</v>
      </c>
      <c r="D12" s="16">
        <v>1</v>
      </c>
      <c r="E12" s="3" t="s">
        <v>144</v>
      </c>
      <c r="F12" s="2" t="s">
        <v>124</v>
      </c>
      <c r="G12" s="3" t="s">
        <v>145</v>
      </c>
      <c r="H12" s="15">
        <v>30</v>
      </c>
      <c r="I12" s="18" t="s">
        <v>103</v>
      </c>
    </row>
    <row r="13" spans="1:9" x14ac:dyDescent="0.3">
      <c r="A13" s="7" t="s">
        <v>146</v>
      </c>
      <c r="B13" s="14">
        <v>2900</v>
      </c>
      <c r="C13" s="15">
        <v>0.33</v>
      </c>
      <c r="D13" s="16">
        <v>1</v>
      </c>
      <c r="E13" s="3" t="s">
        <v>147</v>
      </c>
      <c r="F13" s="2" t="s">
        <v>120</v>
      </c>
      <c r="G13" s="7" t="s">
        <v>121</v>
      </c>
      <c r="H13" s="15">
        <v>22</v>
      </c>
      <c r="I13" s="17" t="s">
        <v>122</v>
      </c>
    </row>
    <row r="14" spans="1:9" x14ac:dyDescent="0.3">
      <c r="A14" s="7" t="s">
        <v>148</v>
      </c>
      <c r="B14" s="14">
        <v>1900</v>
      </c>
      <c r="C14" s="15">
        <v>0.39</v>
      </c>
      <c r="D14" s="16">
        <v>0.92</v>
      </c>
      <c r="E14" s="3" t="s">
        <v>149</v>
      </c>
      <c r="F14" s="2" t="s">
        <v>120</v>
      </c>
      <c r="G14" s="7" t="s">
        <v>150</v>
      </c>
      <c r="H14" s="15">
        <v>26</v>
      </c>
      <c r="I14" s="18" t="s">
        <v>105</v>
      </c>
    </row>
    <row r="15" spans="1:9" x14ac:dyDescent="0.3">
      <c r="A15" s="7" t="s">
        <v>151</v>
      </c>
      <c r="B15" s="14">
        <v>1900</v>
      </c>
      <c r="C15" s="15">
        <v>0.25</v>
      </c>
      <c r="D15" s="16">
        <v>1</v>
      </c>
      <c r="E15" s="3" t="s">
        <v>21</v>
      </c>
      <c r="F15" s="2" t="s">
        <v>139</v>
      </c>
      <c r="G15" s="7" t="s">
        <v>150</v>
      </c>
      <c r="H15" s="15">
        <v>16.670000000000002</v>
      </c>
      <c r="I15" s="17" t="s">
        <v>142</v>
      </c>
    </row>
    <row r="16" spans="1:9" x14ac:dyDescent="0.3">
      <c r="A16" s="3" t="s">
        <v>152</v>
      </c>
      <c r="B16" s="14">
        <v>1600</v>
      </c>
      <c r="C16" s="15">
        <v>0.33</v>
      </c>
      <c r="D16" s="16">
        <v>1</v>
      </c>
      <c r="E16" s="3" t="s">
        <v>153</v>
      </c>
      <c r="F16" s="2" t="s">
        <v>154</v>
      </c>
      <c r="G16" s="3" t="s">
        <v>155</v>
      </c>
      <c r="H16" s="15">
        <v>22</v>
      </c>
      <c r="I16" s="17" t="s">
        <v>122</v>
      </c>
    </row>
    <row r="17" spans="1:9" x14ac:dyDescent="0.3">
      <c r="A17" s="3" t="s">
        <v>156</v>
      </c>
      <c r="B17" s="14">
        <v>880</v>
      </c>
      <c r="C17" s="15">
        <v>0.28000000000000003</v>
      </c>
      <c r="D17" s="16">
        <v>1</v>
      </c>
      <c r="E17" s="3" t="s">
        <v>157</v>
      </c>
      <c r="F17" s="2" t="s">
        <v>158</v>
      </c>
      <c r="G17" s="3" t="s">
        <v>159</v>
      </c>
      <c r="H17" s="15">
        <v>18.670000000000002</v>
      </c>
      <c r="I17" s="17" t="s">
        <v>134</v>
      </c>
    </row>
    <row r="18" spans="1:9" x14ac:dyDescent="0.3">
      <c r="A18" s="3" t="s">
        <v>160</v>
      </c>
      <c r="B18" s="14">
        <v>720</v>
      </c>
      <c r="C18" s="15">
        <v>0.38</v>
      </c>
      <c r="D18" s="16">
        <v>1</v>
      </c>
      <c r="E18" s="3" t="s">
        <v>144</v>
      </c>
      <c r="F18" s="2" t="s">
        <v>124</v>
      </c>
      <c r="G18" s="3" t="s">
        <v>145</v>
      </c>
      <c r="H18" s="15">
        <v>25.33</v>
      </c>
      <c r="I18" s="18" t="s">
        <v>161</v>
      </c>
    </row>
    <row r="19" spans="1:9" x14ac:dyDescent="0.3">
      <c r="A19" s="3" t="s">
        <v>162</v>
      </c>
      <c r="B19" s="14">
        <v>480</v>
      </c>
      <c r="C19" s="15">
        <v>0.66</v>
      </c>
      <c r="D19" s="16">
        <v>1</v>
      </c>
      <c r="E19" s="3" t="s">
        <v>163</v>
      </c>
      <c r="F19" s="2" t="s">
        <v>139</v>
      </c>
      <c r="G19" s="3" t="s">
        <v>140</v>
      </c>
      <c r="H19" s="15">
        <v>44</v>
      </c>
      <c r="I19" s="19" t="s">
        <v>164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abSelected="1" workbookViewId="0">
      <selection activeCell="C23" sqref="C23"/>
    </sheetView>
  </sheetViews>
  <sheetFormatPr defaultRowHeight="14.4" x14ac:dyDescent="0.3"/>
  <cols>
    <col min="1" max="1" width="28" customWidth="1"/>
    <col min="2" max="3" width="36" customWidth="1"/>
    <col min="4" max="4" width="14" customWidth="1"/>
  </cols>
  <sheetData>
    <row r="1" spans="1:8" ht="17.399999999999999" x14ac:dyDescent="0.3">
      <c r="A1" s="27" t="s">
        <v>165</v>
      </c>
      <c r="B1" s="26"/>
      <c r="C1" s="26"/>
      <c r="D1" s="26"/>
      <c r="E1" s="26"/>
      <c r="F1" s="26"/>
      <c r="G1" s="26"/>
      <c r="H1" s="26"/>
    </row>
    <row r="3" spans="1:8" x14ac:dyDescent="0.3">
      <c r="A3" s="1" t="s">
        <v>166</v>
      </c>
      <c r="B3" s="1" t="s">
        <v>167</v>
      </c>
      <c r="C3" s="1" t="s">
        <v>168</v>
      </c>
      <c r="D3" s="1" t="s">
        <v>169</v>
      </c>
    </row>
    <row r="4" spans="1:8" x14ac:dyDescent="0.3">
      <c r="A4" s="7" t="s">
        <v>170</v>
      </c>
      <c r="B4" s="3" t="s">
        <v>171</v>
      </c>
      <c r="C4" s="3" t="s">
        <v>172</v>
      </c>
      <c r="D4" s="20" t="s">
        <v>167</v>
      </c>
    </row>
    <row r="5" spans="1:8" x14ac:dyDescent="0.3">
      <c r="A5" s="7" t="s">
        <v>173</v>
      </c>
      <c r="B5" s="3" t="s">
        <v>174</v>
      </c>
      <c r="C5" s="3" t="s">
        <v>175</v>
      </c>
      <c r="D5" s="21" t="s">
        <v>176</v>
      </c>
    </row>
    <row r="6" spans="1:8" x14ac:dyDescent="0.3">
      <c r="A6" s="7" t="s">
        <v>177</v>
      </c>
      <c r="B6" s="3" t="s">
        <v>178</v>
      </c>
      <c r="C6" s="3" t="s">
        <v>179</v>
      </c>
      <c r="D6" s="20" t="s">
        <v>167</v>
      </c>
    </row>
    <row r="7" spans="1:8" x14ac:dyDescent="0.3">
      <c r="A7" s="7" t="s">
        <v>180</v>
      </c>
      <c r="B7" s="3" t="s">
        <v>181</v>
      </c>
      <c r="C7" s="3" t="s">
        <v>182</v>
      </c>
      <c r="D7" s="20" t="s">
        <v>167</v>
      </c>
    </row>
    <row r="8" spans="1:8" x14ac:dyDescent="0.3">
      <c r="A8" s="7" t="s">
        <v>183</v>
      </c>
      <c r="B8" s="3" t="s">
        <v>184</v>
      </c>
      <c r="C8" s="3" t="s">
        <v>185</v>
      </c>
      <c r="D8" s="20" t="s">
        <v>167</v>
      </c>
    </row>
    <row r="9" spans="1:8" x14ac:dyDescent="0.3">
      <c r="A9" s="7" t="s">
        <v>186</v>
      </c>
      <c r="B9" s="3" t="s">
        <v>187</v>
      </c>
      <c r="C9" s="3" t="s">
        <v>188</v>
      </c>
      <c r="D9" s="20" t="s">
        <v>167</v>
      </c>
    </row>
    <row r="10" spans="1:8" x14ac:dyDescent="0.3">
      <c r="A10" s="7" t="s">
        <v>189</v>
      </c>
      <c r="B10" s="3" t="s">
        <v>190</v>
      </c>
      <c r="C10" s="3" t="s">
        <v>191</v>
      </c>
      <c r="D10" s="20" t="s">
        <v>167</v>
      </c>
    </row>
    <row r="11" spans="1:8" x14ac:dyDescent="0.3">
      <c r="A11" s="7" t="s">
        <v>192</v>
      </c>
      <c r="B11" s="3" t="s">
        <v>193</v>
      </c>
      <c r="C11" s="3" t="s">
        <v>194</v>
      </c>
      <c r="D11" s="20" t="s">
        <v>167</v>
      </c>
    </row>
    <row r="12" spans="1:8" x14ac:dyDescent="0.3">
      <c r="A12" s="7" t="s">
        <v>195</v>
      </c>
      <c r="B12" s="3" t="s">
        <v>196</v>
      </c>
      <c r="C12" s="3" t="s">
        <v>197</v>
      </c>
      <c r="D12" s="20" t="s">
        <v>167</v>
      </c>
    </row>
    <row r="13" spans="1:8" x14ac:dyDescent="0.3">
      <c r="A13" s="7" t="s">
        <v>198</v>
      </c>
      <c r="B13" s="3" t="s">
        <v>199</v>
      </c>
      <c r="C13" s="3" t="s">
        <v>200</v>
      </c>
      <c r="D13" s="21" t="s">
        <v>176</v>
      </c>
    </row>
    <row r="14" spans="1:8" x14ac:dyDescent="0.3">
      <c r="A14" s="7" t="s">
        <v>201</v>
      </c>
      <c r="B14" s="3" t="s">
        <v>202</v>
      </c>
      <c r="C14" s="3" t="s">
        <v>203</v>
      </c>
      <c r="D14" s="21" t="s">
        <v>176</v>
      </c>
    </row>
    <row r="15" spans="1:8" x14ac:dyDescent="0.3">
      <c r="A15" s="7" t="s">
        <v>204</v>
      </c>
      <c r="B15" s="3" t="s">
        <v>205</v>
      </c>
      <c r="C15" s="3" t="s">
        <v>206</v>
      </c>
      <c r="D15" s="20" t="s">
        <v>167</v>
      </c>
    </row>
    <row r="16" spans="1:8" x14ac:dyDescent="0.3">
      <c r="A16" s="7" t="s">
        <v>207</v>
      </c>
      <c r="B16" s="3" t="s">
        <v>208</v>
      </c>
      <c r="C16" s="3" t="s">
        <v>209</v>
      </c>
      <c r="D16" s="20" t="s">
        <v>167</v>
      </c>
    </row>
    <row r="17" spans="1:4" x14ac:dyDescent="0.3">
      <c r="A17" s="7" t="s">
        <v>210</v>
      </c>
      <c r="B17" s="3" t="s">
        <v>211</v>
      </c>
      <c r="C17" s="3" t="s">
        <v>212</v>
      </c>
      <c r="D17" s="20" t="s">
        <v>167</v>
      </c>
    </row>
    <row r="19" spans="1:4" ht="15.6" x14ac:dyDescent="0.3">
      <c r="A19" s="22" t="s">
        <v>213</v>
      </c>
      <c r="B19" s="23" t="s">
        <v>214</v>
      </c>
      <c r="C19" s="24" t="s">
        <v>215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topLeftCell="A22" workbookViewId="0">
      <selection activeCell="G35" sqref="G35"/>
    </sheetView>
  </sheetViews>
  <sheetFormatPr defaultRowHeight="14.4" x14ac:dyDescent="0.3"/>
  <cols>
    <col min="1" max="1" width="28" customWidth="1"/>
    <col min="2" max="5" width="16" customWidth="1"/>
    <col min="6" max="6" width="14" customWidth="1"/>
  </cols>
  <sheetData>
    <row r="1" spans="1:6" ht="21" x14ac:dyDescent="0.4">
      <c r="A1" s="38" t="s">
        <v>216</v>
      </c>
      <c r="B1" s="26"/>
      <c r="C1" s="26"/>
      <c r="D1" s="26"/>
      <c r="E1" s="26"/>
      <c r="F1" s="26"/>
    </row>
    <row r="3" spans="1:6" ht="15.6" x14ac:dyDescent="0.3">
      <c r="A3" s="31" t="s">
        <v>217</v>
      </c>
      <c r="B3" s="26"/>
      <c r="C3" s="26"/>
      <c r="D3" s="26"/>
      <c r="E3" s="26"/>
      <c r="F3" s="26"/>
    </row>
    <row r="5" spans="1:6" ht="16.8" x14ac:dyDescent="0.3">
      <c r="A5" s="35" t="s">
        <v>218</v>
      </c>
      <c r="B5" s="26"/>
      <c r="C5" s="26"/>
      <c r="D5" s="26"/>
      <c r="E5" s="26"/>
      <c r="F5" s="26"/>
    </row>
    <row r="6" spans="1:6" x14ac:dyDescent="0.3">
      <c r="A6" s="32" t="s">
        <v>219</v>
      </c>
      <c r="B6" s="33"/>
      <c r="C6" s="33"/>
      <c r="D6" s="33"/>
      <c r="E6" s="33"/>
      <c r="F6" s="34"/>
    </row>
    <row r="7" spans="1:6" x14ac:dyDescent="0.3">
      <c r="B7" s="29" t="s">
        <v>220</v>
      </c>
      <c r="C7" s="26"/>
      <c r="D7" s="26"/>
      <c r="E7" s="26"/>
      <c r="F7" s="26"/>
    </row>
    <row r="8" spans="1:6" x14ac:dyDescent="0.3">
      <c r="B8" s="29" t="s">
        <v>221</v>
      </c>
      <c r="C8" s="26"/>
      <c r="D8" s="26"/>
      <c r="E8" s="26"/>
      <c r="F8" s="26"/>
    </row>
    <row r="9" spans="1:6" x14ac:dyDescent="0.3">
      <c r="B9" s="29" t="s">
        <v>222</v>
      </c>
      <c r="C9" s="26"/>
      <c r="D9" s="26"/>
      <c r="E9" s="26"/>
      <c r="F9" s="26"/>
    </row>
    <row r="10" spans="1:6" x14ac:dyDescent="0.3">
      <c r="A10" s="32" t="s">
        <v>223</v>
      </c>
      <c r="B10" s="33"/>
      <c r="C10" s="33"/>
      <c r="D10" s="33"/>
      <c r="E10" s="33"/>
      <c r="F10" s="34"/>
    </row>
    <row r="11" spans="1:6" x14ac:dyDescent="0.3">
      <c r="B11" s="29" t="s">
        <v>224</v>
      </c>
      <c r="C11" s="26"/>
      <c r="D11" s="26"/>
      <c r="E11" s="26"/>
      <c r="F11" s="26"/>
    </row>
    <row r="12" spans="1:6" x14ac:dyDescent="0.3">
      <c r="B12" s="29" t="s">
        <v>225</v>
      </c>
      <c r="C12" s="26"/>
      <c r="D12" s="26"/>
      <c r="E12" s="26"/>
      <c r="F12" s="26"/>
    </row>
    <row r="13" spans="1:6" x14ac:dyDescent="0.3">
      <c r="B13" s="29" t="s">
        <v>226</v>
      </c>
      <c r="C13" s="26"/>
      <c r="D13" s="26"/>
      <c r="E13" s="26"/>
      <c r="F13" s="26"/>
    </row>
    <row r="14" spans="1:6" x14ac:dyDescent="0.3">
      <c r="A14" s="32" t="s">
        <v>227</v>
      </c>
      <c r="B14" s="33"/>
      <c r="C14" s="33"/>
      <c r="D14" s="33"/>
      <c r="E14" s="33"/>
      <c r="F14" s="34"/>
    </row>
    <row r="15" spans="1:6" x14ac:dyDescent="0.3">
      <c r="B15" s="29" t="s">
        <v>228</v>
      </c>
      <c r="C15" s="26"/>
      <c r="D15" s="26"/>
      <c r="E15" s="26"/>
      <c r="F15" s="26"/>
    </row>
    <row r="16" spans="1:6" x14ac:dyDescent="0.3">
      <c r="B16" s="29" t="s">
        <v>229</v>
      </c>
      <c r="C16" s="26"/>
      <c r="D16" s="26"/>
      <c r="E16" s="26"/>
      <c r="F16" s="26"/>
    </row>
    <row r="17" spans="1:6" x14ac:dyDescent="0.3">
      <c r="B17" s="29" t="s">
        <v>230</v>
      </c>
      <c r="C17" s="26"/>
      <c r="D17" s="26"/>
      <c r="E17" s="26"/>
      <c r="F17" s="26"/>
    </row>
    <row r="18" spans="1:6" x14ac:dyDescent="0.3">
      <c r="B18" s="29" t="s">
        <v>231</v>
      </c>
      <c r="C18" s="26"/>
      <c r="D18" s="26"/>
      <c r="E18" s="26"/>
      <c r="F18" s="26"/>
    </row>
    <row r="20" spans="1:6" ht="16.8" x14ac:dyDescent="0.3">
      <c r="A20" s="36" t="s">
        <v>232</v>
      </c>
      <c r="B20" s="26"/>
      <c r="C20" s="26"/>
      <c r="D20" s="26"/>
      <c r="E20" s="26"/>
      <c r="F20" s="26"/>
    </row>
    <row r="21" spans="1:6" x14ac:dyDescent="0.3">
      <c r="B21" s="29" t="s">
        <v>233</v>
      </c>
      <c r="C21" s="26"/>
      <c r="D21" s="26"/>
      <c r="E21" s="26"/>
      <c r="F21" s="26"/>
    </row>
    <row r="22" spans="1:6" x14ac:dyDescent="0.3">
      <c r="B22" s="29" t="s">
        <v>234</v>
      </c>
      <c r="C22" s="26"/>
      <c r="D22" s="26"/>
      <c r="E22" s="26"/>
      <c r="F22" s="26"/>
    </row>
    <row r="23" spans="1:6" x14ac:dyDescent="0.3">
      <c r="B23" s="29" t="s">
        <v>235</v>
      </c>
      <c r="C23" s="26"/>
      <c r="D23" s="26"/>
      <c r="E23" s="26"/>
      <c r="F23" s="26"/>
    </row>
    <row r="24" spans="1:6" x14ac:dyDescent="0.3">
      <c r="B24" s="29" t="s">
        <v>236</v>
      </c>
      <c r="C24" s="26"/>
      <c r="D24" s="26"/>
      <c r="E24" s="26"/>
      <c r="F24" s="26"/>
    </row>
    <row r="25" spans="1:6" x14ac:dyDescent="0.3">
      <c r="B25" s="29" t="s">
        <v>237</v>
      </c>
      <c r="C25" s="26"/>
      <c r="D25" s="26"/>
      <c r="E25" s="26"/>
      <c r="F25" s="26"/>
    </row>
    <row r="27" spans="1:6" x14ac:dyDescent="0.3">
      <c r="A27" s="30" t="s">
        <v>238</v>
      </c>
      <c r="B27" s="26"/>
      <c r="C27" s="26"/>
      <c r="D27" s="26"/>
      <c r="E27" s="26"/>
      <c r="F27" s="26"/>
    </row>
    <row r="28" spans="1:6" x14ac:dyDescent="0.3">
      <c r="B28" s="29" t="s">
        <v>239</v>
      </c>
      <c r="C28" s="26"/>
      <c r="D28" s="26"/>
      <c r="E28" s="26"/>
      <c r="F28" s="26"/>
    </row>
    <row r="29" spans="1:6" x14ac:dyDescent="0.3">
      <c r="B29" s="29" t="s">
        <v>240</v>
      </c>
      <c r="C29" s="26"/>
      <c r="D29" s="26"/>
      <c r="E29" s="26"/>
      <c r="F29" s="26"/>
    </row>
    <row r="30" spans="1:6" x14ac:dyDescent="0.3">
      <c r="B30" s="29" t="s">
        <v>241</v>
      </c>
      <c r="C30" s="26"/>
      <c r="D30" s="26"/>
      <c r="E30" s="26"/>
      <c r="F30" s="26"/>
    </row>
    <row r="31" spans="1:6" x14ac:dyDescent="0.3">
      <c r="B31" s="29" t="s">
        <v>242</v>
      </c>
      <c r="C31" s="26"/>
      <c r="D31" s="26"/>
      <c r="E31" s="26"/>
      <c r="F31" s="26"/>
    </row>
    <row r="32" spans="1:6" x14ac:dyDescent="0.3">
      <c r="B32" s="29" t="s">
        <v>243</v>
      </c>
      <c r="C32" s="26"/>
      <c r="D32" s="26"/>
      <c r="E32" s="26"/>
      <c r="F32" s="26"/>
    </row>
    <row r="34" spans="1:6" ht="16.8" x14ac:dyDescent="0.3">
      <c r="A34" s="37" t="s">
        <v>244</v>
      </c>
      <c r="B34" s="26"/>
      <c r="C34" s="26"/>
      <c r="D34" s="26"/>
      <c r="E34" s="26"/>
      <c r="F34" s="26"/>
    </row>
    <row r="35" spans="1:6" ht="28.2" x14ac:dyDescent="0.3">
      <c r="A35" s="1" t="s">
        <v>245</v>
      </c>
      <c r="B35" s="1" t="s">
        <v>246</v>
      </c>
      <c r="C35" s="1" t="s">
        <v>247</v>
      </c>
      <c r="D35" s="1" t="s">
        <v>248</v>
      </c>
      <c r="E35" s="1" t="s">
        <v>249</v>
      </c>
    </row>
    <row r="36" spans="1:6" x14ac:dyDescent="0.3">
      <c r="A36" s="7" t="s">
        <v>250</v>
      </c>
      <c r="B36" s="2" t="s">
        <v>251</v>
      </c>
      <c r="C36" s="2" t="s">
        <v>252</v>
      </c>
      <c r="D36" s="2" t="s">
        <v>251</v>
      </c>
      <c r="E36" s="2" t="s">
        <v>252</v>
      </c>
    </row>
    <row r="37" spans="1:6" x14ac:dyDescent="0.3">
      <c r="A37" s="7" t="s">
        <v>253</v>
      </c>
      <c r="B37" s="2" t="s">
        <v>254</v>
      </c>
      <c r="C37" s="2" t="s">
        <v>255</v>
      </c>
      <c r="D37" s="2" t="s">
        <v>256</v>
      </c>
      <c r="E37" s="2" t="s">
        <v>257</v>
      </c>
    </row>
    <row r="38" spans="1:6" x14ac:dyDescent="0.3">
      <c r="A38" s="7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</row>
    <row r="39" spans="1:6" x14ac:dyDescent="0.3">
      <c r="A39" s="7" t="s">
        <v>263</v>
      </c>
      <c r="B39" s="2" t="s">
        <v>264</v>
      </c>
      <c r="C39" s="2" t="s">
        <v>265</v>
      </c>
      <c r="D39" s="2" t="s">
        <v>257</v>
      </c>
      <c r="E39" s="2" t="s">
        <v>257</v>
      </c>
    </row>
    <row r="40" spans="1:6" x14ac:dyDescent="0.3">
      <c r="A40" s="7" t="s">
        <v>266</v>
      </c>
      <c r="B40" s="2" t="s">
        <v>267</v>
      </c>
      <c r="C40" s="2" t="s">
        <v>268</v>
      </c>
      <c r="D40" s="2" t="s">
        <v>269</v>
      </c>
      <c r="E40" s="2" t="s">
        <v>270</v>
      </c>
    </row>
    <row r="41" spans="1:6" x14ac:dyDescent="0.3">
      <c r="A41" s="7" t="s">
        <v>271</v>
      </c>
      <c r="B41" s="2" t="s">
        <v>272</v>
      </c>
      <c r="C41" s="2" t="s">
        <v>272</v>
      </c>
      <c r="D41" s="2" t="s">
        <v>273</v>
      </c>
      <c r="E41" s="2" t="s">
        <v>273</v>
      </c>
    </row>
    <row r="42" spans="1:6" x14ac:dyDescent="0.3">
      <c r="A42" s="7" t="s">
        <v>274</v>
      </c>
      <c r="B42" s="2" t="s">
        <v>275</v>
      </c>
      <c r="C42" s="2" t="s">
        <v>276</v>
      </c>
      <c r="D42" s="2" t="s">
        <v>275</v>
      </c>
      <c r="E42" s="2" t="s">
        <v>276</v>
      </c>
    </row>
    <row r="43" spans="1:6" x14ac:dyDescent="0.3">
      <c r="A43" s="7" t="s">
        <v>277</v>
      </c>
      <c r="B43" s="2" t="s">
        <v>278</v>
      </c>
      <c r="C43" s="2" t="s">
        <v>278</v>
      </c>
      <c r="D43" s="2" t="s">
        <v>278</v>
      </c>
      <c r="E43" s="2" t="s">
        <v>278</v>
      </c>
    </row>
    <row r="44" spans="1:6" x14ac:dyDescent="0.3">
      <c r="A44" s="7" t="s">
        <v>279</v>
      </c>
      <c r="B44" s="2" t="s">
        <v>280</v>
      </c>
      <c r="C44" s="2" t="s">
        <v>280</v>
      </c>
      <c r="D44" s="2" t="s">
        <v>280</v>
      </c>
      <c r="E44" s="2" t="s">
        <v>280</v>
      </c>
    </row>
    <row r="45" spans="1:6" x14ac:dyDescent="0.3">
      <c r="A45" s="7" t="s">
        <v>281</v>
      </c>
      <c r="B45" s="2" t="s">
        <v>282</v>
      </c>
      <c r="C45" s="2" t="s">
        <v>282</v>
      </c>
      <c r="D45" s="2" t="s">
        <v>282</v>
      </c>
      <c r="E45" s="2" t="s">
        <v>282</v>
      </c>
    </row>
  </sheetData>
  <mergeCells count="29">
    <mergeCell ref="A1:F1"/>
    <mergeCell ref="A6:F6"/>
    <mergeCell ref="B32:F32"/>
    <mergeCell ref="A34:F34"/>
    <mergeCell ref="B9:F9"/>
    <mergeCell ref="B30:F30"/>
    <mergeCell ref="B24:F24"/>
    <mergeCell ref="B15:F15"/>
    <mergeCell ref="A3:F3"/>
    <mergeCell ref="B18:F18"/>
    <mergeCell ref="B21:F21"/>
    <mergeCell ref="B12:F12"/>
    <mergeCell ref="A14:F14"/>
    <mergeCell ref="A5:F5"/>
    <mergeCell ref="B11:F11"/>
    <mergeCell ref="B8:F8"/>
    <mergeCell ref="A20:F20"/>
    <mergeCell ref="B17:F17"/>
    <mergeCell ref="B13:F13"/>
    <mergeCell ref="A10:F10"/>
    <mergeCell ref="B7:F7"/>
    <mergeCell ref="B16:F16"/>
    <mergeCell ref="B25:F25"/>
    <mergeCell ref="A27:F27"/>
    <mergeCell ref="B31:F31"/>
    <mergeCell ref="B22:F22"/>
    <mergeCell ref="B23:F23"/>
    <mergeCell ref="B29:F29"/>
    <mergeCell ref="B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Landed Costs</vt:lpstr>
      <vt:lpstr>Etsy Channel</vt:lpstr>
      <vt:lpstr>Google Shopping</vt:lpstr>
      <vt:lpstr>Keyword Intelligence</vt:lpstr>
      <vt:lpstr>Channel Comparison</vt:lpstr>
      <vt:lpstr>Verdict &amp;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2026-02-26T21:32:18Z</dcterms:created>
  <dcterms:modified xsi:type="dcterms:W3CDTF">2026-02-26T23:18:06Z</dcterms:modified>
</cp:coreProperties>
</file>