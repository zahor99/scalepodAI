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ier Overview" sheetId="1" state="visible" r:id="rId3"/>
    <sheet name="Margin Analysis" sheetId="2" state="visible" r:id="rId4"/>
    <sheet name="API Comparison" sheetId="3" state="visible" r:id="rId5"/>
    <sheet name="Recommend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<sst xmlns="http://schemas.openxmlformats.org/spreadsheetml/2006/main" count="381" uniqueCount="241">
  <si>
    <t xml:space="preserve">Alternative AOP Suppliers — Research Report</t>
  </si>
  <si>
    <t xml:space="preserve">Beyond Printify / Printful / Gelato  •  Updated March 2026</t>
  </si>
  <si>
    <t xml:space="preserve">Supplier</t>
  </si>
  <si>
    <t xml:space="preserve">HQ / Fulfillment</t>
  </si>
  <si>
    <t xml:space="preserve">AOP Method</t>
  </si>
  <si>
    <t xml:space="preserve">API Access</t>
  </si>
  <si>
    <t xml:space="preserve">API Quality</t>
  </si>
  <si>
    <t xml:space="preserve">Etsy Integration</t>
  </si>
  <si>
    <t xml:space="preserve">Key AOP Products</t>
  </si>
  <si>
    <t xml:space="preserve">Production Time</t>
  </si>
  <si>
    <t xml:space="preserve">Shipping to US</t>
  </si>
  <si>
    <t xml:space="preserve">Notable Differentiator</t>
  </si>
  <si>
    <t xml:space="preserve">MWW On Demand</t>
  </si>
  <si>
    <t xml:space="preserve">US (Johnstown, PA)</t>
  </si>
  <si>
    <t xml:space="preserve">Dye-sublimation</t>
  </si>
  <si>
    <t xml:space="preserve">YES — JSON REST API</t>
  </si>
  <si>
    <t xml:space="preserve">★★★★☆ (Full order mgmt)</t>
  </si>
  <si>
    <t xml:space="preserve">Via Printify or direct</t>
  </si>
  <si>
    <t xml:space="preserve">AOP Hoodies, Tees, Sweatshirts, Dresses, Skirts, Leggings</t>
  </si>
  <si>
    <t xml:space="preserve">2-5 days</t>
  </si>
  <si>
    <t xml:space="preserve">Domestic (fast)</t>
  </si>
  <si>
    <t xml:space="preserve">THE manufacturer behind Printify's BP450. Go direct = cut out middleman markup.</t>
  </si>
  <si>
    <t xml:space="preserve">Gooten</t>
  </si>
  <si>
    <t xml:space="preserve">US (NY HQ, multi-facility)</t>
  </si>
  <si>
    <t xml:space="preserve">YES — Full REST API (free)</t>
  </si>
  <si>
    <t xml:space="preserve">★★★★★ (Best in class)</t>
  </si>
  <si>
    <t xml:space="preserve">Via Etsy API or manual</t>
  </si>
  <si>
    <t xml:space="preserve">AOP Hoodies, Zip Hoodies, Sweatshirts, Hooded Dresses, Joggers</t>
  </si>
  <si>
    <t xml:space="preserve">3-7 days</t>
  </si>
  <si>
    <t xml:space="preserve">Domestic</t>
  </si>
  <si>
    <t xml:space="preserve">Free API, VIM loyalty = volume discounts. Strong AOP hoodie catalog.</t>
  </si>
  <si>
    <t xml:space="preserve">CustomCat</t>
  </si>
  <si>
    <t xml:space="preserve">US (Saginaw, MI)</t>
  </si>
  <si>
    <t xml:space="preserve">DIGISOFT™ (DTG+DTF hybrid)</t>
  </si>
  <si>
    <t xml:space="preserve">YES — REST API</t>
  </si>
  <si>
    <t xml:space="preserve">★★★☆☆ (Enterprise tier best)</t>
  </si>
  <si>
    <t xml:space="preserve">Shopify/WooCommerce, manual Etsy</t>
  </si>
  <si>
    <t xml:space="preserve">Hoodies, Sweatshirts, Tees, Bags (NOT true AOP sublimation)</t>
  </si>
  <si>
    <t xml:space="preserve">48 hours!</t>
  </si>
  <si>
    <t xml:space="preserve">Domestic (fastest)</t>
  </si>
  <si>
    <t xml:space="preserve">48-hour production. BUT DIGISOFT ≠ true AOP sublimation — panel-limited printing.</t>
  </si>
  <si>
    <t xml:space="preserve">Subliminator</t>
  </si>
  <si>
    <t xml:space="preserve">US fulfillment (Israel HQ)</t>
  </si>
  <si>
    <t xml:space="preserve">Dye-sublimation (cut &amp; sew)</t>
  </si>
  <si>
    <t xml:space="preserve">LIMITED — Shopify app, order sync</t>
  </si>
  <si>
    <t xml:space="preserve">★★☆☆☆ (No public REST API)</t>
  </si>
  <si>
    <t xml:space="preserve">Not native — manual/CSV</t>
  </si>
  <si>
    <t xml:space="preserve">AOP Hoodies, Dresses, Sweatshirts, Joggers, Bomber Jackets, Skater Dresses</t>
  </si>
  <si>
    <t xml:space="preserve">3-5 days</t>
  </si>
  <si>
    <t xml:space="preserve">6-9 days (mixed fulfillment)</t>
  </si>
  <si>
    <t xml:space="preserve">True cut-and-sew AOP. Huge women's catalog (dresses, skater skirts). Low base costs.</t>
  </si>
  <si>
    <t xml:space="preserve">Merchize</t>
  </si>
  <si>
    <t xml:space="preserve">Vietnam + US + EU facilities</t>
  </si>
  <si>
    <t xml:space="preserve">★★★★☆ (Full CRUD)</t>
  </si>
  <si>
    <t xml:space="preserve">Native Etsy integration</t>
  </si>
  <si>
    <t xml:space="preserve">AOP Hoodies, Hoodie Dresses, Sweatshirts (light+mid), Tees, Leggings</t>
  </si>
  <si>
    <t xml:space="preserve">3-5 days (US facility)</t>
  </si>
  <si>
    <t xml:space="preserve">Domestic from US hub</t>
  </si>
  <si>
    <t xml:space="preserve">Cheapest AOP base costs in the market. $11.50 sweatshirt, $15.50 hoodie. API + Etsy native.</t>
  </si>
  <si>
    <t xml:space="preserve">AOP+</t>
  </si>
  <si>
    <t xml:space="preserve">UK (London, in-house)</t>
  </si>
  <si>
    <t xml:space="preserve">Dye-sublimation (organic options)</t>
  </si>
  <si>
    <t xml:space="preserve">LIMITED — Shopify app only</t>
  </si>
  <si>
    <t xml:space="preserve">★★☆☆☆ (No REST API)</t>
  </si>
  <si>
    <t xml:space="preserve">Native Etsy integration via app</t>
  </si>
  <si>
    <t xml:space="preserve">AOP Hoodies, Hoodie Dresses, Tees, Sweatshirts, Leggings, Crop Tops</t>
  </si>
  <si>
    <t xml:space="preserve">7-14 days (UK→US)</t>
  </si>
  <si>
    <t xml:space="preserve">Eco/organic options, 5000+ products. BUT UK-based = slow US shipping. Etsy-native.</t>
  </si>
  <si>
    <t xml:space="preserve">HugePOD</t>
  </si>
  <si>
    <t xml:space="preserve">China (Shenzhen)</t>
  </si>
  <si>
    <t xml:space="preserve">★★★☆☆ (Order-focused)</t>
  </si>
  <si>
    <t xml:space="preserve">Manual/CSV</t>
  </si>
  <si>
    <t xml:space="preserve">AOP Hoodie Dresses, Midi Dresses, Tank Dresses, Cami Dresses, Tees</t>
  </si>
  <si>
    <t xml:space="preserve">10-20 days (China→US)</t>
  </si>
  <si>
    <t xml:space="preserve">Biggest women's dress AOP catalog (19+ styles). Very cheap (&lt;$20 per dress). Slow shipping.</t>
  </si>
  <si>
    <t xml:space="preserve">PeaPrint</t>
  </si>
  <si>
    <t xml:space="preserve">China (multiple facilities)</t>
  </si>
  <si>
    <t xml:space="preserve">LIMITED — Shopify app</t>
  </si>
  <si>
    <t xml:space="preserve">Not native</t>
  </si>
  <si>
    <t xml:space="preserve">AOP Hoodies, V-Neck Hoodies, Dresses, 1000+ products</t>
  </si>
  <si>
    <t xml:space="preserve">7-15 days (China→US)</t>
  </si>
  <si>
    <t xml:space="preserve">25-35% cheaper than Printful. 1000+ women's products. No real API though.</t>
  </si>
  <si>
    <t xml:space="preserve">Prodigi</t>
  </si>
  <si>
    <t xml:space="preserve">UK + US + EU (multi-facility)</t>
  </si>
  <si>
    <t xml:space="preserve">YES — Print API (excellent)</t>
  </si>
  <si>
    <t xml:space="preserve">★★★★★ (Developer-first)</t>
  </si>
  <si>
    <t xml:space="preserve">Via API to any platform</t>
  </si>
  <si>
    <t xml:space="preserve">AOP Hoodies, Sweatshirts, Jackets, Women's Tees</t>
  </si>
  <si>
    <t xml:space="preserve">Developer-first Print API. Best docs. But smaller AOP apparel catalog than others.</t>
  </si>
  <si>
    <t xml:space="preserve">JetPrint</t>
  </si>
  <si>
    <t xml:space="preserve">China</t>
  </si>
  <si>
    <t xml:space="preserve">★★☆☆☆</t>
  </si>
  <si>
    <t xml:space="preserve">AOP Dresses, Swimsuits, Shoes, Accessories</t>
  </si>
  <si>
    <t xml:space="preserve">5-10 days</t>
  </si>
  <si>
    <t xml:space="preserve">10-20 days</t>
  </si>
  <si>
    <t xml:space="preserve">Unique niche items (shoes, swimwear). Pricier. Slow shipping.</t>
  </si>
  <si>
    <t xml:space="preserve">Awkward Styles</t>
  </si>
  <si>
    <t xml:space="preserve">US (Los Angeles, CA)</t>
  </si>
  <si>
    <t xml:space="preserve">Sublimation + DTG</t>
  </si>
  <si>
    <t xml:space="preserve">YES — REST API (basic auth)</t>
  </si>
  <si>
    <t xml:space="preserve">★★★☆☆ (Order CRUD)</t>
  </si>
  <si>
    <t xml:space="preserve">Manual</t>
  </si>
  <si>
    <t xml:space="preserve">AOP options limited — stronger on DTG. Hoodies, Tees</t>
  </si>
  <si>
    <t xml:space="preserve">LA-based. Has API. But AOP catalog is thin — better for DTG.</t>
  </si>
  <si>
    <t xml:space="preserve">AOP Margin Analysis — Target Products</t>
  </si>
  <si>
    <t xml:space="preserve">Sale prices based on your current strategy (perpetual 50% sale)  •  Shipping paid by buyer</t>
  </si>
  <si>
    <t xml:space="preserve">AOP HOODIES</t>
  </si>
  <si>
    <t xml:space="preserve">Base Cost (S-XL)</t>
  </si>
  <si>
    <t xml:space="preserve">Base Cost (2XL+)</t>
  </si>
  <si>
    <t xml:space="preserve">Listed Price</t>
  </si>
  <si>
    <t xml:space="preserve">Sale Price (50% off)</t>
  </si>
  <si>
    <t xml:space="preserve">Etsy Fee (~13%)</t>
  </si>
  <si>
    <t xml:space="preserve">Net Profit (S-XL)</t>
  </si>
  <si>
    <t xml:space="preserve">Margin %</t>
  </si>
  <si>
    <t xml:space="preserve">Notes</t>
  </si>
  <si>
    <t xml:space="preserve">MWW Direct (est.)</t>
  </si>
  <si>
    <t xml:space="preserve">Direct pricing ~15-20% less than via Printify. Must register for exact quote.</t>
  </si>
  <si>
    <t xml:space="preserve">MWW via Printify (BP450)</t>
  </si>
  <si>
    <t xml:space="preserve">Your current supplier. Known quantity.</t>
  </si>
  <si>
    <t xml:space="preserve">Est. from market data. VIM tiers drop $1.50/unit at volume.</t>
  </si>
  <si>
    <t xml:space="preserve">CustomCat (Pro $30/mo)</t>
  </si>
  <si>
    <t xml:space="preserve">⚠️ DIGISOFT not true AOP sublimation. Panel-limited, not edge-to-edge.</t>
  </si>
  <si>
    <t xml:space="preserve">True cut-and-sew AOP. Mixed US/intl fulfillment.</t>
  </si>
  <si>
    <t xml:space="preserve">Cheapest AOP hoodie. Quality TBD — Vietnam/US production.</t>
  </si>
  <si>
    <t xml:space="preserve">UK shipping adds 7-14 days to US. Eco options.</t>
  </si>
  <si>
    <t xml:space="preserve">AOP SWEATSHIRTS / CREWNECKS</t>
  </si>
  <si>
    <t xml:space="preserve">MWW via Printify (BP449)</t>
  </si>
  <si>
    <t xml:space="preserve">Your current mid-tier. Solid quality.</t>
  </si>
  <si>
    <t xml:space="preserve">Estimated. Check Gooten Admin for exact pricing.</t>
  </si>
  <si>
    <t xml:space="preserve">Good value. Cut-and-sew AOP.</t>
  </si>
  <si>
    <t xml:space="preserve">Absurdly cheap. Lightweight option $11.50, midweight ~$15.</t>
  </si>
  <si>
    <t xml:space="preserve">UK-based. Eco options available.</t>
  </si>
  <si>
    <t xml:space="preserve">CustomCat (Pro)</t>
  </si>
  <si>
    <t xml:space="preserve">⚠️ DIGISOFT — not true AOP.</t>
  </si>
  <si>
    <t xml:space="preserve">AOP DRESSES (Elegant Women — Hoodie Dress / Midi / Maxi)</t>
  </si>
  <si>
    <t xml:space="preserve">Yoycol — Elegant Long Dress</t>
  </si>
  <si>
    <t xml:space="preserve">Your current dress supplier. Best quality-to-price ratio.</t>
  </si>
  <si>
    <t xml:space="preserve">Yoycol — Slip Dress</t>
  </si>
  <si>
    <t xml:space="preserve">Entry-tier dress. Highest margin potential.</t>
  </si>
  <si>
    <t xml:space="preserve">Merchize — AOP Hoodie Dress</t>
  </si>
  <si>
    <t xml:space="preserve">Hoodie dress hybrid. Estimated pricing.</t>
  </si>
  <si>
    <t xml:space="preserve">AOP+ — Hoodie Dress</t>
  </si>
  <si>
    <t xml:space="preserve">UK-based. Cotton hoodie dress, eco option.</t>
  </si>
  <si>
    <t xml:space="preserve">HugePOD — Hoodie Dress</t>
  </si>
  <si>
    <t xml:space="preserve">Cheapest hoodie dress. 10-20 day shipping from China.</t>
  </si>
  <si>
    <t xml:space="preserve">HugePOD — Midi Cami Dress</t>
  </si>
  <si>
    <t xml:space="preserve">Split midi — elegant look. Slow shipping.</t>
  </si>
  <si>
    <t xml:space="preserve">Subliminator — Skater Dress</t>
  </si>
  <si>
    <t xml:space="preserve">Cut-and-sew. Good quality. Limited dress styles.</t>
  </si>
  <si>
    <t xml:space="preserve">Gooten — Hooded Pullover Dress</t>
  </si>
  <si>
    <t xml:space="preserve">US-based. 6 sizes. Estimated pricing.</t>
  </si>
  <si>
    <t xml:space="preserve">API Access Deep Dive</t>
  </si>
  <si>
    <t xml:space="preserve">Detailed API capabilities per supplier — critical for automation pipeline</t>
  </si>
  <si>
    <t xml:space="preserve">API Type</t>
  </si>
  <si>
    <t xml:space="preserve">Auth Method</t>
  </si>
  <si>
    <t xml:space="preserve">Product Create</t>
  </si>
  <si>
    <t xml:space="preserve">Order Create</t>
  </si>
  <si>
    <t xml:space="preserve">Order Tracking</t>
  </si>
  <si>
    <t xml:space="preserve">Image Upload</t>
  </si>
  <si>
    <t xml:space="preserve">Webhook Support</t>
  </si>
  <si>
    <t xml:space="preserve">Rate Limits</t>
  </si>
  <si>
    <t xml:space="preserve">Docs Quality</t>
  </si>
  <si>
    <t xml:space="preserve">Verdict for Your Pipeline</t>
  </si>
  <si>
    <t xml:space="preserve">JSON REST</t>
  </si>
  <si>
    <t xml:space="preserve">API Key</t>
  </si>
  <si>
    <t xml:space="preserve">YES</t>
  </si>
  <si>
    <t xml:space="preserve">Unknown</t>
  </si>
  <si>
    <t xml:space="preserve">Unknown — register for docs</t>
  </si>
  <si>
    <t xml:space="preserve">★★★★☆ (GitHub hosted)</t>
  </si>
  <si>
    <t xml:space="preserve">Best option to cut costs. Same manufacturer as your BP450. Direct API = skip Printify markup.</t>
  </si>
  <si>
    <t xml:space="preserve">REST API</t>
  </si>
  <si>
    <t xml:space="preserve">API Key (free)</t>
  </si>
  <si>
    <t xml:space="preserve">Generous</t>
  </si>
  <si>
    <t xml:space="preserve">★★★★★ (Best in POD)</t>
  </si>
  <si>
    <t xml:space="preserve">Excellent alternative. Free API, great docs, VIM volume pricing. Strong AOP catalog.</t>
  </si>
  <si>
    <t xml:space="preserve">Standard</t>
  </si>
  <si>
    <t xml:space="preserve">★★★★☆</t>
  </si>
  <si>
    <t xml:space="preserve">Cheapest base costs + full API. Vietnam+US fulfillment. Worth testing quality.</t>
  </si>
  <si>
    <t xml:space="preserve">Print API</t>
  </si>
  <si>
    <t xml:space="preserve">YES (URL-based)</t>
  </si>
  <si>
    <t xml:space="preserve">Best developer experience. Smaller AOP catalog but expanding. Multi-region fulfillment.</t>
  </si>
  <si>
    <t xml:space="preserve">API Key (Enterprise)</t>
  </si>
  <si>
    <t xml:space="preserve">Limited</t>
  </si>
  <si>
    <t xml:space="preserve">$30/mo Pro needed</t>
  </si>
  <si>
    <t xml:space="preserve">★★★☆☆</t>
  </si>
  <si>
    <t xml:space="preserve">⚠️ NOT true AOP. DIGISOFT is DTG+DTF hybrid. Skip for AOP hoodies.</t>
  </si>
  <si>
    <t xml:space="preserve">HTTP Basic Auth</t>
  </si>
  <si>
    <t xml:space="preserve">No</t>
  </si>
  <si>
    <t xml:space="preserve">Thin AOP catalog. API exists but docs are sparse. Better for DTG.</t>
  </si>
  <si>
    <t xml:space="preserve">Cheap dresses but China shipping kills it for US customers. API works.</t>
  </si>
  <si>
    <t xml:space="preserve">Shopify App only</t>
  </si>
  <si>
    <t xml:space="preserve">OAuth (Shopify)</t>
  </si>
  <si>
    <t xml:space="preserve">Via Shopify</t>
  </si>
  <si>
    <t xml:space="preserve">Auto-sync</t>
  </si>
  <si>
    <t xml:space="preserve">N/A</t>
  </si>
  <si>
    <t xml:space="preserve">No standalone API. Shopify-only. Can't integrate with your Python pipeline directly.</t>
  </si>
  <si>
    <t xml:space="preserve">No REST API. Shopify/Etsy app only. Can't automate from Python.</t>
  </si>
  <si>
    <t xml:space="preserve">No public API. Cheap but no automation path.</t>
  </si>
  <si>
    <t xml:space="preserve">Niche products (shoes, swimwear). No API. Slow shipping.</t>
  </si>
  <si>
    <t xml:space="preserve">Recommendations for LunarAuraDesignStore</t>
  </si>
  <si>
    <t xml:space="preserve">Ranked by fit for your AOP pipeline, ICP (women 22-34, whimsigoth/boho), and margin targets</t>
  </si>
  <si>
    <t xml:space="preserve">Rank</t>
  </si>
  <si>
    <t xml:space="preserve">Category</t>
  </si>
  <si>
    <t xml:space="preserve">Why</t>
  </si>
  <si>
    <t xml:space="preserve">Risk</t>
  </si>
  <si>
    <t xml:space="preserve">Action Item</t>
  </si>
  <si>
    <t xml:space="preserve">Priority</t>
  </si>
  <si>
    <t xml:space="preserve">#1</t>
  </si>
  <si>
    <t xml:space="preserve">MWW On Demand (Direct)</t>
  </si>
  <si>
    <t xml:space="preserve">Hoodies + Sweatshirts</t>
  </si>
  <si>
    <t xml:space="preserve">You already use MWW via Printify (BP450). Going direct cuts out Printify's ~15-20% markup. Same quality, same facility, lower cost. Full JSON API for your Python pipeline.</t>
  </si>
  <si>
    <t xml:space="preserve">Need to register and negotiate pricing. Minimum volumes possible.</t>
  </si>
  <si>
    <t xml:space="preserve">Register at mwwondemand.com, get API docs, compare direct vs Printify pricing.</t>
  </si>
  <si>
    <t xml:space="preserve">🔴 HIGH</t>
  </si>
  <si>
    <t xml:space="preserve">#2</t>
  </si>
  <si>
    <t xml:space="preserve">Hoodies + Dresses</t>
  </si>
  <si>
    <t xml:space="preserve">Free best-in-class API. Strong AOP catalog including hooded dresses. VIM loyalty = volume discounts. US fulfillment. Great fallback/secondary supplier.</t>
  </si>
  <si>
    <t xml:space="preserve">Pricing not public — need account to verify. Quality untested.</t>
  </si>
  <si>
    <t xml:space="preserve">Create Gooten account, check AOP hoodie pricing in Admin, order samples.</t>
  </si>
  <si>
    <t xml:space="preserve">#3</t>
  </si>
  <si>
    <t xml:space="preserve">Sweatshirts + Hoodies (budget tier)</t>
  </si>
  <si>
    <t xml:space="preserve">Lowest base costs in the market ($11.50 sweatshirt, $15.50 hoodie). Full REST API. Native Etsy integration. 55-65% margins possible.</t>
  </si>
  <si>
    <t xml:space="preserve">Vietnam production for some items. Quality variance. Longer shipping from non-US facility.</t>
  </si>
  <si>
    <t xml:space="preserve">Order 2-3 AOP hoodie samples. Test API integration. Compare quality to MWW.</t>
  </si>
  <si>
    <t xml:space="preserve">🟡 MEDIUM</t>
  </si>
  <si>
    <t xml:space="preserve">#4</t>
  </si>
  <si>
    <t xml:space="preserve">Future expansion</t>
  </si>
  <si>
    <t xml:space="preserve">Developer-first Print API with the best documentation. Multi-region fulfillment (US+UK+EU). Great for scaling internationally.</t>
  </si>
  <si>
    <t xml:space="preserve">Smaller AOP apparel catalog. May not have your exact hoodie blanks yet.</t>
  </si>
  <si>
    <t xml:space="preserve">Bookmark for Phase 2/3 when going multi-region SaaS.</t>
  </si>
  <si>
    <t xml:space="preserve">🟢 LOW</t>
  </si>
  <si>
    <t xml:space="preserve">#5</t>
  </si>
  <si>
    <t xml:space="preserve">Dresses only</t>
  </si>
  <si>
    <t xml:space="preserve">Largest women's AOP dress catalog (19+ styles). Very cheap ($10-15 per dress). Good complement to Yoycol.</t>
  </si>
  <si>
    <t xml:space="preserve">China shipping = 10-20 days. Deal-breaker for US Etsy buyers who expect 5-7 day delivery.</t>
  </si>
  <si>
    <t xml:space="preserve">Only consider if you add Google Shopping (where longer shipping is more accepted).</t>
  </si>
  <si>
    <t xml:space="preserve">#6</t>
  </si>
  <si>
    <t xml:space="preserve">Niche women's items</t>
  </si>
  <si>
    <t xml:space="preserve">True cut-and-sew AOP. Skater dresses, bomber jackets — unique items. Good for differentiation.</t>
  </si>
  <si>
    <t xml:space="preserve">No standalone API (Shopify app only). Can't integrate with your Python pipeline without workarounds.</t>
  </si>
  <si>
    <t xml:space="preserve">Skip unless you launch a Shopify store alongside Etsy.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</si>
</sst>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1B2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6C63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D2D44"/>
        <bgColor rgb="FF1B1B2F"/>
      </patternFill>
    </fill>
    <fill>
      <patternFill patternType="solid">
        <fgColor rgb="FFE8F0FE"/>
        <bgColor rgb="FFE8F5E9"/>
      </patternFill>
    </fill>
    <fill>
      <patternFill patternType="solid">
        <fgColor rgb="FFF5F5FF"/>
        <bgColor rgb="FFE8F0FE"/>
      </patternFill>
    </fill>
    <fill>
      <patternFill patternType="solid">
        <fgColor rgb="FFE8F5E9"/>
        <bgColor rgb="FFE8F0FE"/>
      </patternFill>
    </fill>
    <fill>
      <patternFill patternType="solid">
        <fgColor rgb="FFFFF9C4"/>
        <bgColor rgb="FFFFEBEE"/>
      </patternFill>
    </fill>
    <fill>
      <patternFill patternType="solid">
        <fgColor rgb="FFFFEBEE"/>
        <bgColor rgb="FFF5F5FF"/>
      </patternFill>
    </fill>
    <fill>
      <patternFill patternType="solid">
        <fgColor rgb="FFFFCDD2"/>
        <bgColor rgb="FFFFEBEE"/>
      </patternFill>
    </fill>
    <fill>
      <patternFill patternType="solid">
        <fgColor rgb="FFC8E6C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F5F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8E6C9"/>
      <rgbColor rgb="FFFFEBEE"/>
      <rgbColor rgb="FF99CCFF"/>
      <rgbColor rgb="FFFF99CC"/>
      <rgbColor rgb="FFCC99FF"/>
      <rgbColor rgb="FFFFCDD2"/>
      <rgbColor rgb="FF6C63FF"/>
      <rgbColor rgb="FF33CCCC"/>
      <rgbColor rgb="FF99CC00"/>
      <rgbColor rgb="FFFFCC00"/>
      <rgbColor rgb="FFFF9800"/>
      <rgbColor rgb="FFFF6600"/>
      <rgbColor rgb="FF666666"/>
      <rgbColor rgb="FF969696"/>
      <rgbColor rgb="FF003366"/>
      <rgbColor rgb="FF4CAF50"/>
      <rgbColor rgb="FF003300"/>
      <rgbColor rgb="FF1B1B2F"/>
      <rgbColor rgb="FF993300"/>
      <rgbColor rgb="FF993366"/>
      <rgbColor rgb="FF333399"/>
      <rgbColor rgb="FF2D2D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63FF"/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24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4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3.8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5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 customFormat="false" ht="23.85" hidden="false" customHeight="false" outlineLevel="0" collapsed="false">
      <c r="A6" s="6" t="s">
        <v>22</v>
      </c>
      <c r="B6" s="6" t="s">
        <v>23</v>
      </c>
      <c r="C6" s="6" t="s">
        <v>14</v>
      </c>
      <c r="D6" s="6" t="s">
        <v>24</v>
      </c>
      <c r="E6" s="7" t="s">
        <v>25</v>
      </c>
      <c r="F6" s="6" t="s">
        <v>26</v>
      </c>
      <c r="G6" s="6" t="s">
        <v>27</v>
      </c>
      <c r="H6" s="6" t="s">
        <v>28</v>
      </c>
      <c r="I6" s="6" t="s">
        <v>29</v>
      </c>
      <c r="J6" s="6" t="s">
        <v>30</v>
      </c>
    </row>
    <row r="7" customFormat="false" ht="35.05" hidden="false" customHeight="false" outlineLevel="0" collapsed="false">
      <c r="A7" s="4" t="s">
        <v>31</v>
      </c>
      <c r="B7" s="4" t="s">
        <v>32</v>
      </c>
      <c r="C7" s="4" t="s">
        <v>33</v>
      </c>
      <c r="D7" s="4" t="s">
        <v>34</v>
      </c>
      <c r="E7" s="8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4" t="s">
        <v>40</v>
      </c>
    </row>
    <row r="8" customFormat="false" ht="23.85" hidden="false" customHeight="false" outlineLevel="0" collapsed="false">
      <c r="A8" s="6" t="s">
        <v>41</v>
      </c>
      <c r="B8" s="6" t="s">
        <v>42</v>
      </c>
      <c r="C8" s="6" t="s">
        <v>43</v>
      </c>
      <c r="D8" s="6" t="s">
        <v>44</v>
      </c>
      <c r="E8" s="8" t="s">
        <v>45</v>
      </c>
      <c r="F8" s="6" t="s">
        <v>46</v>
      </c>
      <c r="G8" s="6" t="s">
        <v>47</v>
      </c>
      <c r="H8" s="6" t="s">
        <v>48</v>
      </c>
      <c r="I8" s="6" t="s">
        <v>49</v>
      </c>
      <c r="J8" s="6" t="s">
        <v>50</v>
      </c>
    </row>
    <row r="9" customFormat="false" ht="23.85" hidden="false" customHeight="false" outlineLevel="0" collapsed="false">
      <c r="A9" s="4" t="s">
        <v>51</v>
      </c>
      <c r="B9" s="4" t="s">
        <v>52</v>
      </c>
      <c r="C9" s="4" t="s">
        <v>14</v>
      </c>
      <c r="D9" s="4" t="s">
        <v>34</v>
      </c>
      <c r="E9" s="5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</row>
    <row r="10" customFormat="false" ht="23.85" hidden="false" customHeight="false" outlineLevel="0" collapsed="false">
      <c r="A10" s="6" t="s">
        <v>59</v>
      </c>
      <c r="B10" s="6" t="s">
        <v>60</v>
      </c>
      <c r="C10" s="6" t="s">
        <v>61</v>
      </c>
      <c r="D10" s="6" t="s">
        <v>62</v>
      </c>
      <c r="E10" s="8" t="s">
        <v>63</v>
      </c>
      <c r="F10" s="6" t="s">
        <v>64</v>
      </c>
      <c r="G10" s="6" t="s">
        <v>65</v>
      </c>
      <c r="H10" s="6" t="s">
        <v>48</v>
      </c>
      <c r="I10" s="6" t="s">
        <v>66</v>
      </c>
      <c r="J10" s="6" t="s">
        <v>67</v>
      </c>
    </row>
    <row r="11" customFormat="false" ht="23.85" hidden="false" customHeight="false" outlineLevel="0" collapsed="false">
      <c r="A11" s="4" t="s">
        <v>68</v>
      </c>
      <c r="B11" s="4" t="s">
        <v>69</v>
      </c>
      <c r="C11" s="4" t="s">
        <v>14</v>
      </c>
      <c r="D11" s="4" t="s">
        <v>34</v>
      </c>
      <c r="E11" s="8" t="s">
        <v>70</v>
      </c>
      <c r="F11" s="4" t="s">
        <v>71</v>
      </c>
      <c r="G11" s="4" t="s">
        <v>72</v>
      </c>
      <c r="H11" s="4" t="s">
        <v>28</v>
      </c>
      <c r="I11" s="4" t="s">
        <v>73</v>
      </c>
      <c r="J11" s="4" t="s">
        <v>74</v>
      </c>
    </row>
    <row r="12" customFormat="false" ht="23.85" hidden="false" customHeight="false" outlineLevel="0" collapsed="false">
      <c r="A12" s="6" t="s">
        <v>75</v>
      </c>
      <c r="B12" s="6" t="s">
        <v>76</v>
      </c>
      <c r="C12" s="6" t="s">
        <v>14</v>
      </c>
      <c r="D12" s="6" t="s">
        <v>77</v>
      </c>
      <c r="E12" s="8" t="s">
        <v>45</v>
      </c>
      <c r="F12" s="6" t="s">
        <v>78</v>
      </c>
      <c r="G12" s="6" t="s">
        <v>79</v>
      </c>
      <c r="H12" s="6" t="s">
        <v>28</v>
      </c>
      <c r="I12" s="6" t="s">
        <v>80</v>
      </c>
      <c r="J12" s="6" t="s">
        <v>81</v>
      </c>
    </row>
    <row r="13" customFormat="false" ht="23.85" hidden="false" customHeight="false" outlineLevel="0" collapsed="false">
      <c r="A13" s="4" t="s">
        <v>82</v>
      </c>
      <c r="B13" s="4" t="s">
        <v>83</v>
      </c>
      <c r="C13" s="4" t="s">
        <v>14</v>
      </c>
      <c r="D13" s="4" t="s">
        <v>84</v>
      </c>
      <c r="E13" s="7" t="s">
        <v>85</v>
      </c>
      <c r="F13" s="4" t="s">
        <v>86</v>
      </c>
      <c r="G13" s="4" t="s">
        <v>87</v>
      </c>
      <c r="H13" s="4" t="s">
        <v>48</v>
      </c>
      <c r="I13" s="4" t="s">
        <v>57</v>
      </c>
      <c r="J13" s="4" t="s">
        <v>88</v>
      </c>
    </row>
    <row r="14" customFormat="false" ht="23.85" hidden="false" customHeight="false" outlineLevel="0" collapsed="false">
      <c r="A14" s="6" t="s">
        <v>89</v>
      </c>
      <c r="B14" s="6" t="s">
        <v>90</v>
      </c>
      <c r="C14" s="6" t="s">
        <v>14</v>
      </c>
      <c r="D14" s="6" t="s">
        <v>77</v>
      </c>
      <c r="E14" s="8" t="s">
        <v>91</v>
      </c>
      <c r="F14" s="6" t="s">
        <v>78</v>
      </c>
      <c r="G14" s="6" t="s">
        <v>92</v>
      </c>
      <c r="H14" s="6" t="s">
        <v>93</v>
      </c>
      <c r="I14" s="6" t="s">
        <v>94</v>
      </c>
      <c r="J14" s="6" t="s">
        <v>95</v>
      </c>
    </row>
    <row r="15" customFormat="false" ht="23.85" hidden="false" customHeight="false" outlineLevel="0" collapsed="false">
      <c r="A15" s="4" t="s">
        <v>96</v>
      </c>
      <c r="B15" s="4" t="s">
        <v>97</v>
      </c>
      <c r="C15" s="4" t="s">
        <v>98</v>
      </c>
      <c r="D15" s="4" t="s">
        <v>99</v>
      </c>
      <c r="E15" s="8" t="s">
        <v>100</v>
      </c>
      <c r="F15" s="4" t="s">
        <v>101</v>
      </c>
      <c r="G15" s="4" t="s">
        <v>102</v>
      </c>
      <c r="H15" s="4" t="s">
        <v>48</v>
      </c>
      <c r="I15" s="4" t="s">
        <v>29</v>
      </c>
      <c r="J15" s="4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45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15" hidden="false" customHeight="false" outlineLevel="0" collapsed="false">
      <c r="A4" s="9" t="s">
        <v>106</v>
      </c>
    </row>
    <row r="5" customFormat="false" ht="26.85" hidden="false" customHeight="false" outlineLevel="0" collapsed="false">
      <c r="A5" s="3" t="s">
        <v>2</v>
      </c>
      <c r="B5" s="3" t="s">
        <v>107</v>
      </c>
      <c r="C5" s="3" t="s">
        <v>108</v>
      </c>
      <c r="D5" s="3" t="s">
        <v>109</v>
      </c>
      <c r="E5" s="3" t="s">
        <v>110</v>
      </c>
      <c r="F5" s="3" t="s">
        <v>111</v>
      </c>
      <c r="G5" s="3" t="s">
        <v>112</v>
      </c>
      <c r="H5" s="3" t="s">
        <v>113</v>
      </c>
      <c r="I5" s="3" t="s">
        <v>114</v>
      </c>
    </row>
    <row r="6" customFormat="false" ht="23.85" hidden="false" customHeight="false" outlineLevel="0" collapsed="false">
      <c r="A6" s="4" t="s">
        <v>115</v>
      </c>
      <c r="B6" s="10" t="n">
        <v>35</v>
      </c>
      <c r="C6" s="10" t="n">
        <v>40</v>
      </c>
      <c r="D6" s="10" t="n">
        <v>149.98</v>
      </c>
      <c r="E6" s="10" t="n">
        <v>74.99</v>
      </c>
      <c r="F6" s="10" t="n">
        <f aca="false">E6*0.13</f>
        <v>9.7487</v>
      </c>
      <c r="G6" s="10" t="n">
        <f aca="false">E6-B6-F6</f>
        <v>30.2413</v>
      </c>
      <c r="H6" s="11" t="n">
        <f aca="false">IF(E6&gt;0,G6/E6,0)</f>
        <v>0.403271102813709</v>
      </c>
      <c r="I6" s="4" t="s">
        <v>116</v>
      </c>
    </row>
    <row r="7" customFormat="false" ht="15" hidden="false" customHeight="false" outlineLevel="0" collapsed="false">
      <c r="A7" s="6" t="s">
        <v>117</v>
      </c>
      <c r="B7" s="12" t="n">
        <v>44.25</v>
      </c>
      <c r="C7" s="12" t="n">
        <v>49.89</v>
      </c>
      <c r="D7" s="12" t="n">
        <v>149.98</v>
      </c>
      <c r="E7" s="12" t="n">
        <v>74.99</v>
      </c>
      <c r="F7" s="12" t="n">
        <f aca="false">E7*0.13</f>
        <v>9.7487</v>
      </c>
      <c r="G7" s="12" t="n">
        <f aca="false">E7-B7-F7</f>
        <v>20.9913</v>
      </c>
      <c r="H7" s="13" t="n">
        <f aca="false">IF(E7&gt;0,G7/E7,0)</f>
        <v>0.279921322843046</v>
      </c>
      <c r="I7" s="6" t="s">
        <v>118</v>
      </c>
    </row>
    <row r="8" customFormat="false" ht="23.85" hidden="false" customHeight="false" outlineLevel="0" collapsed="false">
      <c r="A8" s="4" t="s">
        <v>22</v>
      </c>
      <c r="B8" s="10" t="n">
        <v>38</v>
      </c>
      <c r="C8" s="10" t="n">
        <v>43</v>
      </c>
      <c r="D8" s="10" t="n">
        <v>149.98</v>
      </c>
      <c r="E8" s="10" t="n">
        <v>74.99</v>
      </c>
      <c r="F8" s="10" t="n">
        <f aca="false">E8*0.13</f>
        <v>9.7487</v>
      </c>
      <c r="G8" s="10" t="n">
        <f aca="false">E8-B8-F8</f>
        <v>27.2413</v>
      </c>
      <c r="H8" s="11" t="n">
        <f aca="false">IF(E8&gt;0,G8/E8,0)</f>
        <v>0.363265768769169</v>
      </c>
      <c r="I8" s="4" t="s">
        <v>119</v>
      </c>
    </row>
    <row r="9" customFormat="false" ht="23.85" hidden="false" customHeight="false" outlineLevel="0" collapsed="false">
      <c r="A9" s="6" t="s">
        <v>120</v>
      </c>
      <c r="B9" s="12" t="n">
        <v>24.99</v>
      </c>
      <c r="C9" s="12" t="n">
        <v>29.99</v>
      </c>
      <c r="D9" s="12" t="n">
        <v>149.98</v>
      </c>
      <c r="E9" s="12" t="n">
        <v>74.99</v>
      </c>
      <c r="F9" s="12" t="n">
        <f aca="false">E9*0.13</f>
        <v>9.7487</v>
      </c>
      <c r="G9" s="12" t="n">
        <f aca="false">E9-B9-F9</f>
        <v>40.2513</v>
      </c>
      <c r="H9" s="13" t="n">
        <f aca="false">IF(E9&gt;0,G9/E9,0)</f>
        <v>0.536755567408988</v>
      </c>
      <c r="I9" s="6" t="s">
        <v>121</v>
      </c>
    </row>
    <row r="10" customFormat="false" ht="15" hidden="false" customHeight="false" outlineLevel="0" collapsed="false">
      <c r="A10" s="4" t="s">
        <v>41</v>
      </c>
      <c r="B10" s="10" t="n">
        <v>32</v>
      </c>
      <c r="C10" s="10" t="n">
        <v>37</v>
      </c>
      <c r="D10" s="10" t="n">
        <v>149.98</v>
      </c>
      <c r="E10" s="10" t="n">
        <v>74.99</v>
      </c>
      <c r="F10" s="10" t="n">
        <f aca="false">E10*0.13</f>
        <v>9.7487</v>
      </c>
      <c r="G10" s="10" t="n">
        <f aca="false">E10-B10-F10</f>
        <v>33.2413</v>
      </c>
      <c r="H10" s="11" t="n">
        <f aca="false">IF(E10&gt;0,G10/E10,0)</f>
        <v>0.443276436858248</v>
      </c>
      <c r="I10" s="4" t="s">
        <v>122</v>
      </c>
    </row>
    <row r="11" customFormat="false" ht="23.85" hidden="false" customHeight="false" outlineLevel="0" collapsed="false">
      <c r="A11" s="6" t="s">
        <v>51</v>
      </c>
      <c r="B11" s="12" t="n">
        <v>15.5</v>
      </c>
      <c r="C11" s="12" t="n">
        <v>19</v>
      </c>
      <c r="D11" s="12" t="n">
        <v>149.98</v>
      </c>
      <c r="E11" s="12" t="n">
        <v>74.99</v>
      </c>
      <c r="F11" s="12" t="n">
        <f aca="false">E11*0.13</f>
        <v>9.7487</v>
      </c>
      <c r="G11" s="12" t="n">
        <f aca="false">E11-B11-F11</f>
        <v>49.7413</v>
      </c>
      <c r="H11" s="13" t="n">
        <f aca="false">IF(E11&gt;0,G11/E11,0)</f>
        <v>0.663305774103214</v>
      </c>
      <c r="I11" s="6" t="s">
        <v>123</v>
      </c>
    </row>
    <row r="12" customFormat="false" ht="15" hidden="false" customHeight="false" outlineLevel="0" collapsed="false">
      <c r="A12" s="4" t="s">
        <v>59</v>
      </c>
      <c r="B12" s="10" t="n">
        <v>33</v>
      </c>
      <c r="C12" s="10" t="n">
        <v>38</v>
      </c>
      <c r="D12" s="10" t="n">
        <v>149.98</v>
      </c>
      <c r="E12" s="10" t="n">
        <v>74.99</v>
      </c>
      <c r="F12" s="10" t="n">
        <f aca="false">E12*0.13</f>
        <v>9.7487</v>
      </c>
      <c r="G12" s="10" t="n">
        <f aca="false">E12-B12-F12</f>
        <v>32.2413</v>
      </c>
      <c r="H12" s="11" t="n">
        <f aca="false">IF(E12&gt;0,G12/E12,0)</f>
        <v>0.429941325510068</v>
      </c>
      <c r="I12" s="4" t="s">
        <v>124</v>
      </c>
    </row>
    <row r="15" customFormat="false" ht="15" hidden="false" customHeight="false" outlineLevel="0" collapsed="false">
      <c r="A15" s="9" t="s">
        <v>125</v>
      </c>
    </row>
    <row r="16" customFormat="false" ht="26.85" hidden="false" customHeight="false" outlineLevel="0" collapsed="false">
      <c r="A16" s="3" t="s">
        <v>2</v>
      </c>
      <c r="B16" s="3" t="s">
        <v>107</v>
      </c>
      <c r="C16" s="3" t="s">
        <v>108</v>
      </c>
      <c r="D16" s="3" t="s">
        <v>109</v>
      </c>
      <c r="E16" s="3" t="s">
        <v>110</v>
      </c>
      <c r="F16" s="3" t="s">
        <v>111</v>
      </c>
      <c r="G16" s="3" t="s">
        <v>112</v>
      </c>
      <c r="H16" s="3" t="s">
        <v>113</v>
      </c>
      <c r="I16" s="3" t="s">
        <v>114</v>
      </c>
    </row>
    <row r="17" customFormat="false" ht="15" hidden="false" customHeight="false" outlineLevel="0" collapsed="false">
      <c r="A17" s="4" t="s">
        <v>126</v>
      </c>
      <c r="B17" s="10" t="n">
        <v>29.31</v>
      </c>
      <c r="C17" s="10" t="n">
        <v>34</v>
      </c>
      <c r="D17" s="10" t="n">
        <v>119.98</v>
      </c>
      <c r="E17" s="10" t="n">
        <v>59.99</v>
      </c>
      <c r="F17" s="10" t="n">
        <f aca="false">E17*0.13</f>
        <v>7.7987</v>
      </c>
      <c r="G17" s="10" t="n">
        <f aca="false">E17-B17-F17</f>
        <v>22.8813</v>
      </c>
      <c r="H17" s="11" t="n">
        <f aca="false">IF(E17&gt;0,G17/E17,0)</f>
        <v>0.381418569761627</v>
      </c>
      <c r="I17" s="4" t="s">
        <v>127</v>
      </c>
    </row>
    <row r="18" customFormat="false" ht="15" hidden="false" customHeight="false" outlineLevel="0" collapsed="false">
      <c r="A18" s="6" t="s">
        <v>22</v>
      </c>
      <c r="B18" s="12" t="n">
        <v>28</v>
      </c>
      <c r="C18" s="12" t="n">
        <v>33</v>
      </c>
      <c r="D18" s="12" t="n">
        <v>119.98</v>
      </c>
      <c r="E18" s="12" t="n">
        <v>59.99</v>
      </c>
      <c r="F18" s="12" t="n">
        <f aca="false">E18*0.13</f>
        <v>7.7987</v>
      </c>
      <c r="G18" s="12" t="n">
        <f aca="false">E18-B18-F18</f>
        <v>24.1913</v>
      </c>
      <c r="H18" s="13" t="n">
        <f aca="false">IF(E18&gt;0,G18/E18,0)</f>
        <v>0.403255542590432</v>
      </c>
      <c r="I18" s="6" t="s">
        <v>128</v>
      </c>
    </row>
    <row r="19" customFormat="false" ht="15" hidden="false" customHeight="false" outlineLevel="0" collapsed="false">
      <c r="A19" s="4" t="s">
        <v>41</v>
      </c>
      <c r="B19" s="10" t="n">
        <v>22</v>
      </c>
      <c r="C19" s="10" t="n">
        <v>27</v>
      </c>
      <c r="D19" s="10" t="n">
        <v>119.98</v>
      </c>
      <c r="E19" s="10" t="n">
        <v>59.99</v>
      </c>
      <c r="F19" s="10" t="n">
        <f aca="false">E19*0.13</f>
        <v>7.7987</v>
      </c>
      <c r="G19" s="10" t="n">
        <f aca="false">E19-B19-F19</f>
        <v>30.1913</v>
      </c>
      <c r="H19" s="11" t="n">
        <f aca="false">IF(E19&gt;0,G19/E19,0)</f>
        <v>0.503272212035339</v>
      </c>
      <c r="I19" s="4" t="s">
        <v>129</v>
      </c>
    </row>
    <row r="20" customFormat="false" ht="23.85" hidden="false" customHeight="false" outlineLevel="0" collapsed="false">
      <c r="A20" s="6" t="s">
        <v>51</v>
      </c>
      <c r="B20" s="12" t="n">
        <v>11.5</v>
      </c>
      <c r="C20" s="12" t="n">
        <v>15</v>
      </c>
      <c r="D20" s="12" t="n">
        <v>119.98</v>
      </c>
      <c r="E20" s="12" t="n">
        <v>59.99</v>
      </c>
      <c r="F20" s="12" t="n">
        <f aca="false">E20*0.13</f>
        <v>7.7987</v>
      </c>
      <c r="G20" s="12" t="n">
        <f aca="false">E20-B20-F20</f>
        <v>40.6913</v>
      </c>
      <c r="H20" s="13" t="n">
        <f aca="false">IF(E20&gt;0,G20/E20,0)</f>
        <v>0.678301383563927</v>
      </c>
      <c r="I20" s="6" t="s">
        <v>130</v>
      </c>
    </row>
    <row r="21" customFormat="false" ht="15" hidden="false" customHeight="false" outlineLevel="0" collapsed="false">
      <c r="A21" s="4" t="s">
        <v>59</v>
      </c>
      <c r="B21" s="10" t="n">
        <v>25</v>
      </c>
      <c r="C21" s="10" t="n">
        <v>30</v>
      </c>
      <c r="D21" s="10" t="n">
        <v>119.98</v>
      </c>
      <c r="E21" s="10" t="n">
        <v>59.99</v>
      </c>
      <c r="F21" s="10" t="n">
        <f aca="false">E21*0.13</f>
        <v>7.7987</v>
      </c>
      <c r="G21" s="10" t="n">
        <f aca="false">E21-B21-F21</f>
        <v>27.1913</v>
      </c>
      <c r="H21" s="11" t="n">
        <f aca="false">IF(E21&gt;0,G21/E21,0)</f>
        <v>0.453263877312886</v>
      </c>
      <c r="I21" s="4" t="s">
        <v>131</v>
      </c>
    </row>
    <row r="22" customFormat="false" ht="15" hidden="false" customHeight="false" outlineLevel="0" collapsed="false">
      <c r="A22" s="6" t="s">
        <v>132</v>
      </c>
      <c r="B22" s="12" t="n">
        <v>18</v>
      </c>
      <c r="C22" s="12" t="n">
        <v>22</v>
      </c>
      <c r="D22" s="12" t="n">
        <v>119.98</v>
      </c>
      <c r="E22" s="12" t="n">
        <v>59.99</v>
      </c>
      <c r="F22" s="12" t="n">
        <f aca="false">E22*0.13</f>
        <v>7.7987</v>
      </c>
      <c r="G22" s="12" t="n">
        <f aca="false">E22-B22-F22</f>
        <v>34.1913</v>
      </c>
      <c r="H22" s="13" t="n">
        <f aca="false">IF(E22&gt;0,G22/E22,0)</f>
        <v>0.569949991665278</v>
      </c>
      <c r="I22" s="6" t="s">
        <v>133</v>
      </c>
    </row>
    <row r="25" customFormat="false" ht="15" hidden="false" customHeight="false" outlineLevel="0" collapsed="false">
      <c r="A25" s="9" t="s">
        <v>134</v>
      </c>
    </row>
    <row r="26" customFormat="false" ht="26.85" hidden="false" customHeight="false" outlineLevel="0" collapsed="false">
      <c r="A26" s="3" t="s">
        <v>2</v>
      </c>
      <c r="B26" s="3" t="s">
        <v>107</v>
      </c>
      <c r="C26" s="3" t="s">
        <v>108</v>
      </c>
      <c r="D26" s="3" t="s">
        <v>109</v>
      </c>
      <c r="E26" s="3" t="s">
        <v>110</v>
      </c>
      <c r="F26" s="3" t="s">
        <v>111</v>
      </c>
      <c r="G26" s="3" t="s">
        <v>112</v>
      </c>
      <c r="H26" s="3" t="s">
        <v>113</v>
      </c>
      <c r="I26" s="3" t="s">
        <v>114</v>
      </c>
    </row>
    <row r="27" customFormat="false" ht="15" hidden="false" customHeight="false" outlineLevel="0" collapsed="false">
      <c r="A27" s="4" t="s">
        <v>135</v>
      </c>
      <c r="B27" s="10" t="n">
        <v>15.87</v>
      </c>
      <c r="C27" s="10" t="n">
        <v>18</v>
      </c>
      <c r="D27" s="10" t="n">
        <v>99.98</v>
      </c>
      <c r="E27" s="10" t="n">
        <v>49.99</v>
      </c>
      <c r="F27" s="10" t="n">
        <f aca="false">E27*0.13</f>
        <v>6.4987</v>
      </c>
      <c r="G27" s="10" t="n">
        <f aca="false">E27-B27-F27</f>
        <v>27.6213</v>
      </c>
      <c r="H27" s="11" t="n">
        <f aca="false">IF(E27&gt;0,G27/E27,0)</f>
        <v>0.55253650730146</v>
      </c>
      <c r="I27" s="4" t="s">
        <v>136</v>
      </c>
    </row>
    <row r="28" customFormat="false" ht="15" hidden="false" customHeight="false" outlineLevel="0" collapsed="false">
      <c r="A28" s="6" t="s">
        <v>137</v>
      </c>
      <c r="B28" s="12" t="n">
        <v>7.11</v>
      </c>
      <c r="C28" s="12" t="n">
        <v>9</v>
      </c>
      <c r="D28" s="12" t="n">
        <v>99.98</v>
      </c>
      <c r="E28" s="12" t="n">
        <v>49.99</v>
      </c>
      <c r="F28" s="12" t="n">
        <f aca="false">E28*0.13</f>
        <v>6.4987</v>
      </c>
      <c r="G28" s="12" t="n">
        <f aca="false">E28-B28-F28</f>
        <v>36.3813</v>
      </c>
      <c r="H28" s="13" t="n">
        <f aca="false">IF(E28&gt;0,G28/E28,0)</f>
        <v>0.727771554310862</v>
      </c>
      <c r="I28" s="6" t="s">
        <v>138</v>
      </c>
    </row>
    <row r="29" customFormat="false" ht="15" hidden="false" customHeight="false" outlineLevel="0" collapsed="false">
      <c r="A29" s="4" t="s">
        <v>139</v>
      </c>
      <c r="B29" s="10" t="n">
        <v>16</v>
      </c>
      <c r="C29" s="10" t="n">
        <v>20</v>
      </c>
      <c r="D29" s="10" t="n">
        <v>99.98</v>
      </c>
      <c r="E29" s="10" t="n">
        <v>49.99</v>
      </c>
      <c r="F29" s="10" t="n">
        <f aca="false">E29*0.13</f>
        <v>6.4987</v>
      </c>
      <c r="G29" s="10" t="n">
        <f aca="false">E29-B29-F29</f>
        <v>27.4913</v>
      </c>
      <c r="H29" s="11" t="n">
        <f aca="false">IF(E29&gt;0,G29/E29,0)</f>
        <v>0.54993598719744</v>
      </c>
      <c r="I29" s="4" t="s">
        <v>140</v>
      </c>
    </row>
    <row r="30" customFormat="false" ht="15" hidden="false" customHeight="false" outlineLevel="0" collapsed="false">
      <c r="A30" s="6" t="s">
        <v>141</v>
      </c>
      <c r="B30" s="12" t="n">
        <v>22</v>
      </c>
      <c r="C30" s="12" t="n">
        <v>26</v>
      </c>
      <c r="D30" s="12" t="n">
        <v>99.98</v>
      </c>
      <c r="E30" s="12" t="n">
        <v>49.99</v>
      </c>
      <c r="F30" s="12" t="n">
        <f aca="false">E30*0.13</f>
        <v>6.4987</v>
      </c>
      <c r="G30" s="12" t="n">
        <f aca="false">E30-B30-F30</f>
        <v>21.4913</v>
      </c>
      <c r="H30" s="13" t="n">
        <f aca="false">IF(E30&gt;0,G30/E30,0)</f>
        <v>0.429911982396479</v>
      </c>
      <c r="I30" s="6" t="s">
        <v>142</v>
      </c>
    </row>
    <row r="31" customFormat="false" ht="23.85" hidden="false" customHeight="false" outlineLevel="0" collapsed="false">
      <c r="A31" s="4" t="s">
        <v>143</v>
      </c>
      <c r="B31" s="10" t="n">
        <v>12</v>
      </c>
      <c r="C31" s="10" t="n">
        <v>15</v>
      </c>
      <c r="D31" s="10" t="n">
        <v>99.98</v>
      </c>
      <c r="E31" s="10" t="n">
        <v>49.99</v>
      </c>
      <c r="F31" s="10" t="n">
        <f aca="false">E31*0.13</f>
        <v>6.4987</v>
      </c>
      <c r="G31" s="10" t="n">
        <f aca="false">E31-B31-F31</f>
        <v>31.4913</v>
      </c>
      <c r="H31" s="11" t="n">
        <f aca="false">IF(E31&gt;0,G31/E31,0)</f>
        <v>0.62995199039808</v>
      </c>
      <c r="I31" s="4" t="s">
        <v>144</v>
      </c>
    </row>
    <row r="32" customFormat="false" ht="15" hidden="false" customHeight="false" outlineLevel="0" collapsed="false">
      <c r="A32" s="6" t="s">
        <v>145</v>
      </c>
      <c r="B32" s="12" t="n">
        <v>10</v>
      </c>
      <c r="C32" s="12" t="n">
        <v>13</v>
      </c>
      <c r="D32" s="12" t="n">
        <v>99.98</v>
      </c>
      <c r="E32" s="12" t="n">
        <v>49.99</v>
      </c>
      <c r="F32" s="12" t="n">
        <f aca="false">E32*0.13</f>
        <v>6.4987</v>
      </c>
      <c r="G32" s="12" t="n">
        <f aca="false">E32-B32-F32</f>
        <v>33.4913</v>
      </c>
      <c r="H32" s="13" t="n">
        <f aca="false">IF(E32&gt;0,G32/E32,0)</f>
        <v>0.6699599919984</v>
      </c>
      <c r="I32" s="6" t="s">
        <v>146</v>
      </c>
    </row>
    <row r="33" customFormat="false" ht="15" hidden="false" customHeight="false" outlineLevel="0" collapsed="false">
      <c r="A33" s="4" t="s">
        <v>147</v>
      </c>
      <c r="B33" s="10" t="n">
        <v>18</v>
      </c>
      <c r="C33" s="10" t="n">
        <v>22</v>
      </c>
      <c r="D33" s="10" t="n">
        <v>99.98</v>
      </c>
      <c r="E33" s="10" t="n">
        <v>49.99</v>
      </c>
      <c r="F33" s="10" t="n">
        <f aca="false">E33*0.13</f>
        <v>6.4987</v>
      </c>
      <c r="G33" s="10" t="n">
        <f aca="false">E33-B33-F33</f>
        <v>25.4913</v>
      </c>
      <c r="H33" s="11" t="n">
        <f aca="false">IF(E33&gt;0,G33/E33,0)</f>
        <v>0.50992798559712</v>
      </c>
      <c r="I33" s="4" t="s">
        <v>148</v>
      </c>
    </row>
    <row r="34" customFormat="false" ht="15" hidden="false" customHeight="false" outlineLevel="0" collapsed="false">
      <c r="A34" s="6" t="s">
        <v>149</v>
      </c>
      <c r="B34" s="12" t="n">
        <v>20</v>
      </c>
      <c r="C34" s="12" t="n">
        <v>24</v>
      </c>
      <c r="D34" s="12" t="n">
        <v>99.98</v>
      </c>
      <c r="E34" s="12" t="n">
        <v>49.99</v>
      </c>
      <c r="F34" s="12" t="n">
        <f aca="false">E34*0.13</f>
        <v>6.4987</v>
      </c>
      <c r="G34" s="12" t="n">
        <f aca="false">E34-B34-F34</f>
        <v>23.4913</v>
      </c>
      <c r="H34" s="13" t="n">
        <f aca="false">IF(E34&gt;0,G34/E34,0)</f>
        <v>0.469919983996799</v>
      </c>
      <c r="I34" s="6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8" min="4" style="0" width="14"/>
    <col collapsed="false" customWidth="true" hidden="false" outlineLevel="0" max="10" min="9" style="0" width="18"/>
    <col collapsed="false" customWidth="true" hidden="false" outlineLevel="0" max="11" min="11" style="0" width="50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</row>
    <row r="4" customFormat="false" ht="26.85" hidden="false" customHeight="false" outlineLevel="0" collapsed="false">
      <c r="A4" s="3" t="s">
        <v>2</v>
      </c>
      <c r="B4" s="3" t="s">
        <v>153</v>
      </c>
      <c r="C4" s="3" t="s">
        <v>154</v>
      </c>
      <c r="D4" s="3" t="s">
        <v>155</v>
      </c>
      <c r="E4" s="3" t="s">
        <v>156</v>
      </c>
      <c r="F4" s="3" t="s">
        <v>157</v>
      </c>
      <c r="G4" s="3" t="s">
        <v>158</v>
      </c>
      <c r="H4" s="3" t="s">
        <v>159</v>
      </c>
      <c r="I4" s="3" t="s">
        <v>160</v>
      </c>
      <c r="J4" s="3" t="s">
        <v>161</v>
      </c>
      <c r="K4" s="3" t="s">
        <v>162</v>
      </c>
    </row>
    <row r="5" customFormat="false" ht="23.85" hidden="false" customHeight="false" outlineLevel="0" collapsed="false">
      <c r="A5" s="4" t="s">
        <v>12</v>
      </c>
      <c r="B5" s="4" t="s">
        <v>163</v>
      </c>
      <c r="C5" s="4" t="s">
        <v>164</v>
      </c>
      <c r="D5" s="4" t="s">
        <v>165</v>
      </c>
      <c r="E5" s="4" t="s">
        <v>165</v>
      </c>
      <c r="F5" s="4" t="s">
        <v>165</v>
      </c>
      <c r="G5" s="4" t="s">
        <v>165</v>
      </c>
      <c r="H5" s="4" t="s">
        <v>166</v>
      </c>
      <c r="I5" s="4" t="s">
        <v>167</v>
      </c>
      <c r="J5" s="4" t="s">
        <v>168</v>
      </c>
      <c r="K5" s="7" t="s">
        <v>169</v>
      </c>
    </row>
    <row r="6" customFormat="false" ht="23.85" hidden="false" customHeight="false" outlineLevel="0" collapsed="false">
      <c r="A6" s="6" t="s">
        <v>22</v>
      </c>
      <c r="B6" s="6" t="s">
        <v>170</v>
      </c>
      <c r="C6" s="6" t="s">
        <v>171</v>
      </c>
      <c r="D6" s="6" t="s">
        <v>165</v>
      </c>
      <c r="E6" s="6" t="s">
        <v>165</v>
      </c>
      <c r="F6" s="6" t="s">
        <v>165</v>
      </c>
      <c r="G6" s="6" t="s">
        <v>165</v>
      </c>
      <c r="H6" s="6" t="s">
        <v>165</v>
      </c>
      <c r="I6" s="6" t="s">
        <v>172</v>
      </c>
      <c r="J6" s="6" t="s">
        <v>173</v>
      </c>
      <c r="K6" s="6" t="s">
        <v>174</v>
      </c>
    </row>
    <row r="7" customFormat="false" ht="23.85" hidden="false" customHeight="false" outlineLevel="0" collapsed="false">
      <c r="A7" s="4" t="s">
        <v>51</v>
      </c>
      <c r="B7" s="4" t="s">
        <v>170</v>
      </c>
      <c r="C7" s="4" t="s">
        <v>164</v>
      </c>
      <c r="D7" s="4" t="s">
        <v>165</v>
      </c>
      <c r="E7" s="4" t="s">
        <v>165</v>
      </c>
      <c r="F7" s="4" t="s">
        <v>165</v>
      </c>
      <c r="G7" s="4" t="s">
        <v>165</v>
      </c>
      <c r="H7" s="4" t="s">
        <v>165</v>
      </c>
      <c r="I7" s="4" t="s">
        <v>175</v>
      </c>
      <c r="J7" s="4" t="s">
        <v>176</v>
      </c>
      <c r="K7" s="4" t="s">
        <v>177</v>
      </c>
    </row>
    <row r="8" customFormat="false" ht="23.85" hidden="false" customHeight="false" outlineLevel="0" collapsed="false">
      <c r="A8" s="6" t="s">
        <v>82</v>
      </c>
      <c r="B8" s="6" t="s">
        <v>178</v>
      </c>
      <c r="C8" s="6" t="s">
        <v>164</v>
      </c>
      <c r="D8" s="6" t="s">
        <v>165</v>
      </c>
      <c r="E8" s="6" t="s">
        <v>165</v>
      </c>
      <c r="F8" s="6" t="s">
        <v>165</v>
      </c>
      <c r="G8" s="6" t="s">
        <v>179</v>
      </c>
      <c r="H8" s="6" t="s">
        <v>165</v>
      </c>
      <c r="I8" s="6" t="s">
        <v>175</v>
      </c>
      <c r="J8" s="6" t="s">
        <v>85</v>
      </c>
      <c r="K8" s="6" t="s">
        <v>180</v>
      </c>
    </row>
    <row r="9" customFormat="false" ht="23.85" hidden="false" customHeight="false" outlineLevel="0" collapsed="false">
      <c r="A9" s="4" t="s">
        <v>31</v>
      </c>
      <c r="B9" s="4" t="s">
        <v>170</v>
      </c>
      <c r="C9" s="4" t="s">
        <v>181</v>
      </c>
      <c r="D9" s="4" t="s">
        <v>165</v>
      </c>
      <c r="E9" s="4" t="s">
        <v>165</v>
      </c>
      <c r="F9" s="4" t="s">
        <v>165</v>
      </c>
      <c r="G9" s="4" t="s">
        <v>165</v>
      </c>
      <c r="H9" s="4" t="s">
        <v>182</v>
      </c>
      <c r="I9" s="4" t="s">
        <v>183</v>
      </c>
      <c r="J9" s="4" t="s">
        <v>184</v>
      </c>
      <c r="K9" s="14" t="s">
        <v>185</v>
      </c>
    </row>
    <row r="10" customFormat="false" ht="23.85" hidden="false" customHeight="false" outlineLevel="0" collapsed="false">
      <c r="A10" s="6" t="s">
        <v>96</v>
      </c>
      <c r="B10" s="6" t="s">
        <v>170</v>
      </c>
      <c r="C10" s="6" t="s">
        <v>186</v>
      </c>
      <c r="D10" s="6" t="s">
        <v>182</v>
      </c>
      <c r="E10" s="6" t="s">
        <v>165</v>
      </c>
      <c r="F10" s="6" t="s">
        <v>165</v>
      </c>
      <c r="G10" s="6" t="s">
        <v>165</v>
      </c>
      <c r="H10" s="6" t="s">
        <v>187</v>
      </c>
      <c r="I10" s="6" t="s">
        <v>166</v>
      </c>
      <c r="J10" s="6" t="s">
        <v>184</v>
      </c>
      <c r="K10" s="6" t="s">
        <v>188</v>
      </c>
    </row>
    <row r="11" customFormat="false" ht="23.85" hidden="false" customHeight="false" outlineLevel="0" collapsed="false">
      <c r="A11" s="4" t="s">
        <v>68</v>
      </c>
      <c r="B11" s="4" t="s">
        <v>170</v>
      </c>
      <c r="C11" s="4" t="s">
        <v>164</v>
      </c>
      <c r="D11" s="4" t="s">
        <v>165</v>
      </c>
      <c r="E11" s="4" t="s">
        <v>165</v>
      </c>
      <c r="F11" s="4" t="s">
        <v>165</v>
      </c>
      <c r="G11" s="4" t="s">
        <v>165</v>
      </c>
      <c r="H11" s="4" t="s">
        <v>182</v>
      </c>
      <c r="I11" s="4" t="s">
        <v>175</v>
      </c>
      <c r="J11" s="4" t="s">
        <v>184</v>
      </c>
      <c r="K11" s="4" t="s">
        <v>189</v>
      </c>
    </row>
    <row r="12" customFormat="false" ht="23.85" hidden="false" customHeight="false" outlineLevel="0" collapsed="false">
      <c r="A12" s="6" t="s">
        <v>41</v>
      </c>
      <c r="B12" s="6" t="s">
        <v>190</v>
      </c>
      <c r="C12" s="6" t="s">
        <v>191</v>
      </c>
      <c r="D12" s="6" t="s">
        <v>192</v>
      </c>
      <c r="E12" s="6" t="s">
        <v>193</v>
      </c>
      <c r="F12" s="6" t="s">
        <v>193</v>
      </c>
      <c r="G12" s="6" t="s">
        <v>192</v>
      </c>
      <c r="H12" s="6" t="s">
        <v>192</v>
      </c>
      <c r="I12" s="6" t="s">
        <v>194</v>
      </c>
      <c r="J12" s="6" t="s">
        <v>91</v>
      </c>
      <c r="K12" s="6" t="s">
        <v>195</v>
      </c>
    </row>
    <row r="13" customFormat="false" ht="23.85" hidden="false" customHeight="false" outlineLevel="0" collapsed="false">
      <c r="A13" s="4" t="s">
        <v>59</v>
      </c>
      <c r="B13" s="4" t="s">
        <v>190</v>
      </c>
      <c r="C13" s="4" t="s">
        <v>191</v>
      </c>
      <c r="D13" s="4" t="s">
        <v>192</v>
      </c>
      <c r="E13" s="4" t="s">
        <v>193</v>
      </c>
      <c r="F13" s="4" t="s">
        <v>193</v>
      </c>
      <c r="G13" s="4" t="s">
        <v>192</v>
      </c>
      <c r="H13" s="4" t="s">
        <v>192</v>
      </c>
      <c r="I13" s="4" t="s">
        <v>194</v>
      </c>
      <c r="J13" s="4" t="s">
        <v>91</v>
      </c>
      <c r="K13" s="8" t="s">
        <v>196</v>
      </c>
    </row>
    <row r="14" customFormat="false" ht="23.85" hidden="false" customHeight="false" outlineLevel="0" collapsed="false">
      <c r="A14" s="6" t="s">
        <v>75</v>
      </c>
      <c r="B14" s="6" t="s">
        <v>190</v>
      </c>
      <c r="C14" s="6" t="s">
        <v>191</v>
      </c>
      <c r="D14" s="6" t="s">
        <v>192</v>
      </c>
      <c r="E14" s="6" t="s">
        <v>193</v>
      </c>
      <c r="F14" s="6" t="s">
        <v>193</v>
      </c>
      <c r="G14" s="6" t="s">
        <v>192</v>
      </c>
      <c r="H14" s="6" t="s">
        <v>192</v>
      </c>
      <c r="I14" s="6" t="s">
        <v>194</v>
      </c>
      <c r="J14" s="6" t="s">
        <v>91</v>
      </c>
      <c r="K14" s="6" t="s">
        <v>197</v>
      </c>
    </row>
    <row r="15" customFormat="false" ht="23.85" hidden="false" customHeight="false" outlineLevel="0" collapsed="false">
      <c r="A15" s="4" t="s">
        <v>89</v>
      </c>
      <c r="B15" s="4" t="s">
        <v>190</v>
      </c>
      <c r="C15" s="4" t="s">
        <v>191</v>
      </c>
      <c r="D15" s="4" t="s">
        <v>192</v>
      </c>
      <c r="E15" s="4" t="s">
        <v>193</v>
      </c>
      <c r="F15" s="4" t="s">
        <v>193</v>
      </c>
      <c r="G15" s="4" t="s">
        <v>192</v>
      </c>
      <c r="H15" s="4" t="s">
        <v>192</v>
      </c>
      <c r="I15" s="4" t="s">
        <v>194</v>
      </c>
      <c r="J15" s="4" t="s">
        <v>91</v>
      </c>
      <c r="K15" s="8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1E63"/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4"/>
    <col collapsed="false" customWidth="true" hidden="false" outlineLevel="0" max="4" min="4" style="0" width="55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199</v>
      </c>
    </row>
    <row r="2" customFormat="false" ht="15" hidden="false" customHeight="false" outlineLevel="0" collapsed="false">
      <c r="A2" s="2" t="s">
        <v>200</v>
      </c>
    </row>
    <row r="4" customFormat="false" ht="15" hidden="false" customHeight="false" outlineLevel="0" collapsed="false">
      <c r="A4" s="3" t="s">
        <v>201</v>
      </c>
      <c r="B4" s="3" t="s">
        <v>2</v>
      </c>
      <c r="C4" s="3" t="s">
        <v>202</v>
      </c>
      <c r="D4" s="3" t="s">
        <v>203</v>
      </c>
      <c r="E4" s="3" t="s">
        <v>204</v>
      </c>
      <c r="F4" s="3" t="s">
        <v>205</v>
      </c>
      <c r="G4" s="3" t="s">
        <v>206</v>
      </c>
    </row>
    <row r="5" customFormat="false" ht="35.05" hidden="false" customHeight="false" outlineLevel="0" collapsed="false">
      <c r="A5" s="4" t="s">
        <v>207</v>
      </c>
      <c r="B5" s="4" t="s">
        <v>208</v>
      </c>
      <c r="C5" s="4" t="s">
        <v>209</v>
      </c>
      <c r="D5" s="4" t="s">
        <v>210</v>
      </c>
      <c r="E5" s="4" t="s">
        <v>211</v>
      </c>
      <c r="F5" s="4" t="s">
        <v>212</v>
      </c>
      <c r="G5" s="15" t="s">
        <v>213</v>
      </c>
    </row>
    <row r="6" customFormat="false" ht="35.05" hidden="false" customHeight="false" outlineLevel="0" collapsed="false">
      <c r="A6" s="6" t="s">
        <v>214</v>
      </c>
      <c r="B6" s="6" t="s">
        <v>22</v>
      </c>
      <c r="C6" s="6" t="s">
        <v>215</v>
      </c>
      <c r="D6" s="6" t="s">
        <v>216</v>
      </c>
      <c r="E6" s="6" t="s">
        <v>217</v>
      </c>
      <c r="F6" s="6" t="s">
        <v>218</v>
      </c>
      <c r="G6" s="6" t="s">
        <v>213</v>
      </c>
    </row>
    <row r="7" customFormat="false" ht="35.05" hidden="false" customHeight="false" outlineLevel="0" collapsed="false">
      <c r="A7" s="4" t="s">
        <v>219</v>
      </c>
      <c r="B7" s="4" t="s">
        <v>51</v>
      </c>
      <c r="C7" s="4" t="s">
        <v>220</v>
      </c>
      <c r="D7" s="4" t="s">
        <v>221</v>
      </c>
      <c r="E7" s="4" t="s">
        <v>222</v>
      </c>
      <c r="F7" s="4" t="s">
        <v>223</v>
      </c>
      <c r="G7" s="8" t="s">
        <v>224</v>
      </c>
    </row>
    <row r="8" customFormat="false" ht="23.85" hidden="false" customHeight="false" outlineLevel="0" collapsed="false">
      <c r="A8" s="6" t="s">
        <v>225</v>
      </c>
      <c r="B8" s="6" t="s">
        <v>82</v>
      </c>
      <c r="C8" s="6" t="s">
        <v>226</v>
      </c>
      <c r="D8" s="6" t="s">
        <v>227</v>
      </c>
      <c r="E8" s="6" t="s">
        <v>228</v>
      </c>
      <c r="F8" s="6" t="s">
        <v>229</v>
      </c>
      <c r="G8" s="6" t="s">
        <v>230</v>
      </c>
    </row>
    <row r="9" customFormat="false" ht="23.85" hidden="false" customHeight="false" outlineLevel="0" collapsed="false">
      <c r="A9" s="4" t="s">
        <v>231</v>
      </c>
      <c r="B9" s="4" t="s">
        <v>68</v>
      </c>
      <c r="C9" s="4" t="s">
        <v>232</v>
      </c>
      <c r="D9" s="4" t="s">
        <v>233</v>
      </c>
      <c r="E9" s="4" t="s">
        <v>234</v>
      </c>
      <c r="F9" s="4" t="s">
        <v>235</v>
      </c>
      <c r="G9" s="16" t="s">
        <v>230</v>
      </c>
    </row>
    <row r="10" customFormat="false" ht="35.05" hidden="false" customHeight="false" outlineLevel="0" collapsed="false">
      <c r="A10" s="6" t="s">
        <v>236</v>
      </c>
      <c r="B10" s="6" t="s">
        <v>41</v>
      </c>
      <c r="C10" s="6" t="s">
        <v>237</v>
      </c>
      <c r="D10" s="6" t="s">
        <v>238</v>
      </c>
      <c r="E10" s="6" t="s">
        <v>239</v>
      </c>
      <c r="F10" s="6" t="s">
        <v>240</v>
      </c>
      <c r="G10" s="6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2026-03-02T10:47:00Z</dcterms:created>
  <dc:creator>openpyxl</dc:creator>
  <dc:description/>
  <dc:language>en-US</dc:language>
  <cp:lastModifiedBy/>
  <dcterms:modified xsi:type="dcterms:W3CDTF">2026-03-02T10:47:00Z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