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wner\Documents\EtsyAutomation\EtsyResearch\"/>
    </mc:Choice>
  </mc:AlternateContent>
  <xr:revisionPtr revIDLastSave="0" documentId="8_{73AB35BA-3EAF-4C18-980D-DB08F33DAD58}" xr6:coauthVersionLast="47" xr6:coauthVersionMax="47" xr10:uidLastSave="{00000000-0000-0000-0000-000000000000}"/>
  <bookViews>
    <workbookView xWindow="-108" yWindow="-108" windowWidth="23256" windowHeight="12456" tabRatio="500" firstSheet="2" activeTab="2" xr2:uid="{00000000-000D-0000-FFFF-FFFF00000000}"/>
  </bookViews>
  <sheets>
    <sheet name="Executive Summary" sheetId="1" r:id="rId1"/>
    <sheet name="Keyword Design Analysis" sheetId="2" r:id="rId2"/>
    <sheet name="Product-Keyword Matrix" sheetId="3" r:id="rId3"/>
    <sheet name="Color Palette Guide" sheetId="4" r:id="rId4"/>
    <sheet name="Motif Design Guide" sheetId="5" r:id="rId5"/>
    <sheet name="AI Prompt Templates" sheetId="6" r:id="rId6"/>
    <sheet name="Mockup &amp; Listing Guide" sheetId="7" r:id="rId7"/>
    <sheet name="Priority Launch Matrix" sheetId="8" r:id="rId8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3" i="8" l="1"/>
  <c r="G12" i="8"/>
  <c r="G11" i="8"/>
  <c r="G10" i="8"/>
  <c r="G9" i="8"/>
  <c r="G8" i="8"/>
  <c r="G7" i="8"/>
  <c r="G6" i="8"/>
  <c r="G5" i="8"/>
  <c r="G4" i="8"/>
  <c r="G3" i="8"/>
  <c r="G2" i="8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</calcChain>
</file>

<file path=xl/sharedStrings.xml><?xml version="1.0" encoding="utf-8"?>
<sst xmlns="http://schemas.openxmlformats.org/spreadsheetml/2006/main" count="593" uniqueCount="443">
  <si>
    <t>AOP DRESS DESIGN GUIDE — Google Shopping Competition Analysis</t>
  </si>
  <si>
    <t>Based on Visual Analysis of 6 Google Shopping Feeds × 28 Yoycol AOP Dress Types | Feb 24, 2026</t>
  </si>
  <si>
    <t>KEY FINDINGS FROM VISUAL FEED ANALYSIS</t>
  </si>
  <si>
    <t>1. PRINT-DRIVEN markets dominate 5 of 6 keywords</t>
  </si>
  <si>
    <t>AOP sublimation dresses directly compete with Google Shopping listings. Majority of top results are printed polyester, NOT construction-driven (velvet/lace/corset).</t>
  </si>
  <si>
    <t>2. Dark backgrounds + vivid motifs = winning formula</t>
  </si>
  <si>
    <t>Dark floral ($124-$131 for top sellers) and celestial ($31-$137) keywords show black/navy backgrounds with bright floral/celestial overlays as the dominant visual pattern.</t>
  </si>
  <si>
    <t>3. Boho = flowing maximalism, bright colors</t>
  </si>
  <si>
    <t>Boho floral maxi keyword ($39-$125) shows large-scale floral prints on flowing silhouettes. Earth tones + jewel tones. Maxi length is mandatory.</t>
  </si>
  <si>
    <t>4. Cottagecore splits: print vs construction</t>
  </si>
  <si>
    <t>Only ~40% of cottagecore results are print-driven (ditsy florals, strawberry prints). The rest are construction-driven (corsets, lace). Target the print-driven subset with specific silhouettes.</t>
  </si>
  <si>
    <t>5. Whimsigoth = dark romantic prints</t>
  </si>
  <si>
    <t>Strong overlap with dark floral + celestial. Moon/star/moth/mushroom motifs on black backgrounds. T-shirt dress and midi/maxi formats dominate the print-driven segment.</t>
  </si>
  <si>
    <t>6. Yoycol has PERFECT product matches</t>
  </si>
  <si>
    <t>28 dress types at $6-$24 COGS. Elegant Long Dress, Slip Dress, V-Neck Maxi, Ruffle Hem, Off-Shoulder — all match Google Shopping silhouettes exactly.</t>
  </si>
  <si>
    <t>Keyword</t>
  </si>
  <si>
    <t>Monthly Vol</t>
  </si>
  <si>
    <t>CPC ($)</t>
  </si>
  <si>
    <t>Dominant Design Type</t>
  </si>
  <si>
    <t>Background Colors</t>
  </si>
  <si>
    <t>Motif Types</t>
  </si>
  <si>
    <t>Motif Colors</t>
  </si>
  <si>
    <t>Price Range ($)</t>
  </si>
  <si>
    <t>Key Competitors</t>
  </si>
  <si>
    <t>AOP Viability</t>
  </si>
  <si>
    <t>dark floral dress</t>
  </si>
  <si>
    <t>All-over floral print on dark base</t>
  </si>
  <si>
    <t>Black, Navy, Deep Burgundy, Dark Teal</t>
  </si>
  <si>
    <t>Large roses, peonies, butterflies, peacock feathers, dahlias, botanical leaves</t>
  </si>
  <si>
    <t>Crimson, Blush Pink, Gold, Emerald, Ivory, Coral</t>
  </si>
  <si>
    <t>$52-$245</t>
  </si>
  <si>
    <t>Free Fashion World, Seven Women, Shein, Peppermayo, ASOS</t>
  </si>
  <si>
    <t>★★★★★ Perfect AOP match</t>
  </si>
  <si>
    <t>boho floral maxi dress</t>
  </si>
  <si>
    <t>Large-scale floral on flowing maxi</t>
  </si>
  <si>
    <t>White, Cream, Sage Green, Dusty Rose, Navy, Rust</t>
  </si>
  <si>
    <t>Oversized wildflowers, sunflowers, tropical leaves, paisley, ditsy mix</t>
  </si>
  <si>
    <t>Terracotta, Mustard, Sage, Coral, Sky Blue, Burgundy</t>
  </si>
  <si>
    <t>$18-$140</t>
  </si>
  <si>
    <t>Amazon, Lulus, Cupshe, Berlook, Natural Life, Boho-Eclectica</t>
  </si>
  <si>
    <t>cottagecore dress</t>
  </si>
  <si>
    <t>Mixed: ~40% print / ~60% construction</t>
  </si>
  <si>
    <t>White, Cream, Sage, Lavender, Pastel Yellow, Light Blue</t>
  </si>
  <si>
    <t>Ditsy florals, strawberries, cherries, mushrooms, daisies, gingham pattern</t>
  </si>
  <si>
    <t>Pastel Pink, Lavender, Sage Green, Baby Blue, Buttercup Yellow</t>
  </si>
  <si>
    <t>$34-$149</t>
  </si>
  <si>
    <t>Shein, BloomChic, Quince, Retro Stage, Gothic Mania, Azazie</t>
  </si>
  <si>
    <t>★★★★☆ Good — target print-driven subset</t>
  </si>
  <si>
    <t>celestial dress</t>
  </si>
  <si>
    <t>Celestial prints on dark base</t>
  </si>
  <si>
    <t>Black, Midnight Blue, Deep Purple, Dark Teal</t>
  </si>
  <si>
    <t>Moon phases, stars, constellations, sun, zodiac symbols, moths, mandala</t>
  </si>
  <si>
    <t>Gold, Silver, White, Pale Blue, Lavender, Amber</t>
  </si>
  <si>
    <t>$18-$348</t>
  </si>
  <si>
    <t>Fashion Nova, Rosegal, Mademoiselle Curvy, Etsy sellers, CIDER, Dolls Kill</t>
  </si>
  <si>
    <t>vintage floral dress</t>
  </si>
  <si>
    <t>Retro floral prints, 50s/60s inspired</t>
  </si>
  <si>
    <t>White, Cream, Pale Pink, Powder Blue, Black, Sage</t>
  </si>
  <si>
    <t>Cabbage roses, trailing vines, chintz florals, teacup roses, toile pattern</t>
  </si>
  <si>
    <t>Dusty Rose, Sage, Ivory, Vintage Red, Cornflower Blue, Mauve</t>
  </si>
  <si>
    <t>$52-$205</t>
  </si>
  <si>
    <t>Retro Stage, Azazie, Joaura, Shein, Peppermayo, Dorevy, Kouvr</t>
  </si>
  <si>
    <t>★★★★☆ Good — avoid satin/lace-heavy items</t>
  </si>
  <si>
    <t>whimsigoth dress</t>
  </si>
  <si>
    <t>Dark romantic prints, gothic-boho</t>
  </si>
  <si>
    <t>Black, Dark Purple, Dark Green, Burgundy, Dark Brown</t>
  </si>
  <si>
    <t>Moons, stars, mushrooms, moths/butterflies, ravens, florals, skulls, tarot</t>
  </si>
  <si>
    <t>Gold, Silver, Deep Red, Forest Green, Ivory, Amber, Purple</t>
  </si>
  <si>
    <t>$20-$230</t>
  </si>
  <si>
    <t>WDIRARA, CIDER, Gothic Mania, Etsy vintage sellers, Scarlet Darkness</t>
  </si>
  <si>
    <t>★★★★★ Perfect AOP match — low competition</t>
  </si>
  <si>
    <t>Yoycol Product Type</t>
  </si>
  <si>
    <t>COGS ($)</t>
  </si>
  <si>
    <t>Sizes</t>
  </si>
  <si>
    <t>Best For Keywords</t>
  </si>
  <si>
    <t>Google Shopping Match</t>
  </si>
  <si>
    <t>Recommended Sale Price ($)</t>
  </si>
  <si>
    <t>Margin %</t>
  </si>
  <si>
    <t>Priority</t>
  </si>
  <si>
    <t>Elegant Long Dress</t>
  </si>
  <si>
    <t>S-8XL</t>
  </si>
  <si>
    <t>dark floral, celestial, whimsigoth, vintage floral</t>
  </si>
  <si>
    <t>Matches maxi/long dresses dominating feeds. Flowing silhouette = boho/celestial perfect</t>
  </si>
  <si>
    <t>★★★ TOP PICK</t>
  </si>
  <si>
    <t>Slip Dress</t>
  </si>
  <si>
    <t>XS-5XL</t>
  </si>
  <si>
    <t>dark floral, celestial, whimsigoth</t>
  </si>
  <si>
    <t>Matches spaghetti strap/slip styles seen in dark floral feed. Minimal silhouette = print hero</t>
  </si>
  <si>
    <t>Ruffle Hem Dress</t>
  </si>
  <si>
    <t>S-6XL</t>
  </si>
  <si>
    <t>boho floral, cottagecore, vintage floral</t>
  </si>
  <si>
    <t>Matches ruffle/tiered styles in boho + cottagecore feeds. Feminine detail = cottagecore</t>
  </si>
  <si>
    <t>V-Neck Maxi Dress (Elegant)</t>
  </si>
  <si>
    <t>S-5XL</t>
  </si>
  <si>
    <t>boho floral, dark floral, vintage floral</t>
  </si>
  <si>
    <t>V-neck maxi silhouette appears 15+ times across all feeds. Universal best-seller shape</t>
  </si>
  <si>
    <t>Off-shoulder Dress With Ruffle</t>
  </si>
  <si>
    <t>XS-2XL</t>
  </si>
  <si>
    <t>boho floral, cottagecore</t>
  </si>
  <si>
    <t>Off-shoulder + ruffle = top boho feed pattern. Matches Cupshe/OMZIN styles exactly</t>
  </si>
  <si>
    <t>★★☆ HIGH</t>
  </si>
  <si>
    <t>Long Dress with Slit</t>
  </si>
  <si>
    <t>Side-slit maxi seen in dark floral + celestial feeds. Dramatic, editorial feel</t>
  </si>
  <si>
    <t>Short Sleeve V Neck Midi Dress</t>
  </si>
  <si>
    <t>cottagecore, vintage floral</t>
  </si>
  <si>
    <t>Midi + short sleeve = classic cottagecore/vintage shape. Retro Stage style match</t>
  </si>
  <si>
    <t>Velvet Shine Maxi Dress</t>
  </si>
  <si>
    <t>XS-6XL</t>
  </si>
  <si>
    <t>celestial, whimsigoth, dark floral</t>
  </si>
  <si>
    <t>Velvet sheen adds premium feel for celestial/witchy aesthetic. Unique differentiator</t>
  </si>
  <si>
    <t>Halter Skater Dress</t>
  </si>
  <si>
    <t>vintage floral, cottagecore</t>
  </si>
  <si>
    <t>Halter + flared skirt = 1950s vintage shape. Retro Stage direct competitor</t>
  </si>
  <si>
    <t>Long Sleeve Dress</t>
  </si>
  <si>
    <t>dark floral, whimsigoth, celestial</t>
  </si>
  <si>
    <t>Long sleeve seen in fall/winter dark floral feeds. Year-round with celestial prints</t>
  </si>
  <si>
    <t>Shirt Dress with Waist Tie</t>
  </si>
  <si>
    <t>XS-7XL</t>
  </si>
  <si>
    <t>Shirt dress + tie waist = casual boho. Plus size range (up to 7XL) = opportunity</t>
  </si>
  <si>
    <t>★☆☆ MEDIUM</t>
  </si>
  <si>
    <t>Midi Dress</t>
  </si>
  <si>
    <t>Classic midi seen across vintage + cottagecore feeds. Huge size range for plus-size market</t>
  </si>
  <si>
    <t>V-neck Long Sleeve Dress (Plus Size)</t>
  </si>
  <si>
    <t>L-5XL</t>
  </si>
  <si>
    <t>dark floral, boho floral, whimsigoth</t>
  </si>
  <si>
    <t>Plus-size specific. Boheme Junction ($88) and BloomChic dominate this niche. Underserved on GShop</t>
  </si>
  <si>
    <t>Knee-Length V-Neck Dress</t>
  </si>
  <si>
    <t>XS-4XL</t>
  </si>
  <si>
    <t>dark floral, vintage floral</t>
  </si>
  <si>
    <t>Knee-length V-neck = workwear crossover. Dual market: casual + office</t>
  </si>
  <si>
    <t>Sleeveless Dress (S-6XL)</t>
  </si>
  <si>
    <t>celestial, boho floral</t>
  </si>
  <si>
    <t>Sleeveless maxi = summer celestial/boho. Matches CIDER/Rosegal styles</t>
  </si>
  <si>
    <t>Keyword Niche</t>
  </si>
  <si>
    <t>Background Base Color</t>
  </si>
  <si>
    <t>Hex Code</t>
  </si>
  <si>
    <t>Primary Motif Colors (3-4)</t>
  </si>
  <si>
    <t>Hex Codes</t>
  </si>
  <si>
    <t>Accent Colors (1-2)</t>
  </si>
  <si>
    <t>Colors to AVOID</t>
  </si>
  <si>
    <t>Jet Black</t>
  </si>
  <si>
    <t>#0A0A0A</t>
  </si>
  <si>
    <t>Crimson Rose, Blush Pink, Deep Gold</t>
  </si>
  <si>
    <t>#DC143C, #FFB6C1, #B8860B</t>
  </si>
  <si>
    <t>Emerald Green, Ivory</t>
  </si>
  <si>
    <t>#2E8B57, #FFFFF0</t>
  </si>
  <si>
    <t>Neon colors, pastels, white backgrounds</t>
  </si>
  <si>
    <t>Midnight Navy</t>
  </si>
  <si>
    <t>#191970</t>
  </si>
  <si>
    <t>Hot Pink, Coral, Champagne Gold</t>
  </si>
  <si>
    <t>#FF69B4, #FF7F50, #F7E7CE</t>
  </si>
  <si>
    <t>Teal, Silver</t>
  </si>
  <si>
    <t>#008080, #C0C0C0</t>
  </si>
  <si>
    <t>Bright blue, orange, yellow</t>
  </si>
  <si>
    <t>Deep Burgundy</t>
  </si>
  <si>
    <t>#4A0020</t>
  </si>
  <si>
    <t>Blush, Ivory, Gold Leaf</t>
  </si>
  <si>
    <t>#FFE4E1, #FFFFF0, #CFB53B</t>
  </si>
  <si>
    <t>Forest Green, Copper</t>
  </si>
  <si>
    <t>#228B22, #B87333</t>
  </si>
  <si>
    <t>Bright primaries, neon</t>
  </si>
  <si>
    <t>boho floral</t>
  </si>
  <si>
    <t>Ivory/Cream</t>
  </si>
  <si>
    <t>#FFFDD0</t>
  </si>
  <si>
    <t>Terracotta, Sage Green, Dusty Rose</t>
  </si>
  <si>
    <t>#E2725B, #9CAF88, #C9A9A6</t>
  </si>
  <si>
    <t>Mustard, Deep Teal</t>
  </si>
  <si>
    <t>#E1AD01, #005F6B</t>
  </si>
  <si>
    <t>Black backgrounds, neon, cold grays</t>
  </si>
  <si>
    <t>Rust/Terracotta</t>
  </si>
  <si>
    <t>#A0522D</t>
  </si>
  <si>
    <t>Ivory, Gold, Sage</t>
  </si>
  <si>
    <t>#FFFFF0, #DAA520, #9CAF88</t>
  </si>
  <si>
    <t>Dusty Blue, Burgundy</t>
  </si>
  <si>
    <t>#6699CC, #800020</t>
  </si>
  <si>
    <t>Bright white, electric colors</t>
  </si>
  <si>
    <t>Sage Green</t>
  </si>
  <si>
    <t>#8FBC8F</t>
  </si>
  <si>
    <t>Ivory, Coral, Mauve</t>
  </si>
  <si>
    <t>#FFFFF0, #FF7F50, #E0B0FF</t>
  </si>
  <si>
    <t>Gold, Rust</t>
  </si>
  <si>
    <t>#DAA520, #A0522D</t>
  </si>
  <si>
    <t>Pure black, neon, cold blue</t>
  </si>
  <si>
    <t>cottagecore</t>
  </si>
  <si>
    <t>White/Cream</t>
  </si>
  <si>
    <t>#FFF8E7</t>
  </si>
  <si>
    <t>Pastel Pink, Sage, Lavender</t>
  </si>
  <si>
    <t>#FFB7C5, #9CAF88, #E6E6FA</t>
  </si>
  <si>
    <t>Buttercup Yellow, Baby Blue</t>
  </si>
  <si>
    <t>#F9E79F, #AED6F1</t>
  </si>
  <si>
    <t>Dark backgrounds, neon, gothic colors</t>
  </si>
  <si>
    <t>Pale Lavender</t>
  </si>
  <si>
    <t>#E6E6FA</t>
  </si>
  <si>
    <t>Dusty Rose, Mint, Cream</t>
  </si>
  <si>
    <t>#DCAE96, #98FB98, #FFFDD0</t>
  </si>
  <si>
    <t>Periwinkle, Peach</t>
  </si>
  <si>
    <t>#CCCCFF, #FFDAB9</t>
  </si>
  <si>
    <t>Black, red, harsh contrast</t>
  </si>
  <si>
    <t>Pastel Yellow</t>
  </si>
  <si>
    <t>#FFFACD</t>
  </si>
  <si>
    <t>Strawberry Red, Green Leaf, White</t>
  </si>
  <si>
    <t>#C41E3A, #4F7942, #FFFFFF</t>
  </si>
  <si>
    <t>Pink, Cream</t>
  </si>
  <si>
    <t>#FFB6C1, #FFFDD0</t>
  </si>
  <si>
    <t>Dark colors, gothic, metallic</t>
  </si>
  <si>
    <t>celestial</t>
  </si>
  <si>
    <t>Gold, Silver, Pale Blue</t>
  </si>
  <si>
    <t>#FFD700, #C0C0C0, #ADD8E6</t>
  </si>
  <si>
    <t>Lavender, Amber</t>
  </si>
  <si>
    <t>#E6E6FA, #FFBF00</t>
  </si>
  <si>
    <t>Pastels, earth tones, florals</t>
  </si>
  <si>
    <t>Midnight Blue</t>
  </si>
  <si>
    <t>Gold Foil, White, Pale Violet</t>
  </si>
  <si>
    <t>#CFB53B, #FFFFFF, #DDA0DD</t>
  </si>
  <si>
    <t>Teal, Rose Gold</t>
  </si>
  <si>
    <t>#008080, #B76E79</t>
  </si>
  <si>
    <t>Warm earth tones, bright greens</t>
  </si>
  <si>
    <t>Deep Purple</t>
  </si>
  <si>
    <t>#301934</t>
  </si>
  <si>
    <t>Silver, Pale Blue, White</t>
  </si>
  <si>
    <t>#C0C0C0, #ADD8E6, #FFFFFF</t>
  </si>
  <si>
    <t>Gold, Soft Pink</t>
  </si>
  <si>
    <t>#FFD700, #FFB6C1</t>
  </si>
  <si>
    <t>Bright colors, pastels, florals</t>
  </si>
  <si>
    <t>vintage floral</t>
  </si>
  <si>
    <t>White/Ivory</t>
  </si>
  <si>
    <t>#FFFFF0</t>
  </si>
  <si>
    <t>Dusty Rose, Sage, Cornflower Blue</t>
  </si>
  <si>
    <t>#DCAE96, #9CAF88, #6495ED</t>
  </si>
  <si>
    <t>Vintage Red, Mauve</t>
  </si>
  <si>
    <t>#B22222, #E0B0FF</t>
  </si>
  <si>
    <t>Neon, black backgrounds, modern metallics</t>
  </si>
  <si>
    <t>Powder Blue</t>
  </si>
  <si>
    <t>#B0E0E6</t>
  </si>
  <si>
    <t>Soft Pink, Cream, Sage</t>
  </si>
  <si>
    <t>#FFB6C1, #FFFDD0, #9CAF88</t>
  </si>
  <si>
    <t>Burgundy, Gold</t>
  </si>
  <si>
    <t>#800020, #DAA520</t>
  </si>
  <si>
    <t>Harsh primaries, neon, black</t>
  </si>
  <si>
    <t>Pale Pink</t>
  </si>
  <si>
    <t>#FFE4E1</t>
  </si>
  <si>
    <t>Deep Rose, Sage, Cream</t>
  </si>
  <si>
    <t>#C71585, #9CAF88, #FFFDD0</t>
  </si>
  <si>
    <t>Gold, Burgundy</t>
  </si>
  <si>
    <t>#DAA520, #800020</t>
  </si>
  <si>
    <t>Bright blue, orange, neon</t>
  </si>
  <si>
    <t>whimsigoth</t>
  </si>
  <si>
    <t>Gold, Deep Red, Forest Green</t>
  </si>
  <si>
    <t>#FFD700, #8B0000, #228B22</t>
  </si>
  <si>
    <t>Silver, Amber</t>
  </si>
  <si>
    <t>#C0C0C0, #FFBF00</t>
  </si>
  <si>
    <t>Pastels, bright colors, white backgrounds</t>
  </si>
  <si>
    <t>Dark Purple</t>
  </si>
  <si>
    <t>#2D1B4E</t>
  </si>
  <si>
    <t>Gold, Ivory, Deep Red</t>
  </si>
  <si>
    <t>#FFD700, #FFFFF0, #8B0000</t>
  </si>
  <si>
    <t>Teal, Copper</t>
  </si>
  <si>
    <t>#008080, #B87333</t>
  </si>
  <si>
    <t>Bright pastels, warm earth tones</t>
  </si>
  <si>
    <t>Dark Forest Green</t>
  </si>
  <si>
    <t>#0B3D0B</t>
  </si>
  <si>
    <t>Gold, Ivory, Burgundy</t>
  </si>
  <si>
    <t>#FFD700, #FFFFF0, #800020</t>
  </si>
  <si>
    <t>Copper, Pale Blue</t>
  </si>
  <si>
    <t>#B87333, #ADD8E6</t>
  </si>
  <si>
    <t>Pastels, bright pink, orange</t>
  </si>
  <si>
    <t>Primary Motifs</t>
  </si>
  <si>
    <t>Secondary Motifs</t>
  </si>
  <si>
    <t>Pattern Scale</t>
  </si>
  <si>
    <t>Pattern Density</t>
  </si>
  <si>
    <t>Composition Style</t>
  </si>
  <si>
    <t>Mood/Atmosphere</t>
  </si>
  <si>
    <t>Reference Products from Google Shopping</t>
  </si>
  <si>
    <t>Large peonies, roses, dahlias, butterflies, peacock feathers</t>
  </si>
  <si>
    <t>Trailing vines, small leaves, dewdrops, ferns</t>
  </si>
  <si>
    <t>LARGE — motifs 15-30% of panel width</t>
  </si>
  <si>
    <t>Medium-High — 60-80% coverage, some dark breathing space</t>
  </si>
  <si>
    <t>Scattered organic with focal cluster. NOT evenly tiled. Asymmetric placement.</t>
  </si>
  <si>
    <t>Moody, romantic, midnight garden. Like a Victorian botanical illustration lit by moonlight.</t>
  </si>
  <si>
    <t>Midnight Butterflies ($124), Night Peacock Feathers ($131), Art Deco Botanical ($125), Topshop Crinkle Mesh ($51)</t>
  </si>
  <si>
    <t>boho floral maxi</t>
  </si>
  <si>
    <t>Oversized wildflowers, sunflowers, tropical leaves, abstract blooms</t>
  </si>
  <si>
    <t>Paisley accents, small ditsy fills, seed pods, trailing stems</t>
  </si>
  <si>
    <t>VERY LARGE — hero flowers 20-40% of panel</t>
  </si>
  <si>
    <t>Medium — 50-70% coverage. Airy, breathing space between motifs</t>
  </si>
  <si>
    <t>Free-flowing, organic spread. Looks hand-painted. Imperfect, artsy edges.</t>
  </si>
  <si>
    <t>Free-spirited, sunny, wanderlust. Like a pressed flower journal from a summer road trip.</t>
  </si>
  <si>
    <t>Evangeline Maxi ($89), Bold Blooms ($58), Lulus Tiered ($125), Cupshe V-Neck ($48, 4.5★ 120 reviews)</t>
  </si>
  <si>
    <t>Ditsy florals, strawberries, cherries, daisies, tiny mushrooms</t>
  </si>
  <si>
    <t>Bees, ladybugs, gingham check, small leaves, berry clusters</t>
  </si>
  <si>
    <t>SMALL-MEDIUM — ditsy repeat, motifs 3-10% of panel</t>
  </si>
  <si>
    <t>Medium-High — 70-85% coverage. Dense, wallpaper-like. Charming repetition.</t>
  </si>
  <si>
    <t>Regular repeat / half-drop. Even spacing. Looks like vintage wallpaper or fabric bolt.</t>
  </si>
  <si>
    <t>Sweet, nostalgic, pastoral. Like grandmother's porcelain teacup pattern or a 1940s kitchen curtain.</t>
  </si>
  <si>
    <t>Retro Stage Tea Party ($49), Millennials In Motion Strawberry ($35), BloomChic Ditsy ($36), Quince Poplin Tiered ($95, 4.5★ 7000+)</t>
  </si>
  <si>
    <t>Moon phases, stars, constellations, sun faces, zodiac wheels</t>
  </si>
  <si>
    <t>Moths, dragonflies, cosmic clouds, sacred geometry, crystal formations</t>
  </si>
  <si>
    <t>MEDIUM — moons/suns 10-20% of panel</t>
  </si>
  <si>
    <t>Medium — 50-65% coverage. Spacious, cosmic void between motifs</t>
  </si>
  <si>
    <t>Floating, zero-gravity arrangement. Elements scattered like a star map. Some radial symmetry.</t>
  </si>
  <si>
    <t>Mystical, cosmic, dreamy. Like lying on your back staring at a clear night sky. Ethereal glow.</t>
  </si>
  <si>
    <t>Fashion Nova Celestial Dream ($31, 5.0★), Celestial Moon+Stars Halter ($104), Hell Bunny Moonlit Gothic ($111), KLL Mandala Moon Zodiac ($37)</t>
  </si>
  <si>
    <t>Cabbage roses, trailing roses, chintz florals, peony clusters</t>
  </si>
  <si>
    <t>Ribbon bows, trailing vines, small berries, butterflies, toile elements</t>
  </si>
  <si>
    <t>MEDIUM-LARGE — roses 10-25% of panel</t>
  </si>
  <si>
    <t>High — 75-90% coverage. Dense, luxurious. Classic fabric-print density.</t>
  </si>
  <si>
    <t>Classic textile repeat. Half-drop or mirror. Formal, balanced, like Liberty of London fabric.</t>
  </si>
  <si>
    <t>Elegant, timeless, ladylike. Like a 1950s garden party dress or English country house wallpaper.</t>
  </si>
  <si>
    <t>Retro Stage 1950s ($70), Joaura Vintage Print ($58), Shein Vintage Slip ($73), Azazie Sweetheart ($149, 4.5★ 40)</t>
  </si>
  <si>
    <t>Crescent moons, death moths, mushrooms, ravens, tarot symbols, skulls+flowers</t>
  </si>
  <si>
    <t>Crystals, snakes, potions, pentagrams, celestial eyes, botanical herbs</t>
  </si>
  <si>
    <t>MEDIUM — motifs 10-20% of panel</t>
  </si>
  <si>
    <t>Medium — 55-70% coverage. Balanced between dark space and detail</t>
  </si>
  <si>
    <t>Scattered mystical symbols floating in darkness. Some symmetry (mirror moths). Mix of scales.</t>
  </si>
  <si>
    <t>Dark romantic, witchy, mysterious. Like a spellbook illustration or Victorian occult print.</t>
  </si>
  <si>
    <t>WDIRARA Floral Gothic ($52), Whimsigoth Floral T-Shirt ($49, 5.0★ Etsy), CIDER Whimsigoth Stretch ($20), Vtg Y2k Fairycore Ethereal</t>
  </si>
  <si>
    <t>Yoycol Product</t>
  </si>
  <si>
    <t>AI Image Gen Prompt (Gemini/DALL-E/Midjourney)</t>
  </si>
  <si>
    <t>Negative Prompt / Avoid</t>
  </si>
  <si>
    <t>Mockup Photo Prompt</t>
  </si>
  <si>
    <t>Seamless all-over textile print design. Dense arrangement of large crimson peonies, blush pink roses, and golden dahlias with trailing dark green vines on a jet black background. Midnight garden botanical illustration style. Moody romantic atmosphere. Rich saturated colors with subtle gold leaf accents. NO garment shapes, NO mannequins — flat textile swatch only. Edge-to-edge coverage. 4500x5400px resolution.</t>
  </si>
  <si>
    <t>NO garment silhouettes, NO model, NO mannequin, NO white background, NO neon colors, NO cartoon style, NO watermark, NO text, NO low resolution</t>
  </si>
  <si>
    <t>Editorial fashion photo of a woman wearing an elegant long maxi dress with [DESIGN] print. She stands in a misty garden at golden hour. Moody, dark romantic atmosphere. Soft bokeh background of dark foliage. Professional fashion photography, Canon EOS R5, 85mm f/1.4.</t>
  </si>
  <si>
    <t>Seamless all-over textile print design. Scattered Monarch butterflies, luna moths, and night-blooming flowers on a deep midnight navy background. Detailed entomological illustration style mixed with Art Nouveau floral borders. Deep gold, coral, and ivory color palette. Flat textile swatch, edge-to-edge. 4500x5400px.</t>
  </si>
  <si>
    <t>NO garment shapes, NO human figures, NO 3D mockup, NO white space, NO text, NO low quality</t>
  </si>
  <si>
    <t>Lifestyle photo of a woman in a silk-look slip dress with [DESIGN] print. Candlelit dinner setting, dark moody restaurant. Dramatic side lighting highlighting the print. Film grain, editorial style.</t>
  </si>
  <si>
    <t>Seamless all-over textile print design. Oversized hand-painted wildflowers in terracotta, sage green, and dusty rose on an ivory cream background. Loose, organic brushstrokes. Watercolor effect. Sunflowers, poppies, and abstract bloom shapes. Bohemian, free-spirited aesthetic. Flat textile swatch, edge-to-edge coverage. 4500x5400px.</t>
  </si>
  <si>
    <t>NO garment shapes, NO dark backgrounds, NO gothic elements, NO digital/vector look, NO text, NO watermark</t>
  </si>
  <si>
    <t>Outdoor lifestyle photo of a woman in a flowing ruffle hem boho dress with [DESIGN] print. She walks through a sunlit wildflower meadow. Golden hour warm light. Wind catches the fabric. Bohemian jewelry, natural hair. Canon 5D Mark IV, 70-200mm.</t>
  </si>
  <si>
    <t>Seamless all-over textile print design. Lush tropical-inspired floral with oversized hibiscus, protea, and palm leaves in coral, mustard, and sage on a warm rust/terracotta background. Painterly, slightly abstract. Global artisan feel. Flat textile swatch, edge-to-edge. 4500x5400px.</t>
  </si>
  <si>
    <t>NO garment shapes, NO cold colors, NO geometric patterns, NO text, NO digital look</t>
  </si>
  <si>
    <t>Beach lifestyle photo of a woman in an off-shoulder ruffle dress with [DESIGN] print. Sunset on a sandy beach, warm golden light. Barefoot, windswept hair. Boho accessories. Editorial travel magazine style.</t>
  </si>
  <si>
    <t>Seamless all-over textile print design. Ditsy floral repeat pattern with tiny strawberries, small daisies, and delicate green leaves on a white/cream background. Vintage wallpaper style. Sweet, charming, dense repeat. Pastel pink, sage green, and buttercup yellow color palette. Regular half-drop repeat. Flat textile swatch. 4500x5400px.</t>
  </si>
  <si>
    <t>NO dark backgrounds, NO large-scale motifs, NO gothic, NO skulls, NO modern geometric, NO text</t>
  </si>
  <si>
    <t>Cottage garden lifestyle photo. Woman in a midi dress with [DESIGN] print picking wildflowers. English country garden with roses and stone walls. Soft overcast light. Wicker basket. Straw hat. Dreamy, nostalgic film photo look.</t>
  </si>
  <si>
    <t>Seamless all-over textile print design. Dense arrangement of tiny cherries, small daisy clusters, and delicate vine tendrils on a pale lavender background. Vintage fabric store bolt aesthetic. Charming, uniform repeat pattern. Dusty rose, mint green, and cream accents. Flat textile swatch, edge-to-edge. 4500x5400px.</t>
  </si>
  <si>
    <t>NO large-scale motifs, NO dark backgrounds, NO modern style, NO skulls, NO geometric</t>
  </si>
  <si>
    <t>Picnic scene lifestyle photo. Woman in a ruffle hem dress with [DESIGN] print at a garden table set with vintage teacups and wildflowers. Dappled sunlight through trees. Warm, nostalgic atmosphere.</t>
  </si>
  <si>
    <t>Seamless all-over textile print design. Scattered gold crescent moons, white stars, and constellation patterns on a jet black background. Mix of large moon phases (15% of panel) and small scattered stars. Sacred geometry accents. Cosmic dust wisps in pale blue and gold. Mystical, ethereal atmosphere. Flat textile swatch, edge-to-edge. 4500x5400px.</t>
  </si>
  <si>
    <t>NO garment shapes, NO model, NO bright colors, NO florals, NO earth tones, NO text, NO cartoon</t>
  </si>
  <si>
    <t>Nighttime editorial photo. Woman in an elegant long celestial dress standing under a real starry sky. Moonlit silhouette. Flowing fabric catches silver light. Mystical, magical atmosphere. Dark outdoor setting with fairy lights.</t>
  </si>
  <si>
    <t>Seamless all-over textile print design. Zodiac wheel fragments, detailed sun face, crescent moons, and star clusters on a deep midnight blue background. Gold and silver metallic-look details. Sacred geometry borders. Looks like a vintage astronomy chart. Flat textile swatch, edge-to-edge. 4500x5400px.</t>
  </si>
  <si>
    <t>NO bright pastels, NO florals, NO garment shapes, NO cartoon, NO text, NO watermark</t>
  </si>
  <si>
    <t>Atmospheric indoor photo. Woman in a velvet celestial maxi dress in a candlelit room with Gothic windows. Moonlight streaming through glass. Mystical, witchy atmosphere.</t>
  </si>
  <si>
    <t>Seamless all-over textile print design. Classic 1950s chintz floral with cabbage roses, trailing ribbons, and small berries on a white/ivory background. Dusty rose, sage green, and cornflower blue palette. Dense, luxurious coverage. Classic Liberty of London fabric style. Formal repeat pattern. Flat textile swatch, edge-to-edge. 4500x5400px.</t>
  </si>
  <si>
    <t>NO modern abstract, NO dark backgrounds, NO gothic, NO neon, NO text, NO low resolution</t>
  </si>
  <si>
    <t>Retro-styled lifestyle photo. Woman in a halter skater dress with [DESIGN] print at a 1950s-style diner or garden party. Pin-up inspired pose. Red lipstick. Vintage styling. Warm, nostalgic color grading.</t>
  </si>
  <si>
    <t>V-Neck Maxi Dress</t>
  </si>
  <si>
    <t>Seamless all-over textile print design. Elegant trailing roses with ribbon bows and small butterflies on a powder blue background. Soft pink, cream, and sage palette. Chinoiserie influence. Classic, refined pattern density. Like antique French wallpaper. Flat textile swatch, edge-to-edge. 4500x5400px.</t>
  </si>
  <si>
    <t>NO modern style, NO dark backgrounds, NO skulls, NO geometric, NO text</t>
  </si>
  <si>
    <t>Garden party editorial. Woman in a V-neck maxi dress with [DESIGN] print in a rose garden. Afternoon tea setting. Soft natural light. Elegant, timeless atmosphere.</t>
  </si>
  <si>
    <t>Seamless all-over textile print design. Scattered death's head moths, crescent moons, mushroom clusters, and trailing dark florals on a jet black background. Gold, deep red, and ivory color palette. Mix of detailed entomological illustration and botanical elements. Dark romantic, occult aesthetic. Flat textile swatch, edge-to-edge. 4500x5400px.</t>
  </si>
  <si>
    <t>NO bright colors, NO pastels, NO happy/cute style, NO text, NO garment shapes, NO cartoon</t>
  </si>
  <si>
    <t>Dark editorial photo. Woman in a slip dress with [DESIGN] print in an old library or apothecary. Candlelight. Dried herbs hanging. Mystical, witchy atmosphere. Dark academia aesthetic.</t>
  </si>
  <si>
    <t>Seamless all-over textile print design. Tarot card motifs (The Moon, The Star, The High Priestess), crystal formations, snaking vines with dark flowers, and celestial eyes on a deep purple-black background. Gold leaf, silver, and forest green accents. Victorian occult illustration style. Flat textile swatch, edge-to-edge. 4500x5400px.</t>
  </si>
  <si>
    <t>NO bright/pastel colors, NO cute style, NO cartoon, NO text, NO garment shapes</t>
  </si>
  <si>
    <t>Atmospheric photo. Woman in a long-sleeve witchy dress with [DESIGN] print walking through autumn woods at dusk. Fog, dark trees. Mystical light. Editorial dark romance.</t>
  </si>
  <si>
    <t>Slot #</t>
  </si>
  <si>
    <t>Image Type</t>
  </si>
  <si>
    <t>Purpose</t>
  </si>
  <si>
    <t>Keyword-Specific Guidance</t>
  </si>
  <si>
    <t>Background/Setting</t>
  </si>
  <si>
    <t>Model Direction</t>
  </si>
  <si>
    <t>Hero Product Shot (white/light bg)</t>
  </si>
  <si>
    <t>First impression — Google Shopping thumbnail</t>
  </si>
  <si>
    <t>ALL KEYWORDS: Clean product shot on white/light gray. Print must be clearly visible. This is what shows in Google Shopping feed.</t>
  </si>
  <si>
    <t>Pure white (#FFFFFF) or very light gray (#F5F5F5)</t>
  </si>
  <si>
    <t>Ghost mannequin or flat lay. NO model. Print is the hero.</t>
  </si>
  <si>
    <t>Hero Product Shot (styled bg)</t>
  </si>
  <si>
    <t>Etsy listing hero / lifestyle context</t>
  </si>
  <si>
    <t>Dark Floral/Celestial/Whimsigoth: dark moody background. Boho: warm natural light. Cottagecore: garden/pastoral. Vintage: retro setting.</t>
  </si>
  <si>
    <t>Keyword-matched atmospheric background</t>
  </si>
  <si>
    <t>On model or ghost mannequin. Background matches niche aesthetic.</t>
  </si>
  <si>
    <t>Print Detail Close-Up</t>
  </si>
  <si>
    <t>Show print quality and design details</t>
  </si>
  <si>
    <t>ALL: Macro-style close-up of fabric showing individual motifs. Dark Floral: show rose detail. Celestial: show moon/star detail.</t>
  </si>
  <si>
    <t>Tight crop on fabric, slight angle</t>
  </si>
  <si>
    <t>No model. Fabric texture visible. Shows sublimation quality.</t>
  </si>
  <si>
    <t>Full-Length Front View</t>
  </si>
  <si>
    <t>Show complete dress silhouette</t>
  </si>
  <si>
    <t>Boho/Cottagecore: show flow and movement. Dark/Celestial: show drama. Vintage: show structure.</t>
  </si>
  <si>
    <t>Clean, simple background matching niche</t>
  </si>
  <si>
    <t>On model. Full body visible. Natural pose.</t>
  </si>
  <si>
    <t>Full-Length Back View</t>
  </si>
  <si>
    <t>Show back print/coverage</t>
  </si>
  <si>
    <t>ALL: Demonstrate all-over print continues to back. Critical for AOP credibility.</t>
  </si>
  <si>
    <t>Same background as slot 4</t>
  </si>
  <si>
    <t>On model, turned away. Show back detail.</t>
  </si>
  <si>
    <t>Lifestyle Scene</t>
  </si>
  <si>
    <t>Aspirational context / emotional connection</t>
  </si>
  <si>
    <t>Dark Floral: evening event. Boho: beach/festival. Cottagecore: garden picnic. Celestial: moonlit scene. Vintage: tea party. Whimsigoth: bookshop/forest.</t>
  </si>
  <si>
    <t>Full lifestyle environment</t>
  </si>
  <si>
    <t>On model, candid pose. Story-telling image.</t>
  </si>
  <si>
    <t>Size/Fit Reference</t>
  </si>
  <si>
    <t>Help buyer choose size</t>
  </si>
  <si>
    <t>ALL: Show on model with measurements overlay or size comparison. Plus-size friendly styling.</t>
  </si>
  <si>
    <t>Clean background</t>
  </si>
  <si>
    <t>On model. Size-inclusive representation.</t>
  </si>
  <si>
    <t>Fabric/Texture Macro</t>
  </si>
  <si>
    <t>Quality assurance</t>
  </si>
  <si>
    <t>ALL: Ultra-close on fabric weave. Shows polyester quality. For Velvet Shine: show velvet texture.</t>
  </si>
  <si>
    <t>Tight macro, natural light</t>
  </si>
  <si>
    <t>No model. Just fabric.</t>
  </si>
  <si>
    <t>Styled Outfit / Gift Shot</t>
  </si>
  <si>
    <t>Cross-sell potential / gifting appeal</t>
  </si>
  <si>
    <t>Boho: with boots + hat. Cottagecore: with basket + cardigan. Dark: with boots + leather jacket. Celestial: with moon jewelry.</t>
  </si>
  <si>
    <t>Flat lay or styled on surface</t>
  </si>
  <si>
    <t>No model. Accessories arranged around dress.</t>
  </si>
  <si>
    <t>Social Proof / UGC Style</t>
  </si>
  <si>
    <t>Build trust</t>
  </si>
  <si>
    <t>ALL: Looks like a customer photo. Slightly imperfect, authentic. Phone camera quality aesthetic.</t>
  </si>
  <si>
    <t>Casual setting (mirror selfie, living room, garden)</t>
  </si>
  <si>
    <t>On model, casual selfie-style pose.</t>
  </si>
  <si>
    <t>Design Theme</t>
  </si>
  <si>
    <t>Sale Price ($)</t>
  </si>
  <si>
    <t>Est. Profit ($)</t>
  </si>
  <si>
    <t>Monthly Search Vol</t>
  </si>
  <si>
    <t>Why This Combo</t>
  </si>
  <si>
    <t>Midnight Rose Garden — black bg, crimson peonies + gold accents</t>
  </si>
  <si>
    <t>Highest volume keyword × best-selling silhouette. $124+ competitors. Massive price advantage.</t>
  </si>
  <si>
    <t>Butterfly Nocturne — navy bg, monarch butterflies + night blooms</t>
  </si>
  <si>
    <t>Lowest COGS + trendy silhouette. $52+ on Google Shopping. 70%+ margin potential.</t>
  </si>
  <si>
    <t>Cosmic Oracle — black bg, gold moons + star constellations</t>
  </si>
  <si>
    <t>Fashion Nova sells at $31. We compete on quality + unique design. High-intent buyers.</t>
  </si>
  <si>
    <t>Tarot Garden — dark purple bg, tarot motifs + dark florals</t>
  </si>
  <si>
    <t>LOWEST competition on Google Shopping. Etsy sellers dominate = weak GShop listings. First-mover advantage.</t>
  </si>
  <si>
    <t>Strawberry Fields — cream bg, ditsy strawberries + daisies</t>
  </si>
  <si>
    <t>18K/mo volume! Quince sells plain versions at $95. Print adds uniqueness at lower price.</t>
  </si>
  <si>
    <t>Wild Garden — rust bg, oversized tropical florals</t>
  </si>
  <si>
    <t>Cheapest COGS for boho. Cupshe competitor at $48. Off-shoulder = top boho style.</t>
  </si>
  <si>
    <t>English Rose — ivory bg, chintz cabbage roses + ribbons</t>
  </si>
  <si>
    <t>Retro Stage competitor at $70. Classic 1950s shape. Year-round seller.</t>
  </si>
  <si>
    <t>Zodiac Mystic — midnight blue bg, gold zodiac + sacred geometry</t>
  </si>
  <si>
    <t>Velvet sheen = premium positioning. Unique in AOP space. High perceived value.</t>
  </si>
  <si>
    <t>Death Moth Apothecary — black bg, moths + mushrooms + dark herbs</t>
  </si>
  <si>
    <t>Etsy sellers get $45-$97 for whimsigoth slips. We undercut with better print quality.</t>
  </si>
  <si>
    <t>Bohemian Sunrise — ivory bg, oversized sunflowers + wildflowers</t>
  </si>
  <si>
    <t>Lulus sells at $87-$140. Natural Life at $89. Premium boho at accessible price.</t>
  </si>
  <si>
    <t>Winter Rose — burgundy bg, blush roses + gold leaf</t>
  </si>
  <si>
    <t>Fall/winter seasonal. Long sleeve = Q4 peak timing. Extends dark floral into cold months.</t>
  </si>
  <si>
    <t>Short Sleeve V Neck Midi</t>
  </si>
  <si>
    <t>Wildflower Meadow — white bg, ditsy daisies + lavender sprigs</t>
  </si>
  <si>
    <t>Midi + short sleeve = quintessential cottagecore. BloomChic competitor at $36. Better print.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</si>
</sst>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.00"/>
  </numFmts>
  <fonts count="7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10"/>
      <color rgb="FF666666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2E86AB"/>
        <bgColor rgb="FF2980B9"/>
      </patternFill>
    </fill>
    <fill>
      <patternFill patternType="solid">
        <fgColor rgb="FF1F4E79"/>
        <bgColor rgb="FF003366"/>
      </patternFill>
    </fill>
    <fill>
      <patternFill patternType="solid">
        <fgColor rgb="FFE2EFDA"/>
        <bgColor rgb="FFD6E4F0"/>
      </patternFill>
    </fill>
    <fill>
      <patternFill patternType="solid">
        <fgColor rgb="FFFFF2CC"/>
        <bgColor rgb="FFE2EFDA"/>
      </patternFill>
    </fill>
    <fill>
      <patternFill patternType="solid">
        <fgColor rgb="FFD6E4F0"/>
        <b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165" fontId="5" fillId="5" borderId="1" xfId="0" applyNumberFormat="1" applyFont="1" applyFill="1" applyBorder="1" applyAlignment="1">
      <alignment vertical="top" wrapText="1"/>
    </xf>
    <xf numFmtId="165" fontId="5" fillId="6" borderId="1" xfId="0" applyNumberFormat="1" applyFont="1" applyFill="1" applyBorder="1" applyAlignment="1">
      <alignment vertical="top" wrapText="1"/>
    </xf>
    <xf numFmtId="165" fontId="5" fillId="0" borderId="1" xfId="0" applyNumberFormat="1" applyFont="1" applyBorder="1" applyAlignment="1">
      <alignment vertical="top" wrapText="1"/>
    </xf>
    <xf numFmtId="0" fontId="5" fillId="0" borderId="0" xfId="0" applyFont="1" applyBorder="1" applyAlignment="1">
      <alignment wrapText="1"/>
    </xf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3" borderId="0" xfId="0" applyFont="1" applyFill="1" applyBorder="1"/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6A085"/>
      <rgbColor rgb="FFC0C0C0"/>
      <rgbColor rgb="FF808080"/>
      <rgbColor rgb="FF9999FF"/>
      <rgbColor rgb="FF8E44AD"/>
      <rgbColor rgb="FFFFF2CC"/>
      <rgbColor rgb="FFCCFFFF"/>
      <rgbColor rgb="FF660066"/>
      <rgbColor rgb="FFFF8080"/>
      <rgbColor rgb="FF2980B9"/>
      <rgbColor rgb="FFD6E4F0"/>
      <rgbColor rgb="FF000080"/>
      <rgbColor rgb="FFFF00FF"/>
      <rgbColor rgb="FFFFFF00"/>
      <rgbColor rgb="FF00FFFF"/>
      <rgbColor rgb="FF800080"/>
      <rgbColor rgb="FF800000"/>
      <rgbColor rgb="FF2E86AB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666666"/>
      <rgbColor rgb="FF969696"/>
      <rgbColor rgb="FF003366"/>
      <rgbColor rgb="FF27AE60"/>
      <rgbColor rgb="FF0D1B2A"/>
      <rgbColor rgb="FF333300"/>
      <rgbColor rgb="FFC0392B"/>
      <rgbColor rgb="FFD35400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H10"/>
  <sheetViews>
    <sheetView zoomScaleNormal="100" workbookViewId="0">
      <selection activeCell="B10" sqref="B10:H10"/>
    </sheetView>
  </sheetViews>
  <sheetFormatPr defaultColWidth="8.6640625" defaultRowHeight="15" customHeight="1" x14ac:dyDescent="0.3"/>
  <cols>
    <col min="1" max="1" width="48.44140625" bestFit="1" customWidth="1"/>
    <col min="2" max="8" width="22" customWidth="1"/>
  </cols>
  <sheetData>
    <row r="1" spans="1:8" ht="21" x14ac:dyDescent="0.3">
      <c r="A1" s="12" t="s">
        <v>0</v>
      </c>
      <c r="B1" s="12"/>
      <c r="C1" s="12"/>
      <c r="D1" s="12"/>
      <c r="E1" s="12"/>
      <c r="F1" s="12"/>
      <c r="G1" s="12"/>
      <c r="H1" s="12"/>
    </row>
    <row r="2" spans="1:8" ht="14.4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4" spans="1:8" ht="15.6" x14ac:dyDescent="0.3">
      <c r="A4" s="14" t="s">
        <v>2</v>
      </c>
      <c r="B4" s="14"/>
      <c r="C4" s="14"/>
      <c r="D4" s="14"/>
      <c r="E4" s="14"/>
      <c r="F4" s="14"/>
      <c r="G4" s="14"/>
      <c r="H4" s="14"/>
    </row>
    <row r="5" spans="1:8" ht="15" customHeight="1" x14ac:dyDescent="0.3">
      <c r="A5" s="1" t="s">
        <v>3</v>
      </c>
      <c r="B5" s="11" t="s">
        <v>4</v>
      </c>
      <c r="C5" s="11"/>
      <c r="D5" s="11"/>
      <c r="E5" s="11"/>
      <c r="F5" s="11"/>
      <c r="G5" s="11"/>
      <c r="H5" s="11"/>
    </row>
    <row r="6" spans="1:8" ht="15" customHeight="1" x14ac:dyDescent="0.3">
      <c r="A6" s="1" t="s">
        <v>5</v>
      </c>
      <c r="B6" s="11" t="s">
        <v>6</v>
      </c>
      <c r="C6" s="11"/>
      <c r="D6" s="11"/>
      <c r="E6" s="11"/>
      <c r="F6" s="11"/>
      <c r="G6" s="11"/>
      <c r="H6" s="11"/>
    </row>
    <row r="7" spans="1:8" ht="15" customHeight="1" x14ac:dyDescent="0.3">
      <c r="A7" s="1" t="s">
        <v>7</v>
      </c>
      <c r="B7" s="11" t="s">
        <v>8</v>
      </c>
      <c r="C7" s="11"/>
      <c r="D7" s="11"/>
      <c r="E7" s="11"/>
      <c r="F7" s="11"/>
      <c r="G7" s="11"/>
      <c r="H7" s="11"/>
    </row>
    <row r="8" spans="1:8" ht="15" customHeight="1" x14ac:dyDescent="0.3">
      <c r="A8" s="1" t="s">
        <v>9</v>
      </c>
      <c r="B8" s="11" t="s">
        <v>10</v>
      </c>
      <c r="C8" s="11"/>
      <c r="D8" s="11"/>
      <c r="E8" s="11"/>
      <c r="F8" s="11"/>
      <c r="G8" s="11"/>
      <c r="H8" s="11"/>
    </row>
    <row r="9" spans="1:8" ht="15" customHeight="1" x14ac:dyDescent="0.3">
      <c r="A9" s="1" t="s">
        <v>11</v>
      </c>
      <c r="B9" s="11" t="s">
        <v>12</v>
      </c>
      <c r="C9" s="11"/>
      <c r="D9" s="11"/>
      <c r="E9" s="11"/>
      <c r="F9" s="11"/>
      <c r="G9" s="11"/>
      <c r="H9" s="11"/>
    </row>
    <row r="10" spans="1:8" ht="15" customHeight="1" x14ac:dyDescent="0.3">
      <c r="A10" s="1" t="s">
        <v>13</v>
      </c>
      <c r="B10" s="11" t="s">
        <v>14</v>
      </c>
      <c r="C10" s="11"/>
      <c r="D10" s="11"/>
      <c r="E10" s="11"/>
      <c r="F10" s="11"/>
      <c r="G10" s="11"/>
      <c r="H10" s="11"/>
    </row>
  </sheetData>
  <mergeCells count="9">
    <mergeCell ref="B7:H7"/>
    <mergeCell ref="B8:H8"/>
    <mergeCell ref="B9:H9"/>
    <mergeCell ref="B10:H10"/>
    <mergeCell ref="A1:H1"/>
    <mergeCell ref="A2:H2"/>
    <mergeCell ref="A4:H4"/>
    <mergeCell ref="B5:H5"/>
    <mergeCell ref="B6:H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392B"/>
  </sheetPr>
  <dimension ref="A1:J7"/>
  <sheetViews>
    <sheetView zoomScaleNormal="100" workbookViewId="0">
      <selection activeCell="D17" sqref="D17"/>
    </sheetView>
  </sheetViews>
  <sheetFormatPr defaultColWidth="8.6640625" defaultRowHeight="15" customHeight="1" x14ac:dyDescent="0.3"/>
  <cols>
    <col min="1" max="1" width="22" customWidth="1"/>
    <col min="2" max="2" width="12" customWidth="1"/>
    <col min="3" max="3" width="10" customWidth="1"/>
    <col min="4" max="4" width="32" customWidth="1"/>
    <col min="5" max="5" width="38" customWidth="1"/>
    <col min="6" max="6" width="50" customWidth="1"/>
    <col min="7" max="7" width="45" customWidth="1"/>
    <col min="8" max="8" width="16" customWidth="1"/>
    <col min="9" max="9" width="50" customWidth="1"/>
    <col min="10" max="10" width="30" customWidth="1"/>
  </cols>
  <sheetData>
    <row r="1" spans="1:10" ht="34.799999999999997" x14ac:dyDescent="0.3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</row>
    <row r="2" spans="1:10" ht="26.4" x14ac:dyDescent="0.3">
      <c r="A2" s="3" t="s">
        <v>25</v>
      </c>
      <c r="B2" s="3">
        <v>22200</v>
      </c>
      <c r="C2" s="3">
        <v>0.28000000000000003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4" t="s">
        <v>32</v>
      </c>
    </row>
    <row r="3" spans="1:10" ht="26.4" x14ac:dyDescent="0.3">
      <c r="A3" s="3" t="s">
        <v>33</v>
      </c>
      <c r="B3" s="3">
        <v>880</v>
      </c>
      <c r="C3" s="3">
        <v>0.37</v>
      </c>
      <c r="D3" s="3" t="s">
        <v>34</v>
      </c>
      <c r="E3" s="3" t="s">
        <v>35</v>
      </c>
      <c r="F3" s="3" t="s">
        <v>36</v>
      </c>
      <c r="G3" s="3" t="s">
        <v>37</v>
      </c>
      <c r="H3" s="3" t="s">
        <v>38</v>
      </c>
      <c r="I3" s="3" t="s">
        <v>39</v>
      </c>
      <c r="J3" s="4" t="s">
        <v>32</v>
      </c>
    </row>
    <row r="4" spans="1:10" ht="26.4" x14ac:dyDescent="0.3">
      <c r="A4" s="3" t="s">
        <v>40</v>
      </c>
      <c r="B4" s="3">
        <v>18100</v>
      </c>
      <c r="C4" s="3">
        <v>0.28000000000000003</v>
      </c>
      <c r="D4" s="3" t="s">
        <v>41</v>
      </c>
      <c r="E4" s="3" t="s">
        <v>42</v>
      </c>
      <c r="F4" s="3" t="s">
        <v>43</v>
      </c>
      <c r="G4" s="3" t="s">
        <v>44</v>
      </c>
      <c r="H4" s="3" t="s">
        <v>45</v>
      </c>
      <c r="I4" s="3" t="s">
        <v>46</v>
      </c>
      <c r="J4" s="5" t="s">
        <v>47</v>
      </c>
    </row>
    <row r="5" spans="1:10" ht="26.4" x14ac:dyDescent="0.3">
      <c r="A5" s="3" t="s">
        <v>48</v>
      </c>
      <c r="B5" s="3">
        <v>5400</v>
      </c>
      <c r="C5" s="3">
        <v>0.48</v>
      </c>
      <c r="D5" s="3" t="s">
        <v>49</v>
      </c>
      <c r="E5" s="3" t="s">
        <v>50</v>
      </c>
      <c r="F5" s="3" t="s">
        <v>51</v>
      </c>
      <c r="G5" s="3" t="s">
        <v>52</v>
      </c>
      <c r="H5" s="3" t="s">
        <v>53</v>
      </c>
      <c r="I5" s="3" t="s">
        <v>54</v>
      </c>
      <c r="J5" s="4" t="s">
        <v>32</v>
      </c>
    </row>
    <row r="6" spans="1:10" ht="26.4" x14ac:dyDescent="0.3">
      <c r="A6" s="3" t="s">
        <v>55</v>
      </c>
      <c r="B6" s="3">
        <v>4400</v>
      </c>
      <c r="C6" s="3">
        <v>0.27</v>
      </c>
      <c r="D6" s="3" t="s">
        <v>56</v>
      </c>
      <c r="E6" s="3" t="s">
        <v>57</v>
      </c>
      <c r="F6" s="3" t="s">
        <v>58</v>
      </c>
      <c r="G6" s="3" t="s">
        <v>59</v>
      </c>
      <c r="H6" s="3" t="s">
        <v>60</v>
      </c>
      <c r="I6" s="3" t="s">
        <v>61</v>
      </c>
      <c r="J6" s="5" t="s">
        <v>62</v>
      </c>
    </row>
    <row r="7" spans="1:10" ht="26.4" x14ac:dyDescent="0.3">
      <c r="A7" s="3" t="s">
        <v>63</v>
      </c>
      <c r="B7" s="3">
        <v>1900</v>
      </c>
      <c r="C7" s="3">
        <v>0.28999999999999998</v>
      </c>
      <c r="D7" s="3" t="s">
        <v>64</v>
      </c>
      <c r="E7" s="3" t="s">
        <v>65</v>
      </c>
      <c r="F7" s="3" t="s">
        <v>66</v>
      </c>
      <c r="G7" s="3" t="s">
        <v>67</v>
      </c>
      <c r="H7" s="3" t="s">
        <v>68</v>
      </c>
      <c r="I7" s="3" t="s">
        <v>69</v>
      </c>
      <c r="J7" s="4" t="s">
        <v>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7AE60"/>
  </sheetPr>
  <dimension ref="A1:H16"/>
  <sheetViews>
    <sheetView tabSelected="1" zoomScale="70" zoomScaleNormal="70" workbookViewId="0">
      <selection activeCell="N5" sqref="N5"/>
    </sheetView>
  </sheetViews>
  <sheetFormatPr defaultColWidth="8.6640625" defaultRowHeight="15" customHeight="1" x14ac:dyDescent="0.3"/>
  <cols>
    <col min="1" max="1" width="30" customWidth="1"/>
    <col min="2" max="2" width="10" customWidth="1"/>
    <col min="3" max="3" width="12" customWidth="1"/>
    <col min="4" max="4" width="45" customWidth="1"/>
    <col min="5" max="5" width="55" customWidth="1"/>
    <col min="6" max="6" width="18" customWidth="1"/>
    <col min="7" max="7" width="10" customWidth="1"/>
    <col min="8" max="8" width="18" customWidth="1"/>
  </cols>
  <sheetData>
    <row r="1" spans="1:8" ht="52.2" x14ac:dyDescent="0.3">
      <c r="A1" s="2" t="s">
        <v>71</v>
      </c>
      <c r="B1" s="2" t="s">
        <v>72</v>
      </c>
      <c r="C1" s="2" t="s">
        <v>73</v>
      </c>
      <c r="D1" s="2" t="s">
        <v>74</v>
      </c>
      <c r="E1" s="2" t="s">
        <v>75</v>
      </c>
      <c r="F1" s="2" t="s">
        <v>76</v>
      </c>
      <c r="G1" s="2" t="s">
        <v>77</v>
      </c>
      <c r="H1" s="2" t="s">
        <v>78</v>
      </c>
    </row>
    <row r="2" spans="1:8" ht="26.4" x14ac:dyDescent="0.3">
      <c r="A2" s="15" t="s">
        <v>79</v>
      </c>
      <c r="B2" s="3">
        <v>15.87</v>
      </c>
      <c r="C2" s="3" t="s">
        <v>80</v>
      </c>
      <c r="D2" s="3" t="s">
        <v>81</v>
      </c>
      <c r="E2" s="3" t="s">
        <v>82</v>
      </c>
      <c r="F2" s="3">
        <v>49.99</v>
      </c>
      <c r="G2" s="6">
        <f t="shared" ref="G2:G16" si="0">(F2-B2-9.5)/F2</f>
        <v>0.49249849969994008</v>
      </c>
      <c r="H2" s="4" t="s">
        <v>83</v>
      </c>
    </row>
    <row r="3" spans="1:8" ht="26.4" x14ac:dyDescent="0.3">
      <c r="A3" s="15" t="s">
        <v>84</v>
      </c>
      <c r="B3" s="3">
        <v>7.11</v>
      </c>
      <c r="C3" s="3" t="s">
        <v>85</v>
      </c>
      <c r="D3" s="3" t="s">
        <v>86</v>
      </c>
      <c r="E3" s="3" t="s">
        <v>87</v>
      </c>
      <c r="F3" s="3">
        <v>34.99</v>
      </c>
      <c r="G3" s="6">
        <f t="shared" si="0"/>
        <v>0.52529294084024014</v>
      </c>
      <c r="H3" s="4" t="s">
        <v>83</v>
      </c>
    </row>
    <row r="4" spans="1:8" ht="26.4" x14ac:dyDescent="0.3">
      <c r="A4" s="15" t="s">
        <v>88</v>
      </c>
      <c r="B4" s="3">
        <v>14.6</v>
      </c>
      <c r="C4" s="3" t="s">
        <v>89</v>
      </c>
      <c r="D4" s="3" t="s">
        <v>90</v>
      </c>
      <c r="E4" s="3" t="s">
        <v>91</v>
      </c>
      <c r="F4" s="3">
        <v>44.99</v>
      </c>
      <c r="G4" s="6">
        <f t="shared" si="0"/>
        <v>0.46432540564569902</v>
      </c>
      <c r="H4" s="4" t="s">
        <v>83</v>
      </c>
    </row>
    <row r="5" spans="1:8" ht="26.4" x14ac:dyDescent="0.3">
      <c r="A5" s="15" t="s">
        <v>92</v>
      </c>
      <c r="B5" s="3">
        <v>14.89</v>
      </c>
      <c r="C5" s="3" t="s">
        <v>93</v>
      </c>
      <c r="D5" s="3" t="s">
        <v>94</v>
      </c>
      <c r="E5" s="3" t="s">
        <v>95</v>
      </c>
      <c r="F5" s="3">
        <v>44.99</v>
      </c>
      <c r="G5" s="6">
        <f t="shared" si="0"/>
        <v>0.45787952878417426</v>
      </c>
      <c r="H5" s="4" t="s">
        <v>83</v>
      </c>
    </row>
    <row r="6" spans="1:8" ht="26.4" x14ac:dyDescent="0.3">
      <c r="A6" s="15" t="s">
        <v>96</v>
      </c>
      <c r="B6" s="3">
        <v>7.25</v>
      </c>
      <c r="C6" s="3" t="s">
        <v>97</v>
      </c>
      <c r="D6" s="3" t="s">
        <v>98</v>
      </c>
      <c r="E6" s="3" t="s">
        <v>99</v>
      </c>
      <c r="F6" s="3">
        <v>34.99</v>
      </c>
      <c r="G6" s="6">
        <f t="shared" si="0"/>
        <v>0.52129179765647327</v>
      </c>
      <c r="H6" s="5" t="s">
        <v>100</v>
      </c>
    </row>
    <row r="7" spans="1:8" ht="26.4" x14ac:dyDescent="0.3">
      <c r="A7" s="15" t="s">
        <v>101</v>
      </c>
      <c r="B7" s="3">
        <v>8.33</v>
      </c>
      <c r="C7" s="3" t="s">
        <v>85</v>
      </c>
      <c r="D7" s="3" t="s">
        <v>86</v>
      </c>
      <c r="E7" s="3" t="s">
        <v>102</v>
      </c>
      <c r="F7" s="3">
        <v>39.99</v>
      </c>
      <c r="G7" s="6">
        <f t="shared" si="0"/>
        <v>0.55413853463365847</v>
      </c>
      <c r="H7" s="5" t="s">
        <v>100</v>
      </c>
    </row>
    <row r="8" spans="1:8" ht="26.4" x14ac:dyDescent="0.3">
      <c r="A8" s="15" t="s">
        <v>103</v>
      </c>
      <c r="B8" s="3">
        <v>12.74</v>
      </c>
      <c r="C8" s="3" t="s">
        <v>93</v>
      </c>
      <c r="D8" s="3" t="s">
        <v>104</v>
      </c>
      <c r="E8" s="3" t="s">
        <v>105</v>
      </c>
      <c r="F8" s="3">
        <v>39.99</v>
      </c>
      <c r="G8" s="6">
        <f t="shared" si="0"/>
        <v>0.4438609652413103</v>
      </c>
      <c r="H8" s="5" t="s">
        <v>100</v>
      </c>
    </row>
    <row r="9" spans="1:8" ht="26.4" x14ac:dyDescent="0.3">
      <c r="A9" s="15" t="s">
        <v>106</v>
      </c>
      <c r="B9" s="3">
        <v>13.03</v>
      </c>
      <c r="C9" s="3" t="s">
        <v>107</v>
      </c>
      <c r="D9" s="3" t="s">
        <v>108</v>
      </c>
      <c r="E9" s="3" t="s">
        <v>109</v>
      </c>
      <c r="F9" s="3">
        <v>49.99</v>
      </c>
      <c r="G9" s="6">
        <f t="shared" si="0"/>
        <v>0.54930986197239451</v>
      </c>
      <c r="H9" s="5" t="s">
        <v>100</v>
      </c>
    </row>
    <row r="10" spans="1:8" ht="26.4" x14ac:dyDescent="0.3">
      <c r="A10" s="15" t="s">
        <v>110</v>
      </c>
      <c r="B10" s="3">
        <v>13.81</v>
      </c>
      <c r="C10" s="3" t="s">
        <v>85</v>
      </c>
      <c r="D10" s="3" t="s">
        <v>111</v>
      </c>
      <c r="E10" s="3" t="s">
        <v>112</v>
      </c>
      <c r="F10" s="3">
        <v>39.99</v>
      </c>
      <c r="G10" s="6">
        <f t="shared" si="0"/>
        <v>0.41710427606901723</v>
      </c>
      <c r="H10" s="5" t="s">
        <v>100</v>
      </c>
    </row>
    <row r="11" spans="1:8" ht="26.4" x14ac:dyDescent="0.3">
      <c r="A11" s="15" t="s">
        <v>113</v>
      </c>
      <c r="B11" s="3">
        <v>14.11</v>
      </c>
      <c r="C11" s="3" t="s">
        <v>93</v>
      </c>
      <c r="D11" s="3" t="s">
        <v>114</v>
      </c>
      <c r="E11" s="3" t="s">
        <v>115</v>
      </c>
      <c r="F11" s="3">
        <v>44.99</v>
      </c>
      <c r="G11" s="6">
        <f t="shared" si="0"/>
        <v>0.47521671482551681</v>
      </c>
      <c r="H11" s="5" t="s">
        <v>100</v>
      </c>
    </row>
    <row r="12" spans="1:8" ht="26.4" x14ac:dyDescent="0.3">
      <c r="A12" s="3" t="s">
        <v>116</v>
      </c>
      <c r="B12" s="3">
        <v>15.68</v>
      </c>
      <c r="C12" s="3" t="s">
        <v>117</v>
      </c>
      <c r="D12" s="3" t="s">
        <v>90</v>
      </c>
      <c r="E12" s="3" t="s">
        <v>118</v>
      </c>
      <c r="F12" s="3">
        <v>44.99</v>
      </c>
      <c r="G12" s="6">
        <f t="shared" si="0"/>
        <v>0.44032007112691712</v>
      </c>
      <c r="H12" s="7" t="s">
        <v>119</v>
      </c>
    </row>
    <row r="13" spans="1:8" ht="26.4" x14ac:dyDescent="0.3">
      <c r="A13" s="3" t="s">
        <v>120</v>
      </c>
      <c r="B13" s="3">
        <v>13.32</v>
      </c>
      <c r="C13" s="3" t="s">
        <v>117</v>
      </c>
      <c r="D13" s="3" t="s">
        <v>111</v>
      </c>
      <c r="E13" s="3" t="s">
        <v>121</v>
      </c>
      <c r="F13" s="3">
        <v>39.99</v>
      </c>
      <c r="G13" s="6">
        <f t="shared" si="0"/>
        <v>0.42935733933483372</v>
      </c>
      <c r="H13" s="7" t="s">
        <v>119</v>
      </c>
    </row>
    <row r="14" spans="1:8" ht="26.4" x14ac:dyDescent="0.3">
      <c r="A14" s="3" t="s">
        <v>122</v>
      </c>
      <c r="B14" s="3">
        <v>9.11</v>
      </c>
      <c r="C14" s="3" t="s">
        <v>123</v>
      </c>
      <c r="D14" s="3" t="s">
        <v>124</v>
      </c>
      <c r="E14" s="3" t="s">
        <v>125</v>
      </c>
      <c r="F14" s="3">
        <v>39.99</v>
      </c>
      <c r="G14" s="6">
        <f t="shared" si="0"/>
        <v>0.53463365841460364</v>
      </c>
      <c r="H14" s="7" t="s">
        <v>119</v>
      </c>
    </row>
    <row r="15" spans="1:8" ht="26.4" x14ac:dyDescent="0.3">
      <c r="A15" s="3" t="s">
        <v>126</v>
      </c>
      <c r="B15" s="3">
        <v>10.29</v>
      </c>
      <c r="C15" s="3" t="s">
        <v>127</v>
      </c>
      <c r="D15" s="3" t="s">
        <v>128</v>
      </c>
      <c r="E15" s="3" t="s">
        <v>129</v>
      </c>
      <c r="F15" s="3">
        <v>34.99</v>
      </c>
      <c r="G15" s="6">
        <f t="shared" si="0"/>
        <v>0.43440983138039446</v>
      </c>
      <c r="H15" s="7" t="s">
        <v>119</v>
      </c>
    </row>
    <row r="16" spans="1:8" ht="26.4" x14ac:dyDescent="0.3">
      <c r="A16" s="3" t="s">
        <v>130</v>
      </c>
      <c r="B16" s="3">
        <v>9.8000000000000007</v>
      </c>
      <c r="C16" s="3" t="s">
        <v>89</v>
      </c>
      <c r="D16" s="3" t="s">
        <v>131</v>
      </c>
      <c r="E16" s="3" t="s">
        <v>132</v>
      </c>
      <c r="F16" s="3">
        <v>34.99</v>
      </c>
      <c r="G16" s="6">
        <f t="shared" si="0"/>
        <v>0.44841383252357819</v>
      </c>
      <c r="H16" s="7" t="s">
        <v>119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E44AD"/>
  </sheetPr>
  <dimension ref="A1:H19"/>
  <sheetViews>
    <sheetView zoomScaleNormal="100" workbookViewId="0">
      <selection activeCell="D24" sqref="D24"/>
    </sheetView>
  </sheetViews>
  <sheetFormatPr defaultColWidth="8.6640625" defaultRowHeight="15" customHeight="1" x14ac:dyDescent="0.3"/>
  <cols>
    <col min="1" max="1" width="18" customWidth="1"/>
    <col min="2" max="2" width="20" customWidth="1"/>
    <col min="3" max="3" width="12" customWidth="1"/>
    <col min="4" max="4" width="40" customWidth="1"/>
    <col min="5" max="5" width="32" customWidth="1"/>
    <col min="6" max="6" width="28" customWidth="1"/>
    <col min="7" max="7" width="22" customWidth="1"/>
    <col min="8" max="8" width="35" customWidth="1"/>
  </cols>
  <sheetData>
    <row r="1" spans="1:8" ht="34.799999999999997" x14ac:dyDescent="0.3">
      <c r="A1" s="2" t="s">
        <v>133</v>
      </c>
      <c r="B1" s="2" t="s">
        <v>134</v>
      </c>
      <c r="C1" s="2" t="s">
        <v>135</v>
      </c>
      <c r="D1" s="2" t="s">
        <v>136</v>
      </c>
      <c r="E1" s="2" t="s">
        <v>137</v>
      </c>
      <c r="F1" s="2" t="s">
        <v>138</v>
      </c>
      <c r="G1" s="2" t="s">
        <v>137</v>
      </c>
      <c r="H1" s="2" t="s">
        <v>139</v>
      </c>
    </row>
    <row r="2" spans="1:8" ht="14.4" x14ac:dyDescent="0.3">
      <c r="A2" s="3" t="s">
        <v>25</v>
      </c>
      <c r="B2" s="3" t="s">
        <v>140</v>
      </c>
      <c r="C2" s="3" t="s">
        <v>141</v>
      </c>
      <c r="D2" s="3" t="s">
        <v>142</v>
      </c>
      <c r="E2" s="3" t="s">
        <v>143</v>
      </c>
      <c r="F2" s="3" t="s">
        <v>144</v>
      </c>
      <c r="G2" s="3" t="s">
        <v>145</v>
      </c>
      <c r="H2" s="3" t="s">
        <v>146</v>
      </c>
    </row>
    <row r="3" spans="1:8" ht="14.4" x14ac:dyDescent="0.3">
      <c r="A3" s="3" t="s">
        <v>25</v>
      </c>
      <c r="B3" s="3" t="s">
        <v>147</v>
      </c>
      <c r="C3" s="3" t="s">
        <v>148</v>
      </c>
      <c r="D3" s="3" t="s">
        <v>149</v>
      </c>
      <c r="E3" s="3" t="s">
        <v>150</v>
      </c>
      <c r="F3" s="3" t="s">
        <v>151</v>
      </c>
      <c r="G3" s="3" t="s">
        <v>152</v>
      </c>
      <c r="H3" s="3" t="s">
        <v>153</v>
      </c>
    </row>
    <row r="4" spans="1:8" ht="14.4" x14ac:dyDescent="0.3">
      <c r="A4" s="3" t="s">
        <v>25</v>
      </c>
      <c r="B4" s="3" t="s">
        <v>154</v>
      </c>
      <c r="C4" s="3" t="s">
        <v>155</v>
      </c>
      <c r="D4" s="3" t="s">
        <v>156</v>
      </c>
      <c r="E4" s="3" t="s">
        <v>157</v>
      </c>
      <c r="F4" s="3" t="s">
        <v>158</v>
      </c>
      <c r="G4" s="3" t="s">
        <v>159</v>
      </c>
      <c r="H4" s="3" t="s">
        <v>160</v>
      </c>
    </row>
    <row r="5" spans="1:8" ht="14.4" x14ac:dyDescent="0.3">
      <c r="A5" s="3" t="s">
        <v>161</v>
      </c>
      <c r="B5" s="3" t="s">
        <v>162</v>
      </c>
      <c r="C5" s="3" t="s">
        <v>163</v>
      </c>
      <c r="D5" s="3" t="s">
        <v>164</v>
      </c>
      <c r="E5" s="3" t="s">
        <v>165</v>
      </c>
      <c r="F5" s="3" t="s">
        <v>166</v>
      </c>
      <c r="G5" s="3" t="s">
        <v>167</v>
      </c>
      <c r="H5" s="3" t="s">
        <v>168</v>
      </c>
    </row>
    <row r="6" spans="1:8" ht="14.4" x14ac:dyDescent="0.3">
      <c r="A6" s="3" t="s">
        <v>161</v>
      </c>
      <c r="B6" s="3" t="s">
        <v>169</v>
      </c>
      <c r="C6" s="3" t="s">
        <v>170</v>
      </c>
      <c r="D6" s="3" t="s">
        <v>171</v>
      </c>
      <c r="E6" s="3" t="s">
        <v>172</v>
      </c>
      <c r="F6" s="3" t="s">
        <v>173</v>
      </c>
      <c r="G6" s="3" t="s">
        <v>174</v>
      </c>
      <c r="H6" s="3" t="s">
        <v>175</v>
      </c>
    </row>
    <row r="7" spans="1:8" ht="14.4" x14ac:dyDescent="0.3">
      <c r="A7" s="3" t="s">
        <v>161</v>
      </c>
      <c r="B7" s="3" t="s">
        <v>176</v>
      </c>
      <c r="C7" s="3" t="s">
        <v>177</v>
      </c>
      <c r="D7" s="3" t="s">
        <v>178</v>
      </c>
      <c r="E7" s="3" t="s">
        <v>179</v>
      </c>
      <c r="F7" s="3" t="s">
        <v>180</v>
      </c>
      <c r="G7" s="3" t="s">
        <v>181</v>
      </c>
      <c r="H7" s="3" t="s">
        <v>182</v>
      </c>
    </row>
    <row r="8" spans="1:8" ht="14.4" x14ac:dyDescent="0.3">
      <c r="A8" s="3" t="s">
        <v>183</v>
      </c>
      <c r="B8" s="3" t="s">
        <v>184</v>
      </c>
      <c r="C8" s="3" t="s">
        <v>185</v>
      </c>
      <c r="D8" s="3" t="s">
        <v>186</v>
      </c>
      <c r="E8" s="3" t="s">
        <v>187</v>
      </c>
      <c r="F8" s="3" t="s">
        <v>188</v>
      </c>
      <c r="G8" s="3" t="s">
        <v>189</v>
      </c>
      <c r="H8" s="3" t="s">
        <v>190</v>
      </c>
    </row>
    <row r="9" spans="1:8" ht="14.4" x14ac:dyDescent="0.3">
      <c r="A9" s="3" t="s">
        <v>183</v>
      </c>
      <c r="B9" s="3" t="s">
        <v>191</v>
      </c>
      <c r="C9" s="3" t="s">
        <v>192</v>
      </c>
      <c r="D9" s="3" t="s">
        <v>193</v>
      </c>
      <c r="E9" s="3" t="s">
        <v>194</v>
      </c>
      <c r="F9" s="3" t="s">
        <v>195</v>
      </c>
      <c r="G9" s="3" t="s">
        <v>196</v>
      </c>
      <c r="H9" s="3" t="s">
        <v>197</v>
      </c>
    </row>
    <row r="10" spans="1:8" ht="14.4" x14ac:dyDescent="0.3">
      <c r="A10" s="3" t="s">
        <v>183</v>
      </c>
      <c r="B10" s="3" t="s">
        <v>198</v>
      </c>
      <c r="C10" s="3" t="s">
        <v>199</v>
      </c>
      <c r="D10" s="3" t="s">
        <v>200</v>
      </c>
      <c r="E10" s="3" t="s">
        <v>201</v>
      </c>
      <c r="F10" s="3" t="s">
        <v>202</v>
      </c>
      <c r="G10" s="3" t="s">
        <v>203</v>
      </c>
      <c r="H10" s="3" t="s">
        <v>204</v>
      </c>
    </row>
    <row r="11" spans="1:8" ht="14.4" x14ac:dyDescent="0.3">
      <c r="A11" s="3" t="s">
        <v>205</v>
      </c>
      <c r="B11" s="3" t="s">
        <v>140</v>
      </c>
      <c r="C11" s="3" t="s">
        <v>141</v>
      </c>
      <c r="D11" s="3" t="s">
        <v>206</v>
      </c>
      <c r="E11" s="3" t="s">
        <v>207</v>
      </c>
      <c r="F11" s="3" t="s">
        <v>208</v>
      </c>
      <c r="G11" s="3" t="s">
        <v>209</v>
      </c>
      <c r="H11" s="3" t="s">
        <v>210</v>
      </c>
    </row>
    <row r="12" spans="1:8" ht="14.4" x14ac:dyDescent="0.3">
      <c r="A12" s="3" t="s">
        <v>205</v>
      </c>
      <c r="B12" s="3" t="s">
        <v>211</v>
      </c>
      <c r="C12" s="3" t="s">
        <v>148</v>
      </c>
      <c r="D12" s="3" t="s">
        <v>212</v>
      </c>
      <c r="E12" s="3" t="s">
        <v>213</v>
      </c>
      <c r="F12" s="3" t="s">
        <v>214</v>
      </c>
      <c r="G12" s="3" t="s">
        <v>215</v>
      </c>
      <c r="H12" s="3" t="s">
        <v>216</v>
      </c>
    </row>
    <row r="13" spans="1:8" ht="14.4" x14ac:dyDescent="0.3">
      <c r="A13" s="3" t="s">
        <v>205</v>
      </c>
      <c r="B13" s="3" t="s">
        <v>217</v>
      </c>
      <c r="C13" s="3" t="s">
        <v>218</v>
      </c>
      <c r="D13" s="3" t="s">
        <v>219</v>
      </c>
      <c r="E13" s="3" t="s">
        <v>220</v>
      </c>
      <c r="F13" s="3" t="s">
        <v>221</v>
      </c>
      <c r="G13" s="3" t="s">
        <v>222</v>
      </c>
      <c r="H13" s="3" t="s">
        <v>223</v>
      </c>
    </row>
    <row r="14" spans="1:8" ht="26.4" x14ac:dyDescent="0.3">
      <c r="A14" s="3" t="s">
        <v>224</v>
      </c>
      <c r="B14" s="3" t="s">
        <v>225</v>
      </c>
      <c r="C14" s="3" t="s">
        <v>226</v>
      </c>
      <c r="D14" s="3" t="s">
        <v>227</v>
      </c>
      <c r="E14" s="3" t="s">
        <v>228</v>
      </c>
      <c r="F14" s="3" t="s">
        <v>229</v>
      </c>
      <c r="G14" s="3" t="s">
        <v>230</v>
      </c>
      <c r="H14" s="3" t="s">
        <v>231</v>
      </c>
    </row>
    <row r="15" spans="1:8" ht="14.4" x14ac:dyDescent="0.3">
      <c r="A15" s="3" t="s">
        <v>224</v>
      </c>
      <c r="B15" s="3" t="s">
        <v>232</v>
      </c>
      <c r="C15" s="3" t="s">
        <v>233</v>
      </c>
      <c r="D15" s="3" t="s">
        <v>234</v>
      </c>
      <c r="E15" s="3" t="s">
        <v>235</v>
      </c>
      <c r="F15" s="3" t="s">
        <v>236</v>
      </c>
      <c r="G15" s="3" t="s">
        <v>237</v>
      </c>
      <c r="H15" s="3" t="s">
        <v>238</v>
      </c>
    </row>
    <row r="16" spans="1:8" ht="14.4" x14ac:dyDescent="0.3">
      <c r="A16" s="3" t="s">
        <v>224</v>
      </c>
      <c r="B16" s="3" t="s">
        <v>239</v>
      </c>
      <c r="C16" s="3" t="s">
        <v>240</v>
      </c>
      <c r="D16" s="3" t="s">
        <v>241</v>
      </c>
      <c r="E16" s="3" t="s">
        <v>242</v>
      </c>
      <c r="F16" s="3" t="s">
        <v>243</v>
      </c>
      <c r="G16" s="3" t="s">
        <v>244</v>
      </c>
      <c r="H16" s="3" t="s">
        <v>245</v>
      </c>
    </row>
    <row r="17" spans="1:8" ht="14.4" x14ac:dyDescent="0.3">
      <c r="A17" s="3" t="s">
        <v>246</v>
      </c>
      <c r="B17" s="3" t="s">
        <v>140</v>
      </c>
      <c r="C17" s="3" t="s">
        <v>141</v>
      </c>
      <c r="D17" s="3" t="s">
        <v>247</v>
      </c>
      <c r="E17" s="3" t="s">
        <v>248</v>
      </c>
      <c r="F17" s="3" t="s">
        <v>249</v>
      </c>
      <c r="G17" s="3" t="s">
        <v>250</v>
      </c>
      <c r="H17" s="3" t="s">
        <v>251</v>
      </c>
    </row>
    <row r="18" spans="1:8" ht="14.4" x14ac:dyDescent="0.3">
      <c r="A18" s="3" t="s">
        <v>246</v>
      </c>
      <c r="B18" s="3" t="s">
        <v>252</v>
      </c>
      <c r="C18" s="3" t="s">
        <v>253</v>
      </c>
      <c r="D18" s="3" t="s">
        <v>254</v>
      </c>
      <c r="E18" s="3" t="s">
        <v>255</v>
      </c>
      <c r="F18" s="3" t="s">
        <v>256</v>
      </c>
      <c r="G18" s="3" t="s">
        <v>257</v>
      </c>
      <c r="H18" s="3" t="s">
        <v>258</v>
      </c>
    </row>
    <row r="19" spans="1:8" ht="14.4" x14ac:dyDescent="0.3">
      <c r="A19" s="3" t="s">
        <v>246</v>
      </c>
      <c r="B19" s="3" t="s">
        <v>259</v>
      </c>
      <c r="C19" s="3" t="s">
        <v>260</v>
      </c>
      <c r="D19" s="3" t="s">
        <v>261</v>
      </c>
      <c r="E19" s="3" t="s">
        <v>262</v>
      </c>
      <c r="F19" s="3" t="s">
        <v>263</v>
      </c>
      <c r="G19" s="3" t="s">
        <v>264</v>
      </c>
      <c r="H19" s="3" t="s">
        <v>265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67E22"/>
  </sheetPr>
  <dimension ref="A1:H7"/>
  <sheetViews>
    <sheetView zoomScaleNormal="100" workbookViewId="0">
      <selection activeCell="H2" sqref="H2"/>
    </sheetView>
  </sheetViews>
  <sheetFormatPr defaultColWidth="8.6640625" defaultRowHeight="15" customHeight="1" x14ac:dyDescent="0.3"/>
  <cols>
    <col min="1" max="1" width="18" customWidth="1"/>
    <col min="2" max="2" width="48" customWidth="1"/>
    <col min="3" max="3" width="45" customWidth="1"/>
    <col min="4" max="4" width="32" customWidth="1"/>
    <col min="5" max="5" width="38" customWidth="1"/>
    <col min="6" max="6" width="50" customWidth="1"/>
    <col min="7" max="7" width="55" customWidth="1"/>
    <col min="8" max="8" width="60" customWidth="1"/>
  </cols>
  <sheetData>
    <row r="1" spans="1:8" ht="17.399999999999999" x14ac:dyDescent="0.3">
      <c r="A1" s="2" t="s">
        <v>15</v>
      </c>
      <c r="B1" s="2" t="s">
        <v>266</v>
      </c>
      <c r="C1" s="2" t="s">
        <v>267</v>
      </c>
      <c r="D1" s="2" t="s">
        <v>268</v>
      </c>
      <c r="E1" s="2" t="s">
        <v>269</v>
      </c>
      <c r="F1" s="2" t="s">
        <v>270</v>
      </c>
      <c r="G1" s="2" t="s">
        <v>271</v>
      </c>
      <c r="H1" s="2" t="s">
        <v>272</v>
      </c>
    </row>
    <row r="2" spans="1:8" ht="26.4" x14ac:dyDescent="0.3">
      <c r="A2" s="3" t="s">
        <v>25</v>
      </c>
      <c r="B2" s="3" t="s">
        <v>273</v>
      </c>
      <c r="C2" s="3" t="s">
        <v>274</v>
      </c>
      <c r="D2" s="3" t="s">
        <v>275</v>
      </c>
      <c r="E2" s="3" t="s">
        <v>276</v>
      </c>
      <c r="F2" s="3" t="s">
        <v>277</v>
      </c>
      <c r="G2" s="3" t="s">
        <v>278</v>
      </c>
      <c r="H2" s="3" t="s">
        <v>279</v>
      </c>
    </row>
    <row r="3" spans="1:8" ht="26.4" x14ac:dyDescent="0.3">
      <c r="A3" s="3" t="s">
        <v>280</v>
      </c>
      <c r="B3" s="3" t="s">
        <v>281</v>
      </c>
      <c r="C3" s="3" t="s">
        <v>282</v>
      </c>
      <c r="D3" s="3" t="s">
        <v>283</v>
      </c>
      <c r="E3" s="3" t="s">
        <v>284</v>
      </c>
      <c r="F3" s="3" t="s">
        <v>285</v>
      </c>
      <c r="G3" s="3" t="s">
        <v>286</v>
      </c>
      <c r="H3" s="3" t="s">
        <v>287</v>
      </c>
    </row>
    <row r="4" spans="1:8" ht="26.4" x14ac:dyDescent="0.3">
      <c r="A4" s="3" t="s">
        <v>40</v>
      </c>
      <c r="B4" s="3" t="s">
        <v>288</v>
      </c>
      <c r="C4" s="3" t="s">
        <v>289</v>
      </c>
      <c r="D4" s="3" t="s">
        <v>290</v>
      </c>
      <c r="E4" s="3" t="s">
        <v>291</v>
      </c>
      <c r="F4" s="3" t="s">
        <v>292</v>
      </c>
      <c r="G4" s="3" t="s">
        <v>293</v>
      </c>
      <c r="H4" s="3" t="s">
        <v>294</v>
      </c>
    </row>
    <row r="5" spans="1:8" ht="39.6" x14ac:dyDescent="0.3">
      <c r="A5" s="3" t="s">
        <v>48</v>
      </c>
      <c r="B5" s="3" t="s">
        <v>295</v>
      </c>
      <c r="C5" s="3" t="s">
        <v>296</v>
      </c>
      <c r="D5" s="3" t="s">
        <v>297</v>
      </c>
      <c r="E5" s="3" t="s">
        <v>298</v>
      </c>
      <c r="F5" s="3" t="s">
        <v>299</v>
      </c>
      <c r="G5" s="3" t="s">
        <v>300</v>
      </c>
      <c r="H5" s="3" t="s">
        <v>301</v>
      </c>
    </row>
    <row r="6" spans="1:8" ht="26.4" x14ac:dyDescent="0.3">
      <c r="A6" s="3" t="s">
        <v>55</v>
      </c>
      <c r="B6" s="3" t="s">
        <v>302</v>
      </c>
      <c r="C6" s="3" t="s">
        <v>303</v>
      </c>
      <c r="D6" s="3" t="s">
        <v>304</v>
      </c>
      <c r="E6" s="3" t="s">
        <v>305</v>
      </c>
      <c r="F6" s="3" t="s">
        <v>306</v>
      </c>
      <c r="G6" s="3" t="s">
        <v>307</v>
      </c>
      <c r="H6" s="3" t="s">
        <v>308</v>
      </c>
    </row>
    <row r="7" spans="1:8" ht="26.4" x14ac:dyDescent="0.3">
      <c r="A7" s="3" t="s">
        <v>63</v>
      </c>
      <c r="B7" s="3" t="s">
        <v>309</v>
      </c>
      <c r="C7" s="3" t="s">
        <v>310</v>
      </c>
      <c r="D7" s="3" t="s">
        <v>311</v>
      </c>
      <c r="E7" s="3" t="s">
        <v>312</v>
      </c>
      <c r="F7" s="3" t="s">
        <v>313</v>
      </c>
      <c r="G7" s="3" t="s">
        <v>314</v>
      </c>
      <c r="H7" s="3" t="s">
        <v>315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980B9"/>
  </sheetPr>
  <dimension ref="A1:E19"/>
  <sheetViews>
    <sheetView zoomScaleNormal="100" workbookViewId="0">
      <selection activeCell="C8" sqref="C8"/>
    </sheetView>
  </sheetViews>
  <sheetFormatPr defaultColWidth="8.6640625" defaultRowHeight="15" customHeight="1" x14ac:dyDescent="0.3"/>
  <cols>
    <col min="1" max="1" width="18" customWidth="1"/>
    <col min="2" max="2" width="28" customWidth="1"/>
    <col min="3" max="3" width="80" customWidth="1"/>
    <col min="4" max="4" width="55" customWidth="1"/>
    <col min="5" max="5" width="65" customWidth="1"/>
  </cols>
  <sheetData>
    <row r="1" spans="1:5" ht="34.799999999999997" x14ac:dyDescent="0.3">
      <c r="A1" s="2" t="s">
        <v>133</v>
      </c>
      <c r="B1" s="2" t="s">
        <v>316</v>
      </c>
      <c r="C1" s="2" t="s">
        <v>317</v>
      </c>
      <c r="D1" s="2" t="s">
        <v>318</v>
      </c>
      <c r="E1" s="2" t="s">
        <v>319</v>
      </c>
    </row>
    <row r="2" spans="1:5" ht="66" x14ac:dyDescent="0.3">
      <c r="A2" s="3" t="s">
        <v>25</v>
      </c>
      <c r="B2" s="3" t="s">
        <v>79</v>
      </c>
      <c r="C2" s="3" t="s">
        <v>320</v>
      </c>
      <c r="D2" s="3" t="s">
        <v>321</v>
      </c>
      <c r="E2" s="3" t="s">
        <v>322</v>
      </c>
    </row>
    <row r="3" spans="1:5" ht="52.8" x14ac:dyDescent="0.3">
      <c r="A3" s="3" t="s">
        <v>25</v>
      </c>
      <c r="B3" s="3" t="s">
        <v>84</v>
      </c>
      <c r="C3" s="3" t="s">
        <v>323</v>
      </c>
      <c r="D3" s="3" t="s">
        <v>324</v>
      </c>
      <c r="E3" s="3" t="s">
        <v>325</v>
      </c>
    </row>
    <row r="4" spans="1:5" ht="52.8" x14ac:dyDescent="0.3">
      <c r="A4" s="3" t="s">
        <v>161</v>
      </c>
      <c r="B4" s="3" t="s">
        <v>88</v>
      </c>
      <c r="C4" s="3" t="s">
        <v>326</v>
      </c>
      <c r="D4" s="3" t="s">
        <v>327</v>
      </c>
      <c r="E4" s="3" t="s">
        <v>328</v>
      </c>
    </row>
    <row r="5" spans="1:5" ht="39.6" x14ac:dyDescent="0.3">
      <c r="A5" s="3" t="s">
        <v>161</v>
      </c>
      <c r="B5" s="3" t="s">
        <v>96</v>
      </c>
      <c r="C5" s="3" t="s">
        <v>329</v>
      </c>
      <c r="D5" s="3" t="s">
        <v>330</v>
      </c>
      <c r="E5" s="3" t="s">
        <v>331</v>
      </c>
    </row>
    <row r="6" spans="1:5" ht="52.8" x14ac:dyDescent="0.3">
      <c r="A6" s="3" t="s">
        <v>183</v>
      </c>
      <c r="B6" s="3" t="s">
        <v>103</v>
      </c>
      <c r="C6" s="3" t="s">
        <v>332</v>
      </c>
      <c r="D6" s="3" t="s">
        <v>333</v>
      </c>
      <c r="E6" s="3" t="s">
        <v>334</v>
      </c>
    </row>
    <row r="7" spans="1:5" ht="52.8" x14ac:dyDescent="0.3">
      <c r="A7" s="3" t="s">
        <v>183</v>
      </c>
      <c r="B7" s="3" t="s">
        <v>88</v>
      </c>
      <c r="C7" s="3" t="s">
        <v>335</v>
      </c>
      <c r="D7" s="3" t="s">
        <v>336</v>
      </c>
      <c r="E7" s="3" t="s">
        <v>337</v>
      </c>
    </row>
    <row r="8" spans="1:5" ht="52.8" x14ac:dyDescent="0.3">
      <c r="A8" s="3" t="s">
        <v>205</v>
      </c>
      <c r="B8" s="3" t="s">
        <v>79</v>
      </c>
      <c r="C8" s="3" t="s">
        <v>338</v>
      </c>
      <c r="D8" s="3" t="s">
        <v>339</v>
      </c>
      <c r="E8" s="3" t="s">
        <v>340</v>
      </c>
    </row>
    <row r="9" spans="1:5" ht="52.8" x14ac:dyDescent="0.3">
      <c r="A9" s="3" t="s">
        <v>205</v>
      </c>
      <c r="B9" s="3" t="s">
        <v>106</v>
      </c>
      <c r="C9" s="3" t="s">
        <v>341</v>
      </c>
      <c r="D9" s="3" t="s">
        <v>342</v>
      </c>
      <c r="E9" s="3" t="s">
        <v>343</v>
      </c>
    </row>
    <row r="10" spans="1:5" ht="52.8" x14ac:dyDescent="0.3">
      <c r="A10" s="3" t="s">
        <v>224</v>
      </c>
      <c r="B10" s="3" t="s">
        <v>110</v>
      </c>
      <c r="C10" s="3" t="s">
        <v>344</v>
      </c>
      <c r="D10" s="3" t="s">
        <v>345</v>
      </c>
      <c r="E10" s="3" t="s">
        <v>346</v>
      </c>
    </row>
    <row r="11" spans="1:5" ht="52.8" x14ac:dyDescent="0.3">
      <c r="A11" s="3" t="s">
        <v>224</v>
      </c>
      <c r="B11" s="3" t="s">
        <v>347</v>
      </c>
      <c r="C11" s="3" t="s">
        <v>348</v>
      </c>
      <c r="D11" s="3" t="s">
        <v>349</v>
      </c>
      <c r="E11" s="3" t="s">
        <v>350</v>
      </c>
    </row>
    <row r="12" spans="1:5" ht="52.8" x14ac:dyDescent="0.3">
      <c r="A12" s="3" t="s">
        <v>246</v>
      </c>
      <c r="B12" s="3" t="s">
        <v>84</v>
      </c>
      <c r="C12" s="3" t="s">
        <v>351</v>
      </c>
      <c r="D12" s="3" t="s">
        <v>352</v>
      </c>
      <c r="E12" s="3" t="s">
        <v>353</v>
      </c>
    </row>
    <row r="13" spans="1:5" ht="52.8" x14ac:dyDescent="0.3">
      <c r="A13" s="3" t="s">
        <v>246</v>
      </c>
      <c r="B13" s="3" t="s">
        <v>113</v>
      </c>
      <c r="C13" s="3" t="s">
        <v>354</v>
      </c>
      <c r="D13" s="3" t="s">
        <v>355</v>
      </c>
      <c r="E13" s="3" t="s">
        <v>356</v>
      </c>
    </row>
    <row r="17" spans="1:3" ht="15" customHeight="1" x14ac:dyDescent="0.3">
      <c r="A17" s="3" t="s">
        <v>224</v>
      </c>
      <c r="B17" s="3" t="s">
        <v>344</v>
      </c>
      <c r="C17" s="3" t="s">
        <v>345</v>
      </c>
    </row>
    <row r="18" spans="1:3" ht="15" customHeight="1" x14ac:dyDescent="0.3">
      <c r="A18" s="3" t="s">
        <v>183</v>
      </c>
      <c r="B18" s="3" t="s">
        <v>335</v>
      </c>
      <c r="C18" s="3" t="s">
        <v>336</v>
      </c>
    </row>
    <row r="19" spans="1:3" ht="15" customHeight="1" x14ac:dyDescent="0.3">
      <c r="A19" s="3" t="s">
        <v>183</v>
      </c>
      <c r="B19" s="3" t="s">
        <v>332</v>
      </c>
      <c r="C19" s="3" t="s">
        <v>333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6A085"/>
  </sheetPr>
  <dimension ref="A1:F21"/>
  <sheetViews>
    <sheetView zoomScaleNormal="100" workbookViewId="0">
      <selection activeCell="A14" sqref="A14:E21"/>
    </sheetView>
  </sheetViews>
  <sheetFormatPr defaultColWidth="8.6640625" defaultRowHeight="15" customHeight="1" x14ac:dyDescent="0.3"/>
  <cols>
    <col min="1" max="1" width="8" customWidth="1"/>
    <col min="2" max="2" width="28" customWidth="1"/>
    <col min="3" max="3" width="30" customWidth="1"/>
    <col min="4" max="4" width="55" customWidth="1"/>
    <col min="5" max="5" width="35" customWidth="1"/>
    <col min="6" max="6" width="40" customWidth="1"/>
  </cols>
  <sheetData>
    <row r="1" spans="1:6" ht="34.799999999999997" x14ac:dyDescent="0.3">
      <c r="A1" s="2" t="s">
        <v>357</v>
      </c>
      <c r="B1" s="2" t="s">
        <v>358</v>
      </c>
      <c r="C1" s="2" t="s">
        <v>359</v>
      </c>
      <c r="D1" s="2" t="s">
        <v>360</v>
      </c>
      <c r="E1" s="2" t="s">
        <v>361</v>
      </c>
      <c r="F1" s="2" t="s">
        <v>362</v>
      </c>
    </row>
    <row r="2" spans="1:6" ht="39.6" x14ac:dyDescent="0.3">
      <c r="A2" s="3">
        <v>1</v>
      </c>
      <c r="B2" s="3" t="s">
        <v>363</v>
      </c>
      <c r="C2" s="3" t="s">
        <v>364</v>
      </c>
      <c r="D2" s="3" t="s">
        <v>365</v>
      </c>
      <c r="E2" s="3" t="s">
        <v>366</v>
      </c>
      <c r="F2" s="3" t="s">
        <v>367</v>
      </c>
    </row>
    <row r="3" spans="1:6" ht="39.6" x14ac:dyDescent="0.3">
      <c r="A3" s="3">
        <v>2</v>
      </c>
      <c r="B3" s="3" t="s">
        <v>368</v>
      </c>
      <c r="C3" s="3" t="s">
        <v>369</v>
      </c>
      <c r="D3" s="3" t="s">
        <v>370</v>
      </c>
      <c r="E3" s="3" t="s">
        <v>371</v>
      </c>
      <c r="F3" s="3" t="s">
        <v>372</v>
      </c>
    </row>
    <row r="4" spans="1:6" ht="26.4" x14ac:dyDescent="0.3">
      <c r="A4" s="3">
        <v>3</v>
      </c>
      <c r="B4" s="3" t="s">
        <v>373</v>
      </c>
      <c r="C4" s="3" t="s">
        <v>374</v>
      </c>
      <c r="D4" s="3" t="s">
        <v>375</v>
      </c>
      <c r="E4" s="3" t="s">
        <v>376</v>
      </c>
      <c r="F4" s="3" t="s">
        <v>377</v>
      </c>
    </row>
    <row r="5" spans="1:6" ht="26.4" x14ac:dyDescent="0.3">
      <c r="A5" s="3">
        <v>4</v>
      </c>
      <c r="B5" s="3" t="s">
        <v>378</v>
      </c>
      <c r="C5" s="3" t="s">
        <v>379</v>
      </c>
      <c r="D5" s="3" t="s">
        <v>380</v>
      </c>
      <c r="E5" s="3" t="s">
        <v>381</v>
      </c>
      <c r="F5" s="3" t="s">
        <v>382</v>
      </c>
    </row>
    <row r="6" spans="1:6" ht="26.4" x14ac:dyDescent="0.3">
      <c r="A6" s="3">
        <v>5</v>
      </c>
      <c r="B6" s="3" t="s">
        <v>383</v>
      </c>
      <c r="C6" s="3" t="s">
        <v>384</v>
      </c>
      <c r="D6" s="3" t="s">
        <v>385</v>
      </c>
      <c r="E6" s="3" t="s">
        <v>386</v>
      </c>
      <c r="F6" s="3" t="s">
        <v>387</v>
      </c>
    </row>
    <row r="7" spans="1:6" ht="39.6" x14ac:dyDescent="0.3">
      <c r="A7" s="3">
        <v>6</v>
      </c>
      <c r="B7" s="3" t="s">
        <v>388</v>
      </c>
      <c r="C7" s="3" t="s">
        <v>389</v>
      </c>
      <c r="D7" s="3" t="s">
        <v>390</v>
      </c>
      <c r="E7" s="3" t="s">
        <v>391</v>
      </c>
      <c r="F7" s="3" t="s">
        <v>392</v>
      </c>
    </row>
    <row r="8" spans="1:6" ht="26.4" x14ac:dyDescent="0.3">
      <c r="A8" s="3">
        <v>7</v>
      </c>
      <c r="B8" s="3" t="s">
        <v>393</v>
      </c>
      <c r="C8" s="3" t="s">
        <v>394</v>
      </c>
      <c r="D8" s="3" t="s">
        <v>395</v>
      </c>
      <c r="E8" s="3" t="s">
        <v>396</v>
      </c>
      <c r="F8" s="3" t="s">
        <v>397</v>
      </c>
    </row>
    <row r="9" spans="1:6" ht="26.4" x14ac:dyDescent="0.3">
      <c r="A9" s="3">
        <v>8</v>
      </c>
      <c r="B9" s="3" t="s">
        <v>398</v>
      </c>
      <c r="C9" s="3" t="s">
        <v>399</v>
      </c>
      <c r="D9" s="3" t="s">
        <v>400</v>
      </c>
      <c r="E9" s="3" t="s">
        <v>401</v>
      </c>
      <c r="F9" s="3" t="s">
        <v>402</v>
      </c>
    </row>
    <row r="10" spans="1:6" ht="26.4" x14ac:dyDescent="0.3">
      <c r="A10" s="3">
        <v>9</v>
      </c>
      <c r="B10" s="3" t="s">
        <v>403</v>
      </c>
      <c r="C10" s="3" t="s">
        <v>404</v>
      </c>
      <c r="D10" s="3" t="s">
        <v>405</v>
      </c>
      <c r="E10" s="3" t="s">
        <v>406</v>
      </c>
      <c r="F10" s="3" t="s">
        <v>407</v>
      </c>
    </row>
    <row r="11" spans="1:6" ht="26.4" x14ac:dyDescent="0.3">
      <c r="A11" s="3">
        <v>10</v>
      </c>
      <c r="B11" s="3" t="s">
        <v>408</v>
      </c>
      <c r="C11" s="3" t="s">
        <v>409</v>
      </c>
      <c r="D11" s="3" t="s">
        <v>410</v>
      </c>
      <c r="E11" s="3" t="s">
        <v>411</v>
      </c>
      <c r="F11" s="3" t="s">
        <v>412</v>
      </c>
    </row>
    <row r="14" spans="1:6" ht="15" customHeight="1" x14ac:dyDescent="0.3">
      <c r="A14" s="2" t="s">
        <v>357</v>
      </c>
      <c r="B14" s="2" t="s">
        <v>358</v>
      </c>
      <c r="C14" s="2" t="s">
        <v>359</v>
      </c>
      <c r="D14" s="2" t="s">
        <v>361</v>
      </c>
      <c r="E14" s="2" t="s">
        <v>362</v>
      </c>
      <c r="F14" s="2" t="s">
        <v>362</v>
      </c>
    </row>
    <row r="15" spans="1:6" ht="15" customHeight="1" x14ac:dyDescent="0.3">
      <c r="A15" s="3">
        <v>1</v>
      </c>
      <c r="B15" s="3" t="s">
        <v>363</v>
      </c>
      <c r="C15" s="3" t="s">
        <v>364</v>
      </c>
      <c r="D15" s="3" t="s">
        <v>366</v>
      </c>
      <c r="E15" s="3" t="s">
        <v>367</v>
      </c>
      <c r="F15" s="3" t="s">
        <v>367</v>
      </c>
    </row>
    <row r="16" spans="1:6" ht="15" customHeight="1" x14ac:dyDescent="0.3">
      <c r="A16" s="3">
        <v>2</v>
      </c>
      <c r="B16" s="3" t="s">
        <v>368</v>
      </c>
      <c r="C16" s="3" t="s">
        <v>369</v>
      </c>
      <c r="D16" s="3" t="s">
        <v>371</v>
      </c>
      <c r="E16" s="3" t="s">
        <v>372</v>
      </c>
      <c r="F16" s="3" t="s">
        <v>372</v>
      </c>
    </row>
    <row r="17" spans="1:6" ht="15" customHeight="1" x14ac:dyDescent="0.3">
      <c r="A17" s="3">
        <v>3</v>
      </c>
      <c r="B17" s="3" t="s">
        <v>373</v>
      </c>
      <c r="C17" s="3" t="s">
        <v>374</v>
      </c>
      <c r="D17" s="3" t="s">
        <v>376</v>
      </c>
      <c r="E17" s="3" t="s">
        <v>377</v>
      </c>
      <c r="F17" s="3" t="s">
        <v>377</v>
      </c>
    </row>
    <row r="18" spans="1:6" ht="15" customHeight="1" x14ac:dyDescent="0.3">
      <c r="A18" s="3">
        <v>4</v>
      </c>
      <c r="B18" s="3" t="s">
        <v>378</v>
      </c>
      <c r="C18" s="3" t="s">
        <v>379</v>
      </c>
      <c r="D18" s="3" t="s">
        <v>381</v>
      </c>
      <c r="E18" s="3" t="s">
        <v>382</v>
      </c>
      <c r="F18" s="3" t="s">
        <v>382</v>
      </c>
    </row>
    <row r="19" spans="1:6" ht="15" customHeight="1" x14ac:dyDescent="0.3">
      <c r="A19" s="3">
        <v>5</v>
      </c>
      <c r="B19" s="3" t="s">
        <v>383</v>
      </c>
      <c r="C19" s="3" t="s">
        <v>384</v>
      </c>
      <c r="D19" s="3" t="s">
        <v>386</v>
      </c>
      <c r="E19" s="3" t="s">
        <v>387</v>
      </c>
      <c r="F19" s="3" t="s">
        <v>387</v>
      </c>
    </row>
    <row r="20" spans="1:6" ht="15" customHeight="1" x14ac:dyDescent="0.3">
      <c r="A20" s="3">
        <v>6</v>
      </c>
      <c r="B20" s="3" t="s">
        <v>388</v>
      </c>
      <c r="C20" s="3" t="s">
        <v>389</v>
      </c>
      <c r="D20" s="3" t="s">
        <v>391</v>
      </c>
      <c r="E20" s="3" t="s">
        <v>392</v>
      </c>
      <c r="F20" s="3" t="s">
        <v>392</v>
      </c>
    </row>
    <row r="21" spans="1:6" ht="15" customHeight="1" x14ac:dyDescent="0.3">
      <c r="A21" s="3">
        <v>7</v>
      </c>
      <c r="B21" s="3" t="s">
        <v>393</v>
      </c>
      <c r="C21" s="3" t="s">
        <v>394</v>
      </c>
      <c r="D21" s="3" t="s">
        <v>396</v>
      </c>
      <c r="E21" s="3" t="s">
        <v>397</v>
      </c>
      <c r="F21" s="3" t="s">
        <v>397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35400"/>
  </sheetPr>
  <dimension ref="A1:J13"/>
  <sheetViews>
    <sheetView zoomScaleNormal="100" workbookViewId="0">
      <selection activeCell="B16" sqref="B16"/>
    </sheetView>
  </sheetViews>
  <sheetFormatPr defaultColWidth="8.6640625" defaultRowHeight="15" customHeight="1" x14ac:dyDescent="0.3"/>
  <cols>
    <col min="1" max="1" width="8" customWidth="1"/>
    <col min="2" max="2" width="22" customWidth="1"/>
    <col min="3" max="3" width="28" customWidth="1"/>
    <col min="4" max="4" width="50" customWidth="1"/>
    <col min="5" max="5" width="10" customWidth="1"/>
    <col min="6" max="7" width="12" customWidth="1"/>
    <col min="8" max="8" width="14" customWidth="1"/>
    <col min="9" max="9" width="10" customWidth="1"/>
    <col min="10" max="10" width="60" customWidth="1"/>
  </cols>
  <sheetData>
    <row r="1" spans="1:10" ht="52.2" x14ac:dyDescent="0.3">
      <c r="A1" s="2" t="s">
        <v>78</v>
      </c>
      <c r="B1" s="2" t="s">
        <v>15</v>
      </c>
      <c r="C1" s="2" t="s">
        <v>316</v>
      </c>
      <c r="D1" s="2" t="s">
        <v>413</v>
      </c>
      <c r="E1" s="2" t="s">
        <v>72</v>
      </c>
      <c r="F1" s="2" t="s">
        <v>414</v>
      </c>
      <c r="G1" s="2" t="s">
        <v>415</v>
      </c>
      <c r="H1" s="2" t="s">
        <v>416</v>
      </c>
      <c r="I1" s="2" t="s">
        <v>17</v>
      </c>
      <c r="J1" s="2" t="s">
        <v>417</v>
      </c>
    </row>
    <row r="2" spans="1:10" ht="26.4" x14ac:dyDescent="0.3">
      <c r="A2" s="4">
        <v>1</v>
      </c>
      <c r="B2" s="4" t="s">
        <v>25</v>
      </c>
      <c r="C2" s="4" t="s">
        <v>79</v>
      </c>
      <c r="D2" s="4" t="s">
        <v>418</v>
      </c>
      <c r="E2" s="4">
        <v>15.87</v>
      </c>
      <c r="F2" s="4">
        <v>49.99</v>
      </c>
      <c r="G2" s="8">
        <f t="shared" ref="G2:G13" si="0">F2-E2-9.5</f>
        <v>24.620000000000005</v>
      </c>
      <c r="H2" s="4">
        <v>22200</v>
      </c>
      <c r="I2" s="4">
        <v>0.28000000000000003</v>
      </c>
      <c r="J2" s="4" t="s">
        <v>419</v>
      </c>
    </row>
    <row r="3" spans="1:10" ht="26.4" x14ac:dyDescent="0.3">
      <c r="A3" s="4">
        <v>2</v>
      </c>
      <c r="B3" s="4" t="s">
        <v>25</v>
      </c>
      <c r="C3" s="4" t="s">
        <v>84</v>
      </c>
      <c r="D3" s="4" t="s">
        <v>420</v>
      </c>
      <c r="E3" s="4">
        <v>7.11</v>
      </c>
      <c r="F3" s="4">
        <v>34.99</v>
      </c>
      <c r="G3" s="8">
        <f t="shared" si="0"/>
        <v>18.380000000000003</v>
      </c>
      <c r="H3" s="4">
        <v>22200</v>
      </c>
      <c r="I3" s="4">
        <v>0.28000000000000003</v>
      </c>
      <c r="J3" s="4" t="s">
        <v>421</v>
      </c>
    </row>
    <row r="4" spans="1:10" ht="26.4" x14ac:dyDescent="0.3">
      <c r="A4" s="4">
        <v>3</v>
      </c>
      <c r="B4" s="4" t="s">
        <v>48</v>
      </c>
      <c r="C4" s="4" t="s">
        <v>79</v>
      </c>
      <c r="D4" s="4" t="s">
        <v>422</v>
      </c>
      <c r="E4" s="4">
        <v>15.87</v>
      </c>
      <c r="F4" s="4">
        <v>49.99</v>
      </c>
      <c r="G4" s="8">
        <f t="shared" si="0"/>
        <v>24.620000000000005</v>
      </c>
      <c r="H4" s="4">
        <v>5400</v>
      </c>
      <c r="I4" s="4">
        <v>0.48</v>
      </c>
      <c r="J4" s="4" t="s">
        <v>423</v>
      </c>
    </row>
    <row r="5" spans="1:10" ht="26.4" x14ac:dyDescent="0.3">
      <c r="A5" s="5">
        <v>4</v>
      </c>
      <c r="B5" s="5" t="s">
        <v>63</v>
      </c>
      <c r="C5" s="5" t="s">
        <v>113</v>
      </c>
      <c r="D5" s="5" t="s">
        <v>424</v>
      </c>
      <c r="E5" s="5">
        <v>14.11</v>
      </c>
      <c r="F5" s="5">
        <v>44.99</v>
      </c>
      <c r="G5" s="9">
        <f t="shared" si="0"/>
        <v>21.380000000000003</v>
      </c>
      <c r="H5" s="5">
        <v>1900</v>
      </c>
      <c r="I5" s="5">
        <v>0.28999999999999998</v>
      </c>
      <c r="J5" s="5" t="s">
        <v>425</v>
      </c>
    </row>
    <row r="6" spans="1:10" ht="26.4" x14ac:dyDescent="0.3">
      <c r="A6" s="5">
        <v>5</v>
      </c>
      <c r="B6" s="5" t="s">
        <v>40</v>
      </c>
      <c r="C6" s="5" t="s">
        <v>88</v>
      </c>
      <c r="D6" s="5" t="s">
        <v>426</v>
      </c>
      <c r="E6" s="5">
        <v>14.6</v>
      </c>
      <c r="F6" s="5">
        <v>44.99</v>
      </c>
      <c r="G6" s="9">
        <f t="shared" si="0"/>
        <v>20.89</v>
      </c>
      <c r="H6" s="5">
        <v>18100</v>
      </c>
      <c r="I6" s="5">
        <v>0.28000000000000003</v>
      </c>
      <c r="J6" s="5" t="s">
        <v>427</v>
      </c>
    </row>
    <row r="7" spans="1:10" ht="26.4" x14ac:dyDescent="0.3">
      <c r="A7" s="5">
        <v>6</v>
      </c>
      <c r="B7" s="5" t="s">
        <v>161</v>
      </c>
      <c r="C7" s="5" t="s">
        <v>96</v>
      </c>
      <c r="D7" s="5" t="s">
        <v>428</v>
      </c>
      <c r="E7" s="5">
        <v>7.25</v>
      </c>
      <c r="F7" s="5">
        <v>34.99</v>
      </c>
      <c r="G7" s="9">
        <f t="shared" si="0"/>
        <v>18.240000000000002</v>
      </c>
      <c r="H7" s="5">
        <v>880</v>
      </c>
      <c r="I7" s="5">
        <v>0.37</v>
      </c>
      <c r="J7" s="5" t="s">
        <v>429</v>
      </c>
    </row>
    <row r="8" spans="1:10" ht="14.4" x14ac:dyDescent="0.3">
      <c r="A8" s="3">
        <v>7</v>
      </c>
      <c r="B8" s="3" t="s">
        <v>55</v>
      </c>
      <c r="C8" s="3" t="s">
        <v>110</v>
      </c>
      <c r="D8" s="3" t="s">
        <v>430</v>
      </c>
      <c r="E8" s="3">
        <v>13.81</v>
      </c>
      <c r="F8" s="3">
        <v>39.99</v>
      </c>
      <c r="G8" s="10">
        <f t="shared" si="0"/>
        <v>16.68</v>
      </c>
      <c r="H8" s="3">
        <v>4400</v>
      </c>
      <c r="I8" s="3">
        <v>0.27</v>
      </c>
      <c r="J8" s="3" t="s">
        <v>431</v>
      </c>
    </row>
    <row r="9" spans="1:10" ht="26.4" x14ac:dyDescent="0.3">
      <c r="A9" s="3">
        <v>8</v>
      </c>
      <c r="B9" s="3" t="s">
        <v>48</v>
      </c>
      <c r="C9" s="3" t="s">
        <v>106</v>
      </c>
      <c r="D9" s="3" t="s">
        <v>432</v>
      </c>
      <c r="E9" s="3">
        <v>13.03</v>
      </c>
      <c r="F9" s="3">
        <v>49.99</v>
      </c>
      <c r="G9" s="10">
        <f t="shared" si="0"/>
        <v>27.46</v>
      </c>
      <c r="H9" s="3">
        <v>5400</v>
      </c>
      <c r="I9" s="3">
        <v>0.48</v>
      </c>
      <c r="J9" s="3" t="s">
        <v>433</v>
      </c>
    </row>
    <row r="10" spans="1:10" ht="26.4" x14ac:dyDescent="0.3">
      <c r="A10" s="3">
        <v>9</v>
      </c>
      <c r="B10" s="3" t="s">
        <v>63</v>
      </c>
      <c r="C10" s="3" t="s">
        <v>84</v>
      </c>
      <c r="D10" s="3" t="s">
        <v>434</v>
      </c>
      <c r="E10" s="3">
        <v>7.11</v>
      </c>
      <c r="F10" s="3">
        <v>34.99</v>
      </c>
      <c r="G10" s="10">
        <f t="shared" si="0"/>
        <v>18.380000000000003</v>
      </c>
      <c r="H10" s="3">
        <v>1900</v>
      </c>
      <c r="I10" s="3">
        <v>0.28999999999999998</v>
      </c>
      <c r="J10" s="3" t="s">
        <v>435</v>
      </c>
    </row>
    <row r="11" spans="1:10" ht="26.4" x14ac:dyDescent="0.3">
      <c r="A11" s="3">
        <v>10</v>
      </c>
      <c r="B11" s="3" t="s">
        <v>161</v>
      </c>
      <c r="C11" s="3" t="s">
        <v>79</v>
      </c>
      <c r="D11" s="3" t="s">
        <v>436</v>
      </c>
      <c r="E11" s="3">
        <v>15.87</v>
      </c>
      <c r="F11" s="3">
        <v>49.99</v>
      </c>
      <c r="G11" s="10">
        <f t="shared" si="0"/>
        <v>24.620000000000005</v>
      </c>
      <c r="H11" s="3">
        <v>880</v>
      </c>
      <c r="I11" s="3">
        <v>0.37</v>
      </c>
      <c r="J11" s="3" t="s">
        <v>437</v>
      </c>
    </row>
    <row r="12" spans="1:10" ht="26.4" x14ac:dyDescent="0.3">
      <c r="A12" s="3">
        <v>11</v>
      </c>
      <c r="B12" s="3" t="s">
        <v>25</v>
      </c>
      <c r="C12" s="3" t="s">
        <v>113</v>
      </c>
      <c r="D12" s="3" t="s">
        <v>438</v>
      </c>
      <c r="E12" s="3">
        <v>14.11</v>
      </c>
      <c r="F12" s="3">
        <v>44.99</v>
      </c>
      <c r="G12" s="10">
        <f t="shared" si="0"/>
        <v>21.380000000000003</v>
      </c>
      <c r="H12" s="3">
        <v>22200</v>
      </c>
      <c r="I12" s="3">
        <v>0.28000000000000003</v>
      </c>
      <c r="J12" s="3" t="s">
        <v>439</v>
      </c>
    </row>
    <row r="13" spans="1:10" ht="26.4" x14ac:dyDescent="0.3">
      <c r="A13" s="3">
        <v>12</v>
      </c>
      <c r="B13" s="3" t="s">
        <v>40</v>
      </c>
      <c r="C13" s="3" t="s">
        <v>440</v>
      </c>
      <c r="D13" s="3" t="s">
        <v>441</v>
      </c>
      <c r="E13" s="3">
        <v>12.74</v>
      </c>
      <c r="F13" s="3">
        <v>39.99</v>
      </c>
      <c r="G13" s="10">
        <f t="shared" si="0"/>
        <v>17.75</v>
      </c>
      <c r="H13" s="3">
        <v>18100</v>
      </c>
      <c r="I13" s="3">
        <v>0.28000000000000003</v>
      </c>
      <c r="J13" s="3" t="s">
        <v>442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Keyword Design Analysis</vt:lpstr>
      <vt:lpstr>Product-Keyword Matrix</vt:lpstr>
      <vt:lpstr>Color Palette Guide</vt:lpstr>
      <vt:lpstr>Motif Design Guide</vt:lpstr>
      <vt:lpstr>AI Prompt Templates</vt:lpstr>
      <vt:lpstr>Mockup &amp; Listing Guide</vt:lpstr>
      <vt:lpstr>Priority Launch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Owner</cp:lastModifiedBy>
  <cp:revision>0</cp:revision>
  <dcterms:created xsi:type="dcterms:W3CDTF">2026-02-24T17:49:42Z</dcterms:created>
  <dcterms:modified xsi:type="dcterms:W3CDTF">2026-02-27T00:07:51Z</dcterms:modified>
  <dc:language>en-US</dc:language>
</cp:coreProperties>
</file>