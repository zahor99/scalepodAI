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D3757BC9-2CDD-4305-96F8-594980DE7A45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upplier Overview" sheetId="1" r:id="rId1"/>
    <sheet name="Margin Analysis" sheetId="2" r:id="rId2"/>
    <sheet name="API Comparison" sheetId="3" r:id="rId3"/>
    <sheet name="Recommenda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1" i="2" l="1"/>
  <c r="G41" i="2"/>
  <c r="F41" i="2"/>
  <c r="F40" i="2"/>
  <c r="G40" i="2" s="1"/>
  <c r="H40" i="2" s="1"/>
  <c r="F39" i="2"/>
  <c r="G39" i="2" s="1"/>
  <c r="H39" i="2" s="1"/>
  <c r="F38" i="2"/>
  <c r="G38" i="2" s="1"/>
  <c r="H38" i="2" s="1"/>
  <c r="F37" i="2"/>
  <c r="G37" i="2" s="1"/>
  <c r="H37" i="2" s="1"/>
  <c r="F36" i="2"/>
  <c r="G36" i="2" s="1"/>
  <c r="H36" i="2" s="1"/>
  <c r="G35" i="2"/>
  <c r="H35" i="2" s="1"/>
  <c r="F35" i="2"/>
  <c r="F34" i="2"/>
  <c r="G34" i="2" s="1"/>
  <c r="H34" i="2" s="1"/>
  <c r="F33" i="2"/>
  <c r="G33" i="2" s="1"/>
  <c r="H33" i="2" s="1"/>
  <c r="F32" i="2"/>
  <c r="G32" i="2" s="1"/>
  <c r="H32" i="2" s="1"/>
  <c r="F31" i="2"/>
  <c r="G31" i="2" s="1"/>
  <c r="H31" i="2" s="1"/>
  <c r="F30" i="2"/>
  <c r="G30" i="2" s="1"/>
  <c r="H30" i="2" s="1"/>
  <c r="F29" i="2"/>
  <c r="G29" i="2" s="1"/>
  <c r="H29" i="2" s="1"/>
  <c r="F28" i="2"/>
  <c r="G28" i="2" s="1"/>
  <c r="H28" i="2" s="1"/>
  <c r="F27" i="2"/>
  <c r="G27" i="2" s="1"/>
  <c r="H27" i="2" s="1"/>
  <c r="F22" i="2"/>
  <c r="G22" i="2" s="1"/>
  <c r="H22" i="2" s="1"/>
  <c r="F21" i="2"/>
  <c r="G21" i="2" s="1"/>
  <c r="H21" i="2" s="1"/>
  <c r="F20" i="2"/>
  <c r="G20" i="2" s="1"/>
  <c r="H20" i="2" s="1"/>
  <c r="F19" i="2"/>
  <c r="G19" i="2" s="1"/>
  <c r="H19" i="2" s="1"/>
  <c r="F18" i="2"/>
  <c r="G18" i="2" s="1"/>
  <c r="H18" i="2" s="1"/>
  <c r="H17" i="2"/>
  <c r="G17" i="2"/>
  <c r="F17" i="2"/>
  <c r="F12" i="2"/>
  <c r="G12" i="2" s="1"/>
  <c r="H12" i="2" s="1"/>
  <c r="F11" i="2"/>
  <c r="G11" i="2" s="1"/>
  <c r="H11" i="2" s="1"/>
  <c r="F10" i="2"/>
  <c r="G10" i="2" s="1"/>
  <c r="H10" i="2" s="1"/>
  <c r="F9" i="2"/>
  <c r="G9" i="2" s="1"/>
  <c r="H9" i="2" s="1"/>
  <c r="F8" i="2"/>
  <c r="G8" i="2" s="1"/>
  <c r="H8" i="2" s="1"/>
  <c r="G7" i="2"/>
  <c r="H7" i="2" s="1"/>
  <c r="F7" i="2"/>
  <c r="F6" i="2"/>
  <c r="G6" i="2" s="1"/>
  <c r="H6" i="2" s="1"/>
</calcChain>
</file>

<file path=xl/sharedStrings.xml><?xml version="1.0" encoding="utf-8"?>
<sst xmlns="http://schemas.openxmlformats.org/spreadsheetml/2006/main" count="402" uniqueCount="260">
  <si>
    <t>Alternative AOP Suppliers — Research Report</t>
  </si>
  <si>
    <t>Beyond Printify / Printful / Gelato  •  Updated March 2026</t>
  </si>
  <si>
    <t>Supplier</t>
  </si>
  <si>
    <t>HQ / Fulfillment</t>
  </si>
  <si>
    <t>AOP Method</t>
  </si>
  <si>
    <t>API Access</t>
  </si>
  <si>
    <t>API Quality</t>
  </si>
  <si>
    <t>Etsy Integration</t>
  </si>
  <si>
    <t>Key AOP Products</t>
  </si>
  <si>
    <t>Production Time</t>
  </si>
  <si>
    <t>Shipping to US</t>
  </si>
  <si>
    <t>Notable Differentiator</t>
  </si>
  <si>
    <t>MWW On Demand</t>
  </si>
  <si>
    <t>US (Johnstown, PA)</t>
  </si>
  <si>
    <t>Dye-sublimation</t>
  </si>
  <si>
    <t>YES — JSON REST API</t>
  </si>
  <si>
    <t>★★★★☆ (Full order mgmt)</t>
  </si>
  <si>
    <t>Via Printify or direct</t>
  </si>
  <si>
    <t>AOP Hoodies, Tees, Sweatshirts, Dresses, Skirts, Leggings</t>
  </si>
  <si>
    <t>2-5 days</t>
  </si>
  <si>
    <t>Domestic (fast)</t>
  </si>
  <si>
    <t>THE manufacturer behind Printify's BP450. Go direct = cut out middleman markup.</t>
  </si>
  <si>
    <t>Gooten</t>
  </si>
  <si>
    <t>US (NY HQ, multi-facility)</t>
  </si>
  <si>
    <t>YES — Full REST API (free)</t>
  </si>
  <si>
    <t>★★★★★ (Best in class)</t>
  </si>
  <si>
    <t>Via Etsy API or manual</t>
  </si>
  <si>
    <t>AOP Hoodies, Zip Hoodies, Sweatshirts, Hooded Dresses, Joggers</t>
  </si>
  <si>
    <t>3-7 days</t>
  </si>
  <si>
    <t>Domestic</t>
  </si>
  <si>
    <t>Free API, VIM loyalty = volume discounts. Strong AOP hoodie catalog.</t>
  </si>
  <si>
    <t>CustomCat</t>
  </si>
  <si>
    <t>US (Saginaw, MI)</t>
  </si>
  <si>
    <t>DIGISOFT™ (DTG+DTF hybrid)</t>
  </si>
  <si>
    <t>YES — REST API</t>
  </si>
  <si>
    <t>★★★☆☆ (Enterprise tier best)</t>
  </si>
  <si>
    <t>Shopify/WooCommerce, manual Etsy</t>
  </si>
  <si>
    <t>Hoodies, Sweatshirts, Tees, Bags (NOT true AOP sublimation)</t>
  </si>
  <si>
    <t>48 hours!</t>
  </si>
  <si>
    <t>Domestic (fastest)</t>
  </si>
  <si>
    <t>48-hour production. BUT DIGISOFT ≠ true AOP sublimation — panel-limited printing.</t>
  </si>
  <si>
    <t>Subliminator</t>
  </si>
  <si>
    <t>US fulfillment (Israel HQ)</t>
  </si>
  <si>
    <t>Dye-sublimation (cut &amp; sew)</t>
  </si>
  <si>
    <t>LIMITED — Shopify app, order sync</t>
  </si>
  <si>
    <t>★★☆☆☆ (No public REST API)</t>
  </si>
  <si>
    <t>Not native — manual/CSV</t>
  </si>
  <si>
    <t>AOP Hoodies, Dresses, Sweatshirts, Joggers, Bomber Jackets, Skater Dresses</t>
  </si>
  <si>
    <t>3-5 days</t>
  </si>
  <si>
    <t>6-9 days (mixed fulfillment)</t>
  </si>
  <si>
    <t>True cut-and-sew AOP. Huge women's catalog (dresses, skater skirts). Low base costs.</t>
  </si>
  <si>
    <t>Merchize</t>
  </si>
  <si>
    <t>Vietnam + US + EU facilities</t>
  </si>
  <si>
    <t>★★★★☆ (Full CRUD)</t>
  </si>
  <si>
    <t>Native Etsy integration</t>
  </si>
  <si>
    <t>AOP Hoodies, Hoodie Dresses, Sweatshirts (light+mid), Tees, Leggings</t>
  </si>
  <si>
    <t>3-5 days (US facility)</t>
  </si>
  <si>
    <t>Domestic from US hub</t>
  </si>
  <si>
    <t>Cheapest AOP base costs in the market. $11.50 sweatshirt, $15.50 hoodie. API + Etsy native.</t>
  </si>
  <si>
    <t>AOP+</t>
  </si>
  <si>
    <t>UK (London, in-house)</t>
  </si>
  <si>
    <t>Dye-sublimation (organic options)</t>
  </si>
  <si>
    <t>LIMITED — Shopify app only</t>
  </si>
  <si>
    <t>★★☆☆☆ (No REST API)</t>
  </si>
  <si>
    <t>Native Etsy integration via app</t>
  </si>
  <si>
    <t>AOP Hoodies, Hoodie Dresses, Tees, Sweatshirts, Leggings, Crop Tops</t>
  </si>
  <si>
    <t>7-14 days (UK→US)</t>
  </si>
  <si>
    <t>Eco/organic options, 5000+ products. BUT UK-based = slow US shipping. Etsy-native.</t>
  </si>
  <si>
    <t>HugePOD</t>
  </si>
  <si>
    <t>China (Shenzhen)</t>
  </si>
  <si>
    <t>★★★☆☆ (Order-focused)</t>
  </si>
  <si>
    <t>Manual/CSV</t>
  </si>
  <si>
    <t>AOP Hoodie Dresses, Midi Dresses, Tank Dresses, Cami Dresses, Tees</t>
  </si>
  <si>
    <t>10-20 days (China→US)</t>
  </si>
  <si>
    <t>Biggest women's dress AOP catalog (19+ styles). Very cheap (&lt;$20 per dress). Slow shipping.</t>
  </si>
  <si>
    <t>PeaPrint</t>
  </si>
  <si>
    <t>China (multiple facilities)</t>
  </si>
  <si>
    <t>LIMITED — Shopify app</t>
  </si>
  <si>
    <t>Not native</t>
  </si>
  <si>
    <t>AOP Hoodies, V-Neck Hoodie Dresses, Sleeveless Midi, A-Line, Swing, Maxi, Slip, Ruffle Cami, 1000+ products</t>
  </si>
  <si>
    <t>7-15 days (China→US)</t>
  </si>
  <si>
    <t>25-35% cheaper than Printful. Huge women's dress selection. No real API (Shopify app only). Base costs $8-$15 for dresses.</t>
  </si>
  <si>
    <t>Prodigi</t>
  </si>
  <si>
    <t>UK + US + EU (multi-facility)</t>
  </si>
  <si>
    <t>YES — Print API (excellent)</t>
  </si>
  <si>
    <t>★★★★★ (Developer-first)</t>
  </si>
  <si>
    <t>Via API to any platform</t>
  </si>
  <si>
    <t>AOP Hoodies, Sweatshirts, Jackets, Women's Tees</t>
  </si>
  <si>
    <t>Developer-first Print API. Best docs. But smaller AOP apparel catalog than others.</t>
  </si>
  <si>
    <t>JetPrint</t>
  </si>
  <si>
    <t>China</t>
  </si>
  <si>
    <t>★★☆☆☆</t>
  </si>
  <si>
    <t>AOP Dresses, Swimsuits, Shoes, Accessories</t>
  </si>
  <si>
    <t>5-10 days</t>
  </si>
  <si>
    <t>10-20 days</t>
  </si>
  <si>
    <t>Unique niche items (shoes, swimwear). Pricier. Slow shipping.</t>
  </si>
  <si>
    <t>Awkward Styles</t>
  </si>
  <si>
    <t>US (Los Angeles, CA)</t>
  </si>
  <si>
    <t>Sublimation + DTG</t>
  </si>
  <si>
    <t>YES — REST API (basic auth)</t>
  </si>
  <si>
    <t>★★★☆☆ (Order CRUD)</t>
  </si>
  <si>
    <t>Manual</t>
  </si>
  <si>
    <t>AOP options limited — stronger on DTG. Hoodies, Tees</t>
  </si>
  <si>
    <t>LA-based. Has API. But AOP catalog is thin — better for DTG.</t>
  </si>
  <si>
    <t>AOP Margin Analysis — Target Products</t>
  </si>
  <si>
    <t>Sale prices based on your current strategy (perpetual 50% sale)  •  Shipping paid by buyer</t>
  </si>
  <si>
    <t>AOP HOODIES</t>
  </si>
  <si>
    <t>Base Cost (S-XL)</t>
  </si>
  <si>
    <t>Base Cost (2XL+)</t>
  </si>
  <si>
    <t>Listed Price</t>
  </si>
  <si>
    <t>Sale Price (50% off)</t>
  </si>
  <si>
    <t>Etsy Fee (~13%)</t>
  </si>
  <si>
    <t>Net Profit (S-XL)</t>
  </si>
  <si>
    <t>Margin %</t>
  </si>
  <si>
    <t>Notes</t>
  </si>
  <si>
    <t>MWW Direct (est.)</t>
  </si>
  <si>
    <t>Direct pricing ~15-20% less than via Printify. Must register for exact quote.</t>
  </si>
  <si>
    <t>MWW via Printify (BP450)</t>
  </si>
  <si>
    <t>Your current supplier. Known quantity.</t>
  </si>
  <si>
    <t>Est. from market data. VIM tiers drop $1.50/unit at volume.</t>
  </si>
  <si>
    <t>CustomCat (Pro $30/mo)</t>
  </si>
  <si>
    <t>⚠️ DIGISOFT not true AOP sublimation. Panel-limited, not edge-to-edge.</t>
  </si>
  <si>
    <t>True cut-and-sew AOP. Mixed US/intl fulfillment.</t>
  </si>
  <si>
    <t>Cheapest AOP hoodie. Quality TBD — Vietnam/US production.</t>
  </si>
  <si>
    <t>UK shipping adds 7-14 days to US. Eco options.</t>
  </si>
  <si>
    <t>AOP SWEATSHIRTS / CREWNECKS</t>
  </si>
  <si>
    <t>MWW via Printify (BP449)</t>
  </si>
  <si>
    <t>Your current mid-tier. Solid quality.</t>
  </si>
  <si>
    <t>Estimated. Check Gooten Admin for exact pricing.</t>
  </si>
  <si>
    <t>Good value. Cut-and-sew AOP.</t>
  </si>
  <si>
    <t>Absurdly cheap. Lightweight option $11.50, midweight ~$15.</t>
  </si>
  <si>
    <t>UK-based. Eco options available.</t>
  </si>
  <si>
    <t>CustomCat (Pro)</t>
  </si>
  <si>
    <t>⚠️ DIGISOFT — not true AOP.</t>
  </si>
  <si>
    <t>AOP DRESSES (Elegant Women — Hoodie Dress / Midi / Maxi)</t>
  </si>
  <si>
    <t>Yoycol — Elegant Long Dress</t>
  </si>
  <si>
    <t>Your current dress supplier. Best quality-to-price ratio.</t>
  </si>
  <si>
    <t>Yoycol — Slip Dress</t>
  </si>
  <si>
    <t>Entry-tier dress. Highest margin potential.</t>
  </si>
  <si>
    <t>Merchize — AOP Hoodie Dress</t>
  </si>
  <si>
    <t>Hoodie dress hybrid. Estimated pricing.</t>
  </si>
  <si>
    <t>AOP+ — Hoodie Dress</t>
  </si>
  <si>
    <t>UK-based. Cotton hoodie dress, eco option.</t>
  </si>
  <si>
    <t>HugePOD — Hoodie Dress</t>
  </si>
  <si>
    <t>Cheapest hoodie dress. 10-20 day shipping from China.</t>
  </si>
  <si>
    <t>HugePOD — Midi Cami Dress</t>
  </si>
  <si>
    <t>Split midi — elegant look. Slow shipping.</t>
  </si>
  <si>
    <t>Subliminator — Skater Dress</t>
  </si>
  <si>
    <t>Cut-and-sew. Good quality. Limited dress styles.</t>
  </si>
  <si>
    <t>Gooten — Hooded Pullover Dress</t>
  </si>
  <si>
    <t>US-based. 6 sizes. Estimated pricing.</t>
  </si>
  <si>
    <t>PeaPrint — AOP V-Neck Long Sleeve Hoodie Dress</t>
  </si>
  <si>
    <t>170gsm. Hoodie dress with V-neck. Full AOP sublimation. China fulfillment 7-15 days.</t>
  </si>
  <si>
    <t>PeaPrint — AOP Sleeveless Midi Dress</t>
  </si>
  <si>
    <t>Elegant sleeveless midi. Lightweight poly. Best margin potential at PeaPrint.</t>
  </si>
  <si>
    <t>PeaPrint — AOP Short Sleeve A-Line Dress</t>
  </si>
  <si>
    <t>Casual-elegant A-line. Short sleeve. Good for cottagecore/boho florals.</t>
  </si>
  <si>
    <t>PeaPrint — AOP Half-Sleeve Swing Dress</t>
  </si>
  <si>
    <t>Flowy swing silhouette. Half sleeve. Mid-price range.</t>
  </si>
  <si>
    <t>PeaPrint — AOP Long Sleeve Maxi Dress</t>
  </si>
  <si>
    <t>Full-length maxi. Long sleeve for fall/winter. Premium feel, still cheap COGS.</t>
  </si>
  <si>
    <t>PeaPrint — AOP Slip Dress (Spaghetti Strap)</t>
  </si>
  <si>
    <t>Cheapest elegant option. Spaghetti strap slip. Great for celestial/dark floral prints.</t>
  </si>
  <si>
    <t>PeaPrint — AOP Ruffle Hem Cami Dress</t>
  </si>
  <si>
    <t>Feminine ruffle hem. Cami style. Good for boho aesthetic.</t>
  </si>
  <si>
    <t>API Access Deep Dive</t>
  </si>
  <si>
    <t>Detailed API capabilities per supplier — critical for automation pipeline</t>
  </si>
  <si>
    <t>API Type</t>
  </si>
  <si>
    <t>Auth Method</t>
  </si>
  <si>
    <t>Product Create</t>
  </si>
  <si>
    <t>Order Create</t>
  </si>
  <si>
    <t>Order Tracking</t>
  </si>
  <si>
    <t>Image Upload</t>
  </si>
  <si>
    <t>Webhook Support</t>
  </si>
  <si>
    <t>Rate Limits</t>
  </si>
  <si>
    <t>Docs Quality</t>
  </si>
  <si>
    <t>Verdict for Your Pipeline</t>
  </si>
  <si>
    <t>JSON REST</t>
  </si>
  <si>
    <t>API Key</t>
  </si>
  <si>
    <t>YES</t>
  </si>
  <si>
    <t>Unknown</t>
  </si>
  <si>
    <t>Unknown — register for docs</t>
  </si>
  <si>
    <t>★★★★☆ (GitHub hosted)</t>
  </si>
  <si>
    <t>Best option to cut costs. Same manufacturer as your BP450. Direct API = skip Printify markup.</t>
  </si>
  <si>
    <t>REST API</t>
  </si>
  <si>
    <t>API Key (free)</t>
  </si>
  <si>
    <t>Generous</t>
  </si>
  <si>
    <t>★★★★★ (Best in POD)</t>
  </si>
  <si>
    <t>Excellent alternative. Free API, great docs, VIM volume pricing. Strong AOP catalog.</t>
  </si>
  <si>
    <t>Standard</t>
  </si>
  <si>
    <t>★★★★☆</t>
  </si>
  <si>
    <t>Cheapest base costs + full API. Vietnam+US fulfillment. Worth testing quality.</t>
  </si>
  <si>
    <t>Print API</t>
  </si>
  <si>
    <t>YES (URL-based)</t>
  </si>
  <si>
    <t>Best developer experience. Smaller AOP catalog but expanding. Multi-region fulfillment.</t>
  </si>
  <si>
    <t>API Key (Enterprise)</t>
  </si>
  <si>
    <t>Limited</t>
  </si>
  <si>
    <t>$30/mo Pro needed</t>
  </si>
  <si>
    <t>★★★☆☆</t>
  </si>
  <si>
    <t>⚠️ NOT true AOP. DIGISOFT is DTG+DTF hybrid. Skip for AOP hoodies.</t>
  </si>
  <si>
    <t>HTTP Basic Auth</t>
  </si>
  <si>
    <t>No</t>
  </si>
  <si>
    <t>Thin AOP catalog. API exists but docs are sparse. Better for DTG.</t>
  </si>
  <si>
    <t>Cheap dresses but China shipping kills it for US customers. API works.</t>
  </si>
  <si>
    <t>Shopify App only</t>
  </si>
  <si>
    <t>OAuth (Shopify)</t>
  </si>
  <si>
    <t>Via Shopify</t>
  </si>
  <si>
    <t>Auto-sync</t>
  </si>
  <si>
    <t>N/A</t>
  </si>
  <si>
    <t>No standalone API. Shopify-only. Can't integrate with your Python pipeline directly.</t>
  </si>
  <si>
    <t>No REST API. Shopify/Etsy app only. Can't automate from Python.</t>
  </si>
  <si>
    <t>No public API. Cheap but no automation path.</t>
  </si>
  <si>
    <t>Niche products (shoes, swimwear). No API. Slow shipping.</t>
  </si>
  <si>
    <t>Recommendations for LunarAuraDesignStore</t>
  </si>
  <si>
    <t>Ranked by fit for your AOP pipeline, ICP (women 22-34, whimsigoth/boho), and margin targets</t>
  </si>
  <si>
    <t>Rank</t>
  </si>
  <si>
    <t>Category</t>
  </si>
  <si>
    <t>Why</t>
  </si>
  <si>
    <t>Risk</t>
  </si>
  <si>
    <t>Action Item</t>
  </si>
  <si>
    <t>Priority</t>
  </si>
  <si>
    <t>#1</t>
  </si>
  <si>
    <t>MWW On Demand (Direct)</t>
  </si>
  <si>
    <t>Hoodies + Sweatshirts</t>
  </si>
  <si>
    <t>You already use MWW via Printify (BP450). Going direct cuts out Printify's ~15-20% markup. Same quality, same facility, lower cost. Full JSON API for your Python pipeline.</t>
  </si>
  <si>
    <t>Need to register and negotiate pricing. Minimum volumes possible.</t>
  </si>
  <si>
    <t>Register at mwwondemand.com, get API docs, compare direct vs Printify pricing.</t>
  </si>
  <si>
    <t>🔴 HIGH</t>
  </si>
  <si>
    <t>#2</t>
  </si>
  <si>
    <t>Hoodies + Dresses</t>
  </si>
  <si>
    <t>Free best-in-class API. Strong AOP catalog including hooded dresses. VIM loyalty = volume discounts. US fulfillment. Great fallback/secondary supplier.</t>
  </si>
  <si>
    <t>Pricing not public — need account to verify. Quality untested.</t>
  </si>
  <si>
    <t>Create Gooten account, check AOP hoodie pricing in Admin, order samples.</t>
  </si>
  <si>
    <t>#3</t>
  </si>
  <si>
    <t>Sweatshirts + Hoodies (budget tier)</t>
  </si>
  <si>
    <t>Lowest base costs in the market ($11.50 sweatshirt, $15.50 hoodie). Full REST API. Native Etsy integration. 55-65% margins possible.</t>
  </si>
  <si>
    <t>Vietnam production for some items. Quality variance. Longer shipping from non-US facility.</t>
  </si>
  <si>
    <t>Order 2-3 AOP hoodie samples. Test API integration. Compare quality to MWW.</t>
  </si>
  <si>
    <t>🟡 MEDIUM</t>
  </si>
  <si>
    <t>#4</t>
  </si>
  <si>
    <t>Future expansion</t>
  </si>
  <si>
    <t>Developer-first Print API with the best documentation. Multi-region fulfillment (US+UK+EU). Great for scaling internationally.</t>
  </si>
  <si>
    <t>Smaller AOP apparel catalog. May not have your exact hoodie blanks yet.</t>
  </si>
  <si>
    <t>Bookmark for Phase 2/3 when going multi-region SaaS.</t>
  </si>
  <si>
    <t>🟢 LOW</t>
  </si>
  <si>
    <t>#5</t>
  </si>
  <si>
    <t>Dresses only</t>
  </si>
  <si>
    <t>Largest women's AOP dress catalog (19+ styles). Very cheap ($10-15 per dress). Good complement to Yoycol.</t>
  </si>
  <si>
    <t>China shipping = 10-20 days. Deal-breaker for US Etsy buyers who expect 5-7 day delivery.</t>
  </si>
  <si>
    <t>Only consider if you add Google Shopping (where longer shipping is more accepted).</t>
  </si>
  <si>
    <t>#6</t>
  </si>
  <si>
    <t>Niche women's items</t>
  </si>
  <si>
    <t>True cut-and-sew AOP. Skater dresses, bomber jackets — unique items. Good for differentiation.</t>
  </si>
  <si>
    <t>No standalone API (Shopify app only). Can't integrate with your Python pipeline without workarounds.</t>
  </si>
  <si>
    <t>Skip unless you launch a Shopify store alongside Etsy.</t>
  </si>
  <si>
    <t>#7</t>
  </si>
  <si>
    <t>Dresses (elegant women)</t>
  </si>
  <si>
    <t>Huge women's dress catalog (7+ AOP styles). Cheapest dress COGS in POD ($8-$15). Slip dress at $8.61 = 70%+ margin at $49.99. Better dress variety than Yoycol. No minimum order.</t>
  </si>
  <si>
    <t>No REST API — Shopify app only. Can't automate with your Python pipeline. China fulfillment = 7-15 day shipping to US. Quality unknown — need samples.</t>
  </si>
  <si>
    <t>Order 3 sample dresses (slip, midi, maxi). Compare quality to Yoycol. If quality matches, use for Google Shopping channel where shipping time is less critical.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</si>
</sst>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B1B2F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6C63FF"/>
      <name val="Arial"/>
      <family val="2"/>
    </font>
    <font>
      <b/>
      <sz val="10"/>
      <color rgb="FFF57F1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D2D44"/>
        <bgColor rgb="FF1B1B2F"/>
      </patternFill>
    </fill>
    <fill>
      <patternFill patternType="solid">
        <fgColor rgb="FFE8F0FE"/>
        <bgColor rgb="FFE8F5E9"/>
      </patternFill>
    </fill>
    <fill>
      <patternFill patternType="solid">
        <fgColor rgb="FFF5F5FF"/>
        <bgColor rgb="FFE8F0FE"/>
      </patternFill>
    </fill>
    <fill>
      <patternFill patternType="solid">
        <fgColor rgb="FFE8F5E9"/>
        <bgColor rgb="FFE8F0FE"/>
      </patternFill>
    </fill>
    <fill>
      <patternFill patternType="solid">
        <fgColor rgb="FFFFF9C4"/>
        <bgColor rgb="FFFFEBEE"/>
      </patternFill>
    </fill>
    <fill>
      <patternFill patternType="solid">
        <fgColor rgb="FFFFEBEE"/>
        <bgColor rgb="FFF5F5FF"/>
      </patternFill>
    </fill>
    <fill>
      <patternFill patternType="solid">
        <fgColor rgb="FFFFCDD2"/>
        <bgColor rgb="FFFFEBEE"/>
      </patternFill>
    </fill>
    <fill>
      <patternFill patternType="solid">
        <fgColor rgb="FFC8E6C9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0" borderId="0" xfId="0" applyFont="1" applyAlignment="1"/>
    <xf numFmtId="164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F5F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8E6C9"/>
      <rgbColor rgb="FFFFEBEE"/>
      <rgbColor rgb="FF99CCFF"/>
      <rgbColor rgb="FFFF99CC"/>
      <rgbColor rgb="FFCC99FF"/>
      <rgbColor rgb="FFFFCDD2"/>
      <rgbColor rgb="FF6C63FF"/>
      <rgbColor rgb="FF33CCCC"/>
      <rgbColor rgb="FF99CC00"/>
      <rgbColor rgb="FFFFCC00"/>
      <rgbColor rgb="FFFF9800"/>
      <rgbColor rgb="FFF57F17"/>
      <rgbColor rgb="FF666666"/>
      <rgbColor rgb="FF969696"/>
      <rgbColor rgb="FF003366"/>
      <rgbColor rgb="FF4CAF50"/>
      <rgbColor rgb="FF003300"/>
      <rgbColor rgb="FF1B1B2F"/>
      <rgbColor rgb="FF993300"/>
      <rgbColor rgb="FF993366"/>
      <rgbColor rgb="FF333399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C63FF"/>
  </sheetPr>
  <dimension ref="A1:J1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5" customHeight="1" x14ac:dyDescent="0.3"/>
  <cols>
    <col min="1" max="1" width="18" style="1" customWidth="1"/>
    <col min="2" max="2" width="22" style="1" customWidth="1"/>
    <col min="3" max="3" width="20" style="1" customWidth="1"/>
    <col min="4" max="5" width="24" style="1" customWidth="1"/>
    <col min="6" max="6" width="20" style="1" customWidth="1"/>
    <col min="7" max="7" width="40" style="1" customWidth="1"/>
    <col min="8" max="8" width="14" style="1" customWidth="1"/>
    <col min="9" max="9" width="18" style="1" customWidth="1"/>
    <col min="10" max="10" width="45" style="1" customWidth="1"/>
  </cols>
  <sheetData>
    <row r="1" spans="1:10" ht="17.25" customHeight="1" x14ac:dyDescent="0.3">
      <c r="A1" s="2" t="s">
        <v>0</v>
      </c>
    </row>
    <row r="2" spans="1:10" ht="15" customHeight="1" x14ac:dyDescent="0.3">
      <c r="A2" s="3" t="s">
        <v>1</v>
      </c>
    </row>
    <row r="4" spans="1:10" ht="26.2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ht="23.25" customHeight="1" x14ac:dyDescent="0.3">
      <c r="A5" s="5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spans="1:10" ht="23.25" customHeight="1" x14ac:dyDescent="0.3">
      <c r="A6" s="7" t="s">
        <v>22</v>
      </c>
      <c r="B6" s="7" t="s">
        <v>23</v>
      </c>
      <c r="C6" s="7" t="s">
        <v>14</v>
      </c>
      <c r="D6" s="7" t="s">
        <v>24</v>
      </c>
      <c r="E6" s="8" t="s">
        <v>25</v>
      </c>
      <c r="F6" s="7" t="s">
        <v>26</v>
      </c>
      <c r="G6" s="7" t="s">
        <v>27</v>
      </c>
      <c r="H6" s="7" t="s">
        <v>28</v>
      </c>
      <c r="I6" s="7" t="s">
        <v>29</v>
      </c>
      <c r="J6" s="7" t="s">
        <v>30</v>
      </c>
    </row>
    <row r="7" spans="1:10" ht="34.5" customHeight="1" x14ac:dyDescent="0.3">
      <c r="A7" s="5" t="s">
        <v>31</v>
      </c>
      <c r="B7" s="5" t="s">
        <v>32</v>
      </c>
      <c r="C7" s="5" t="s">
        <v>33</v>
      </c>
      <c r="D7" s="5" t="s">
        <v>34</v>
      </c>
      <c r="E7" s="9" t="s">
        <v>35</v>
      </c>
      <c r="F7" s="5" t="s">
        <v>36</v>
      </c>
      <c r="G7" s="5" t="s">
        <v>37</v>
      </c>
      <c r="H7" s="5" t="s">
        <v>38</v>
      </c>
      <c r="I7" s="5" t="s">
        <v>39</v>
      </c>
      <c r="J7" s="5" t="s">
        <v>40</v>
      </c>
    </row>
    <row r="8" spans="1:10" ht="23.25" customHeight="1" x14ac:dyDescent="0.3">
      <c r="A8" s="7" t="s">
        <v>41</v>
      </c>
      <c r="B8" s="7" t="s">
        <v>42</v>
      </c>
      <c r="C8" s="7" t="s">
        <v>43</v>
      </c>
      <c r="D8" s="7" t="s">
        <v>44</v>
      </c>
      <c r="E8" s="9" t="s">
        <v>45</v>
      </c>
      <c r="F8" s="7" t="s">
        <v>46</v>
      </c>
      <c r="G8" s="7" t="s">
        <v>47</v>
      </c>
      <c r="H8" s="7" t="s">
        <v>48</v>
      </c>
      <c r="I8" s="7" t="s">
        <v>49</v>
      </c>
      <c r="J8" s="7" t="s">
        <v>50</v>
      </c>
    </row>
    <row r="9" spans="1:10" ht="23.25" customHeight="1" x14ac:dyDescent="0.3">
      <c r="A9" s="5" t="s">
        <v>51</v>
      </c>
      <c r="B9" s="5" t="s">
        <v>52</v>
      </c>
      <c r="C9" s="5" t="s">
        <v>14</v>
      </c>
      <c r="D9" s="5" t="s">
        <v>34</v>
      </c>
      <c r="E9" s="6" t="s">
        <v>53</v>
      </c>
      <c r="F9" s="5" t="s">
        <v>54</v>
      </c>
      <c r="G9" s="5" t="s">
        <v>55</v>
      </c>
      <c r="H9" s="5" t="s">
        <v>56</v>
      </c>
      <c r="I9" s="5" t="s">
        <v>57</v>
      </c>
      <c r="J9" s="5" t="s">
        <v>58</v>
      </c>
    </row>
    <row r="10" spans="1:10" ht="23.25" customHeight="1" x14ac:dyDescent="0.3">
      <c r="A10" s="7" t="s">
        <v>59</v>
      </c>
      <c r="B10" s="7" t="s">
        <v>60</v>
      </c>
      <c r="C10" s="7" t="s">
        <v>61</v>
      </c>
      <c r="D10" s="7" t="s">
        <v>62</v>
      </c>
      <c r="E10" s="9" t="s">
        <v>63</v>
      </c>
      <c r="F10" s="7" t="s">
        <v>64</v>
      </c>
      <c r="G10" s="7" t="s">
        <v>65</v>
      </c>
      <c r="H10" s="7" t="s">
        <v>48</v>
      </c>
      <c r="I10" s="7" t="s">
        <v>66</v>
      </c>
      <c r="J10" s="7" t="s">
        <v>67</v>
      </c>
    </row>
    <row r="11" spans="1:10" ht="23.25" customHeight="1" x14ac:dyDescent="0.3">
      <c r="A11" s="5" t="s">
        <v>68</v>
      </c>
      <c r="B11" s="5" t="s">
        <v>69</v>
      </c>
      <c r="C11" s="5" t="s">
        <v>14</v>
      </c>
      <c r="D11" s="5" t="s">
        <v>34</v>
      </c>
      <c r="E11" s="9" t="s">
        <v>70</v>
      </c>
      <c r="F11" s="5" t="s">
        <v>71</v>
      </c>
      <c r="G11" s="5" t="s">
        <v>72</v>
      </c>
      <c r="H11" s="5" t="s">
        <v>28</v>
      </c>
      <c r="I11" s="5" t="s">
        <v>73</v>
      </c>
      <c r="J11" s="5" t="s">
        <v>74</v>
      </c>
    </row>
    <row r="12" spans="1:10" ht="23.25" customHeight="1" x14ac:dyDescent="0.3">
      <c r="A12" s="7" t="s">
        <v>75</v>
      </c>
      <c r="B12" s="7" t="s">
        <v>76</v>
      </c>
      <c r="C12" s="7" t="s">
        <v>14</v>
      </c>
      <c r="D12" s="7" t="s">
        <v>77</v>
      </c>
      <c r="E12" s="9" t="s">
        <v>45</v>
      </c>
      <c r="F12" s="7" t="s">
        <v>78</v>
      </c>
      <c r="G12" s="7" t="s">
        <v>79</v>
      </c>
      <c r="H12" s="7" t="s">
        <v>28</v>
      </c>
      <c r="I12" s="7" t="s">
        <v>80</v>
      </c>
      <c r="J12" s="7" t="s">
        <v>81</v>
      </c>
    </row>
    <row r="13" spans="1:10" ht="23.25" customHeight="1" x14ac:dyDescent="0.3">
      <c r="A13" s="5" t="s">
        <v>82</v>
      </c>
      <c r="B13" s="5" t="s">
        <v>83</v>
      </c>
      <c r="C13" s="5" t="s">
        <v>14</v>
      </c>
      <c r="D13" s="5" t="s">
        <v>84</v>
      </c>
      <c r="E13" s="8" t="s">
        <v>85</v>
      </c>
      <c r="F13" s="5" t="s">
        <v>86</v>
      </c>
      <c r="G13" s="5" t="s">
        <v>87</v>
      </c>
      <c r="H13" s="5" t="s">
        <v>48</v>
      </c>
      <c r="I13" s="5" t="s">
        <v>57</v>
      </c>
      <c r="J13" s="5" t="s">
        <v>88</v>
      </c>
    </row>
    <row r="14" spans="1:10" ht="23.25" customHeight="1" x14ac:dyDescent="0.3">
      <c r="A14" s="7" t="s">
        <v>89</v>
      </c>
      <c r="B14" s="7" t="s">
        <v>90</v>
      </c>
      <c r="C14" s="7" t="s">
        <v>14</v>
      </c>
      <c r="D14" s="7" t="s">
        <v>77</v>
      </c>
      <c r="E14" s="9" t="s">
        <v>91</v>
      </c>
      <c r="F14" s="7" t="s">
        <v>78</v>
      </c>
      <c r="G14" s="7" t="s">
        <v>92</v>
      </c>
      <c r="H14" s="7" t="s">
        <v>93</v>
      </c>
      <c r="I14" s="7" t="s">
        <v>94</v>
      </c>
      <c r="J14" s="7" t="s">
        <v>95</v>
      </c>
    </row>
    <row r="15" spans="1:10" ht="23.25" customHeight="1" x14ac:dyDescent="0.3">
      <c r="A15" s="5" t="s">
        <v>96</v>
      </c>
      <c r="B15" s="5" t="s">
        <v>97</v>
      </c>
      <c r="C15" s="5" t="s">
        <v>98</v>
      </c>
      <c r="D15" s="5" t="s">
        <v>99</v>
      </c>
      <c r="E15" s="9" t="s">
        <v>100</v>
      </c>
      <c r="F15" s="5" t="s">
        <v>101</v>
      </c>
      <c r="G15" s="5" t="s">
        <v>102</v>
      </c>
      <c r="H15" s="5" t="s">
        <v>48</v>
      </c>
      <c r="I15" s="5" t="s">
        <v>29</v>
      </c>
      <c r="J15" s="5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I41"/>
  <sheetViews>
    <sheetView zoomScaleNormal="100" workbookViewId="0">
      <pane ySplit="5" topLeftCell="A33" activePane="bottomLeft" state="frozen"/>
      <selection pane="bottomLeft" activeCell="E42" sqref="E42"/>
    </sheetView>
  </sheetViews>
  <sheetFormatPr defaultColWidth="8.6640625" defaultRowHeight="15" customHeight="1" x14ac:dyDescent="0.3"/>
  <cols>
    <col min="1" max="1" width="30" style="1" customWidth="1"/>
    <col min="2" max="3" width="16" style="1" customWidth="1"/>
    <col min="4" max="4" width="14" style="1" customWidth="1"/>
    <col min="5" max="5" width="18" style="1" customWidth="1"/>
    <col min="6" max="6" width="14" style="1" customWidth="1"/>
    <col min="7" max="7" width="18" style="1" customWidth="1"/>
    <col min="8" max="8" width="10" style="1" customWidth="1"/>
    <col min="9" max="9" width="45" style="1" customWidth="1"/>
  </cols>
  <sheetData>
    <row r="1" spans="1:9" ht="17.25" customHeight="1" x14ac:dyDescent="0.3">
      <c r="A1" s="2" t="s">
        <v>104</v>
      </c>
    </row>
    <row r="2" spans="1:9" ht="15" customHeight="1" x14ac:dyDescent="0.3">
      <c r="A2" s="3" t="s">
        <v>105</v>
      </c>
    </row>
    <row r="3" spans="1:9" ht="14.4" x14ac:dyDescent="0.3"/>
    <row r="4" spans="1:9" ht="15" customHeight="1" x14ac:dyDescent="0.3">
      <c r="A4" s="10" t="s">
        <v>106</v>
      </c>
    </row>
    <row r="5" spans="1:9" ht="26.25" customHeight="1" x14ac:dyDescent="0.3">
      <c r="A5" s="4" t="s">
        <v>2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  <c r="G5" s="4" t="s">
        <v>112</v>
      </c>
      <c r="H5" s="4" t="s">
        <v>113</v>
      </c>
      <c r="I5" s="4" t="s">
        <v>114</v>
      </c>
    </row>
    <row r="6" spans="1:9" ht="23.25" customHeight="1" x14ac:dyDescent="0.3">
      <c r="A6" s="5" t="s">
        <v>115</v>
      </c>
      <c r="B6" s="11">
        <v>35</v>
      </c>
      <c r="C6" s="11">
        <v>40</v>
      </c>
      <c r="D6" s="11">
        <v>149.97999999999999</v>
      </c>
      <c r="E6" s="11">
        <v>74.989999999999995</v>
      </c>
      <c r="F6" s="11">
        <f t="shared" ref="F6:F12" si="0">E6*0.13</f>
        <v>9.7486999999999995</v>
      </c>
      <c r="G6" s="11">
        <f t="shared" ref="G6:G12" si="1">E6-B6-F6</f>
        <v>30.241299999999995</v>
      </c>
      <c r="H6" s="12">
        <f t="shared" ref="H6:H12" si="2">IF(E6&gt;0,G6/E6,0)</f>
        <v>0.40327110281370848</v>
      </c>
      <c r="I6" s="5" t="s">
        <v>116</v>
      </c>
    </row>
    <row r="7" spans="1:9" ht="15" customHeight="1" x14ac:dyDescent="0.3">
      <c r="A7" s="7" t="s">
        <v>117</v>
      </c>
      <c r="B7" s="13">
        <v>44.25</v>
      </c>
      <c r="C7" s="13">
        <v>49.89</v>
      </c>
      <c r="D7" s="13">
        <v>149.97999999999999</v>
      </c>
      <c r="E7" s="13">
        <v>74.989999999999995</v>
      </c>
      <c r="F7" s="13">
        <f t="shared" si="0"/>
        <v>9.7486999999999995</v>
      </c>
      <c r="G7" s="13">
        <f t="shared" si="1"/>
        <v>20.991299999999995</v>
      </c>
      <c r="H7" s="14">
        <f t="shared" si="2"/>
        <v>0.27992132284304572</v>
      </c>
      <c r="I7" s="7" t="s">
        <v>118</v>
      </c>
    </row>
    <row r="8" spans="1:9" ht="23.25" customHeight="1" x14ac:dyDescent="0.3">
      <c r="A8" s="5" t="s">
        <v>22</v>
      </c>
      <c r="B8" s="11">
        <v>38</v>
      </c>
      <c r="C8" s="11">
        <v>43</v>
      </c>
      <c r="D8" s="11">
        <v>149.97999999999999</v>
      </c>
      <c r="E8" s="11">
        <v>74.989999999999995</v>
      </c>
      <c r="F8" s="11">
        <f t="shared" si="0"/>
        <v>9.7486999999999995</v>
      </c>
      <c r="G8" s="11">
        <f t="shared" si="1"/>
        <v>27.241299999999995</v>
      </c>
      <c r="H8" s="12">
        <f t="shared" si="2"/>
        <v>0.36326576876916916</v>
      </c>
      <c r="I8" s="5" t="s">
        <v>119</v>
      </c>
    </row>
    <row r="9" spans="1:9" ht="23.25" customHeight="1" x14ac:dyDescent="0.3">
      <c r="A9" s="7" t="s">
        <v>120</v>
      </c>
      <c r="B9" s="13">
        <v>24.99</v>
      </c>
      <c r="C9" s="13">
        <v>29.99</v>
      </c>
      <c r="D9" s="13">
        <v>149.97999999999999</v>
      </c>
      <c r="E9" s="13">
        <v>74.989999999999995</v>
      </c>
      <c r="F9" s="13">
        <f t="shared" si="0"/>
        <v>9.7486999999999995</v>
      </c>
      <c r="G9" s="13">
        <f t="shared" si="1"/>
        <v>40.251300000000001</v>
      </c>
      <c r="H9" s="14">
        <f t="shared" si="2"/>
        <v>0.53675556740898789</v>
      </c>
      <c r="I9" s="7" t="s">
        <v>121</v>
      </c>
    </row>
    <row r="10" spans="1:9" ht="15" customHeight="1" x14ac:dyDescent="0.3">
      <c r="A10" s="5" t="s">
        <v>41</v>
      </c>
      <c r="B10" s="11">
        <v>32</v>
      </c>
      <c r="C10" s="11">
        <v>37</v>
      </c>
      <c r="D10" s="11">
        <v>149.97999999999999</v>
      </c>
      <c r="E10" s="11">
        <v>74.989999999999995</v>
      </c>
      <c r="F10" s="11">
        <f t="shared" si="0"/>
        <v>9.7486999999999995</v>
      </c>
      <c r="G10" s="11">
        <f t="shared" si="1"/>
        <v>33.241299999999995</v>
      </c>
      <c r="H10" s="12">
        <f t="shared" si="2"/>
        <v>0.44327643685824775</v>
      </c>
      <c r="I10" s="5" t="s">
        <v>122</v>
      </c>
    </row>
    <row r="11" spans="1:9" ht="23.25" customHeight="1" x14ac:dyDescent="0.3">
      <c r="A11" s="7" t="s">
        <v>51</v>
      </c>
      <c r="B11" s="13">
        <v>15.5</v>
      </c>
      <c r="C11" s="13">
        <v>19</v>
      </c>
      <c r="D11" s="13">
        <v>149.97999999999999</v>
      </c>
      <c r="E11" s="13">
        <v>74.989999999999995</v>
      </c>
      <c r="F11" s="13">
        <f t="shared" si="0"/>
        <v>9.7486999999999995</v>
      </c>
      <c r="G11" s="13">
        <f t="shared" si="1"/>
        <v>49.741299999999995</v>
      </c>
      <c r="H11" s="14">
        <f t="shared" si="2"/>
        <v>0.66330577410321379</v>
      </c>
      <c r="I11" s="7" t="s">
        <v>123</v>
      </c>
    </row>
    <row r="12" spans="1:9" ht="15" customHeight="1" x14ac:dyDescent="0.3">
      <c r="A12" s="5" t="s">
        <v>59</v>
      </c>
      <c r="B12" s="11">
        <v>33</v>
      </c>
      <c r="C12" s="11">
        <v>38</v>
      </c>
      <c r="D12" s="11">
        <v>149.97999999999999</v>
      </c>
      <c r="E12" s="11">
        <v>74.989999999999995</v>
      </c>
      <c r="F12" s="11">
        <f t="shared" si="0"/>
        <v>9.7486999999999995</v>
      </c>
      <c r="G12" s="11">
        <f t="shared" si="1"/>
        <v>32.241299999999995</v>
      </c>
      <c r="H12" s="12">
        <f t="shared" si="2"/>
        <v>0.42994132551006797</v>
      </c>
      <c r="I12" s="5" t="s">
        <v>124</v>
      </c>
    </row>
    <row r="13" spans="1:9" ht="14.4" x14ac:dyDescent="0.3"/>
    <row r="14" spans="1:9" ht="14.4" x14ac:dyDescent="0.3"/>
    <row r="15" spans="1:9" ht="15" customHeight="1" x14ac:dyDescent="0.3">
      <c r="A15" s="10" t="s">
        <v>125</v>
      </c>
    </row>
    <row r="16" spans="1:9" ht="26.25" customHeight="1" x14ac:dyDescent="0.3">
      <c r="A16" s="4" t="s">
        <v>2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</row>
    <row r="17" spans="1:9" ht="15" customHeight="1" x14ac:dyDescent="0.3">
      <c r="A17" s="5" t="s">
        <v>126</v>
      </c>
      <c r="B17" s="11">
        <v>29.31</v>
      </c>
      <c r="C17" s="11">
        <v>34</v>
      </c>
      <c r="D17" s="11">
        <v>119.98</v>
      </c>
      <c r="E17" s="11">
        <v>59.99</v>
      </c>
      <c r="F17" s="11">
        <f t="shared" ref="F17:F22" si="3">E17*0.13</f>
        <v>7.7987000000000002</v>
      </c>
      <c r="G17" s="11">
        <f t="shared" ref="G17:G22" si="4">E17-B17-F17</f>
        <v>22.881300000000003</v>
      </c>
      <c r="H17" s="12">
        <f t="shared" ref="H17:H22" si="5">IF(E17&gt;0,G17/E17,0)</f>
        <v>0.38141856976162697</v>
      </c>
      <c r="I17" s="5" t="s">
        <v>127</v>
      </c>
    </row>
    <row r="18" spans="1:9" ht="15" customHeight="1" x14ac:dyDescent="0.3">
      <c r="A18" s="7" t="s">
        <v>22</v>
      </c>
      <c r="B18" s="13">
        <v>28</v>
      </c>
      <c r="C18" s="13">
        <v>33</v>
      </c>
      <c r="D18" s="13">
        <v>119.98</v>
      </c>
      <c r="E18" s="13">
        <v>59.99</v>
      </c>
      <c r="F18" s="13">
        <f t="shared" si="3"/>
        <v>7.7987000000000002</v>
      </c>
      <c r="G18" s="13">
        <f t="shared" si="4"/>
        <v>24.191300000000002</v>
      </c>
      <c r="H18" s="14">
        <f t="shared" si="5"/>
        <v>0.40325554259043178</v>
      </c>
      <c r="I18" s="7" t="s">
        <v>128</v>
      </c>
    </row>
    <row r="19" spans="1:9" ht="15" customHeight="1" x14ac:dyDescent="0.3">
      <c r="A19" s="5" t="s">
        <v>41</v>
      </c>
      <c r="B19" s="11">
        <v>22</v>
      </c>
      <c r="C19" s="11">
        <v>27</v>
      </c>
      <c r="D19" s="11">
        <v>119.98</v>
      </c>
      <c r="E19" s="11">
        <v>59.99</v>
      </c>
      <c r="F19" s="11">
        <f t="shared" si="3"/>
        <v>7.7987000000000002</v>
      </c>
      <c r="G19" s="11">
        <f t="shared" si="4"/>
        <v>30.191300000000002</v>
      </c>
      <c r="H19" s="12">
        <f t="shared" si="5"/>
        <v>0.50327221203533923</v>
      </c>
      <c r="I19" s="5" t="s">
        <v>129</v>
      </c>
    </row>
    <row r="20" spans="1:9" ht="23.25" customHeight="1" x14ac:dyDescent="0.3">
      <c r="A20" s="7" t="s">
        <v>51</v>
      </c>
      <c r="B20" s="13">
        <v>11.5</v>
      </c>
      <c r="C20" s="13">
        <v>15</v>
      </c>
      <c r="D20" s="13">
        <v>119.98</v>
      </c>
      <c r="E20" s="13">
        <v>59.99</v>
      </c>
      <c r="F20" s="13">
        <f t="shared" si="3"/>
        <v>7.7987000000000002</v>
      </c>
      <c r="G20" s="13">
        <f t="shared" si="4"/>
        <v>40.691299999999998</v>
      </c>
      <c r="H20" s="14">
        <f t="shared" si="5"/>
        <v>0.67830138356392722</v>
      </c>
      <c r="I20" s="7" t="s">
        <v>130</v>
      </c>
    </row>
    <row r="21" spans="1:9" ht="15" customHeight="1" x14ac:dyDescent="0.3">
      <c r="A21" s="5" t="s">
        <v>59</v>
      </c>
      <c r="B21" s="11">
        <v>25</v>
      </c>
      <c r="C21" s="11">
        <v>30</v>
      </c>
      <c r="D21" s="11">
        <v>119.98</v>
      </c>
      <c r="E21" s="11">
        <v>59.99</v>
      </c>
      <c r="F21" s="11">
        <f t="shared" si="3"/>
        <v>7.7987000000000002</v>
      </c>
      <c r="G21" s="11">
        <f t="shared" si="4"/>
        <v>27.191300000000002</v>
      </c>
      <c r="H21" s="12">
        <f t="shared" si="5"/>
        <v>0.45326387731288548</v>
      </c>
      <c r="I21" s="5" t="s">
        <v>131</v>
      </c>
    </row>
    <row r="22" spans="1:9" ht="15" customHeight="1" x14ac:dyDescent="0.3">
      <c r="A22" s="7" t="s">
        <v>132</v>
      </c>
      <c r="B22" s="13">
        <v>18</v>
      </c>
      <c r="C22" s="13">
        <v>22</v>
      </c>
      <c r="D22" s="13">
        <v>119.98</v>
      </c>
      <c r="E22" s="13">
        <v>59.99</v>
      </c>
      <c r="F22" s="13">
        <f t="shared" si="3"/>
        <v>7.7987000000000002</v>
      </c>
      <c r="G22" s="13">
        <f t="shared" si="4"/>
        <v>34.191299999999998</v>
      </c>
      <c r="H22" s="14">
        <f t="shared" si="5"/>
        <v>0.56994999166527749</v>
      </c>
      <c r="I22" s="7" t="s">
        <v>133</v>
      </c>
    </row>
    <row r="23" spans="1:9" ht="14.4" x14ac:dyDescent="0.3"/>
    <row r="24" spans="1:9" ht="14.4" x14ac:dyDescent="0.3"/>
    <row r="25" spans="1:9" ht="15" customHeight="1" x14ac:dyDescent="0.3">
      <c r="A25" s="10" t="s">
        <v>134</v>
      </c>
    </row>
    <row r="26" spans="1:9" ht="26.25" customHeight="1" x14ac:dyDescent="0.3">
      <c r="A26" s="4" t="s">
        <v>2</v>
      </c>
      <c r="B26" s="4" t="s">
        <v>107</v>
      </c>
      <c r="C26" s="4" t="s">
        <v>108</v>
      </c>
      <c r="D26" s="4" t="s">
        <v>109</v>
      </c>
      <c r="E26" s="4" t="s">
        <v>110</v>
      </c>
      <c r="F26" s="4" t="s">
        <v>111</v>
      </c>
      <c r="G26" s="4" t="s">
        <v>112</v>
      </c>
      <c r="H26" s="4" t="s">
        <v>113</v>
      </c>
      <c r="I26" s="4" t="s">
        <v>114</v>
      </c>
    </row>
    <row r="27" spans="1:9" ht="15" customHeight="1" x14ac:dyDescent="0.3">
      <c r="A27" s="5" t="s">
        <v>135</v>
      </c>
      <c r="B27" s="11">
        <v>15.87</v>
      </c>
      <c r="C27" s="11">
        <v>18</v>
      </c>
      <c r="D27" s="11">
        <v>99.98</v>
      </c>
      <c r="E27" s="11">
        <v>49.99</v>
      </c>
      <c r="F27" s="11">
        <f t="shared" ref="F27:F41" si="6">E27*0.13</f>
        <v>6.4987000000000004</v>
      </c>
      <c r="G27" s="11">
        <f t="shared" ref="G27:G41" si="7">E27-B27-F27</f>
        <v>27.621300000000005</v>
      </c>
      <c r="H27" s="12">
        <f t="shared" ref="H27:H41" si="8">IF(E27&gt;0,G27/E27,0)</f>
        <v>0.55253650730146042</v>
      </c>
      <c r="I27" s="5" t="s">
        <v>136</v>
      </c>
    </row>
    <row r="28" spans="1:9" ht="15" customHeight="1" x14ac:dyDescent="0.3">
      <c r="A28" s="7" t="s">
        <v>137</v>
      </c>
      <c r="B28" s="13">
        <v>7.11</v>
      </c>
      <c r="C28" s="13">
        <v>9</v>
      </c>
      <c r="D28" s="13">
        <v>99.98</v>
      </c>
      <c r="E28" s="13">
        <v>49.99</v>
      </c>
      <c r="F28" s="13">
        <f t="shared" si="6"/>
        <v>6.4987000000000004</v>
      </c>
      <c r="G28" s="13">
        <f t="shared" si="7"/>
        <v>36.381300000000003</v>
      </c>
      <c r="H28" s="14">
        <f t="shared" si="8"/>
        <v>0.72777155431086216</v>
      </c>
      <c r="I28" s="7" t="s">
        <v>138</v>
      </c>
    </row>
    <row r="29" spans="1:9" ht="15" customHeight="1" x14ac:dyDescent="0.3">
      <c r="A29" s="5" t="s">
        <v>139</v>
      </c>
      <c r="B29" s="11">
        <v>16</v>
      </c>
      <c r="C29" s="11">
        <v>20</v>
      </c>
      <c r="D29" s="11">
        <v>99.98</v>
      </c>
      <c r="E29" s="11">
        <v>49.99</v>
      </c>
      <c r="F29" s="11">
        <f t="shared" si="6"/>
        <v>6.4987000000000004</v>
      </c>
      <c r="G29" s="11">
        <f t="shared" si="7"/>
        <v>27.491300000000003</v>
      </c>
      <c r="H29" s="12">
        <f t="shared" si="8"/>
        <v>0.54993598719743952</v>
      </c>
      <c r="I29" s="5" t="s">
        <v>140</v>
      </c>
    </row>
    <row r="30" spans="1:9" ht="15" customHeight="1" x14ac:dyDescent="0.3">
      <c r="A30" s="7" t="s">
        <v>141</v>
      </c>
      <c r="B30" s="13">
        <v>22</v>
      </c>
      <c r="C30" s="13">
        <v>26</v>
      </c>
      <c r="D30" s="13">
        <v>99.98</v>
      </c>
      <c r="E30" s="13">
        <v>49.99</v>
      </c>
      <c r="F30" s="13">
        <f t="shared" si="6"/>
        <v>6.4987000000000004</v>
      </c>
      <c r="G30" s="13">
        <f t="shared" si="7"/>
        <v>21.491300000000003</v>
      </c>
      <c r="H30" s="14">
        <f t="shared" si="8"/>
        <v>0.42991198239647932</v>
      </c>
      <c r="I30" s="7" t="s">
        <v>142</v>
      </c>
    </row>
    <row r="31" spans="1:9" ht="23.25" customHeight="1" x14ac:dyDescent="0.3">
      <c r="A31" s="5" t="s">
        <v>143</v>
      </c>
      <c r="B31" s="11">
        <v>12</v>
      </c>
      <c r="C31" s="11">
        <v>15</v>
      </c>
      <c r="D31" s="11">
        <v>99.98</v>
      </c>
      <c r="E31" s="11">
        <v>49.99</v>
      </c>
      <c r="F31" s="11">
        <f t="shared" si="6"/>
        <v>6.4987000000000004</v>
      </c>
      <c r="G31" s="11">
        <f t="shared" si="7"/>
        <v>31.491300000000003</v>
      </c>
      <c r="H31" s="12">
        <f t="shared" si="8"/>
        <v>0.62995199039807959</v>
      </c>
      <c r="I31" s="5" t="s">
        <v>144</v>
      </c>
    </row>
    <row r="32" spans="1:9" ht="15" customHeight="1" x14ac:dyDescent="0.3">
      <c r="A32" s="7" t="s">
        <v>145</v>
      </c>
      <c r="B32" s="13">
        <v>10</v>
      </c>
      <c r="C32" s="13">
        <v>13</v>
      </c>
      <c r="D32" s="13">
        <v>99.98</v>
      </c>
      <c r="E32" s="13">
        <v>49.99</v>
      </c>
      <c r="F32" s="13">
        <f t="shared" si="6"/>
        <v>6.4987000000000004</v>
      </c>
      <c r="G32" s="13">
        <f t="shared" si="7"/>
        <v>33.491300000000003</v>
      </c>
      <c r="H32" s="14">
        <f t="shared" si="8"/>
        <v>0.66995999199839973</v>
      </c>
      <c r="I32" s="7" t="s">
        <v>146</v>
      </c>
    </row>
    <row r="33" spans="1:9" ht="15" customHeight="1" x14ac:dyDescent="0.3">
      <c r="A33" s="5" t="s">
        <v>147</v>
      </c>
      <c r="B33" s="11">
        <v>18</v>
      </c>
      <c r="C33" s="11">
        <v>22</v>
      </c>
      <c r="D33" s="11">
        <v>99.98</v>
      </c>
      <c r="E33" s="11">
        <v>49.99</v>
      </c>
      <c r="F33" s="11">
        <f t="shared" si="6"/>
        <v>6.4987000000000004</v>
      </c>
      <c r="G33" s="11">
        <f t="shared" si="7"/>
        <v>25.491300000000003</v>
      </c>
      <c r="H33" s="12">
        <f t="shared" si="8"/>
        <v>0.50992798559711949</v>
      </c>
      <c r="I33" s="5" t="s">
        <v>148</v>
      </c>
    </row>
    <row r="34" spans="1:9" ht="15" customHeight="1" x14ac:dyDescent="0.3">
      <c r="A34" s="7" t="s">
        <v>149</v>
      </c>
      <c r="B34" s="13">
        <v>20</v>
      </c>
      <c r="C34" s="13">
        <v>24</v>
      </c>
      <c r="D34" s="13">
        <v>99.98</v>
      </c>
      <c r="E34" s="13">
        <v>49.99</v>
      </c>
      <c r="F34" s="13">
        <f t="shared" si="6"/>
        <v>6.4987000000000004</v>
      </c>
      <c r="G34" s="13">
        <f t="shared" si="7"/>
        <v>23.491300000000003</v>
      </c>
      <c r="H34" s="14">
        <f t="shared" si="8"/>
        <v>0.46991998399679941</v>
      </c>
      <c r="I34" s="7" t="s">
        <v>150</v>
      </c>
    </row>
    <row r="35" spans="1:9" ht="26.4" x14ac:dyDescent="0.3">
      <c r="A35" s="23" t="s">
        <v>151</v>
      </c>
      <c r="B35" s="15">
        <v>14.43</v>
      </c>
      <c r="C35" s="15">
        <v>17</v>
      </c>
      <c r="D35" s="15">
        <v>99.98</v>
      </c>
      <c r="E35" s="15">
        <v>49.99</v>
      </c>
      <c r="F35" s="15">
        <f t="shared" si="6"/>
        <v>6.4987000000000004</v>
      </c>
      <c r="G35" s="15">
        <f t="shared" si="7"/>
        <v>29.061300000000003</v>
      </c>
      <c r="H35" s="12">
        <f t="shared" si="8"/>
        <v>0.58134226845369075</v>
      </c>
      <c r="I35" s="5" t="s">
        <v>152</v>
      </c>
    </row>
    <row r="36" spans="1:9" ht="26.4" x14ac:dyDescent="0.3">
      <c r="A36" s="7" t="s">
        <v>153</v>
      </c>
      <c r="B36" s="16">
        <v>9.3000000000000007</v>
      </c>
      <c r="C36" s="16">
        <v>11.5</v>
      </c>
      <c r="D36" s="16">
        <v>99.98</v>
      </c>
      <c r="E36" s="16">
        <v>49.99</v>
      </c>
      <c r="F36" s="16">
        <f t="shared" si="6"/>
        <v>6.4987000000000004</v>
      </c>
      <c r="G36" s="17">
        <f t="shared" si="7"/>
        <v>34.191299999999998</v>
      </c>
      <c r="H36" s="18">
        <f t="shared" si="8"/>
        <v>0.68396279255851167</v>
      </c>
      <c r="I36" s="7" t="s">
        <v>154</v>
      </c>
    </row>
    <row r="37" spans="1:9" ht="26.4" x14ac:dyDescent="0.3">
      <c r="A37" s="23" t="s">
        <v>155</v>
      </c>
      <c r="B37" s="15">
        <v>10.46</v>
      </c>
      <c r="C37" s="15">
        <v>13</v>
      </c>
      <c r="D37" s="15">
        <v>99.98</v>
      </c>
      <c r="E37" s="15">
        <v>49.99</v>
      </c>
      <c r="F37" s="15">
        <f t="shared" si="6"/>
        <v>6.4987000000000004</v>
      </c>
      <c r="G37" s="15">
        <f t="shared" si="7"/>
        <v>33.031300000000002</v>
      </c>
      <c r="H37" s="12">
        <f t="shared" si="8"/>
        <v>0.66075815163032603</v>
      </c>
      <c r="I37" s="5" t="s">
        <v>156</v>
      </c>
    </row>
    <row r="38" spans="1:9" ht="26.4" x14ac:dyDescent="0.3">
      <c r="A38" s="7" t="s">
        <v>157</v>
      </c>
      <c r="B38" s="16">
        <v>11.27</v>
      </c>
      <c r="C38" s="16">
        <v>14</v>
      </c>
      <c r="D38" s="16">
        <v>99.98</v>
      </c>
      <c r="E38" s="16">
        <v>49.99</v>
      </c>
      <c r="F38" s="16">
        <f t="shared" si="6"/>
        <v>6.4987000000000004</v>
      </c>
      <c r="G38" s="16">
        <f t="shared" si="7"/>
        <v>32.221299999999999</v>
      </c>
      <c r="H38" s="14">
        <f t="shared" si="8"/>
        <v>0.64455491098219642</v>
      </c>
      <c r="I38" s="7" t="s">
        <v>158</v>
      </c>
    </row>
    <row r="39" spans="1:9" ht="26.4" x14ac:dyDescent="0.3">
      <c r="A39" s="5" t="s">
        <v>159</v>
      </c>
      <c r="B39" s="15">
        <v>12.93</v>
      </c>
      <c r="C39" s="15">
        <v>15.5</v>
      </c>
      <c r="D39" s="15">
        <v>99.98</v>
      </c>
      <c r="E39" s="15">
        <v>49.99</v>
      </c>
      <c r="F39" s="15">
        <f t="shared" si="6"/>
        <v>6.4987000000000004</v>
      </c>
      <c r="G39" s="15">
        <f t="shared" si="7"/>
        <v>30.561300000000003</v>
      </c>
      <c r="H39" s="12">
        <f t="shared" si="8"/>
        <v>0.61134826965393085</v>
      </c>
      <c r="I39" s="5" t="s">
        <v>160</v>
      </c>
    </row>
    <row r="40" spans="1:9" ht="26.4" x14ac:dyDescent="0.3">
      <c r="A40" s="7" t="s">
        <v>161</v>
      </c>
      <c r="B40" s="16">
        <v>8.61</v>
      </c>
      <c r="C40" s="16">
        <v>10.5</v>
      </c>
      <c r="D40" s="16">
        <v>99.98</v>
      </c>
      <c r="E40" s="16">
        <v>49.99</v>
      </c>
      <c r="F40" s="16">
        <f t="shared" si="6"/>
        <v>6.4987000000000004</v>
      </c>
      <c r="G40" s="17">
        <f t="shared" si="7"/>
        <v>34.881300000000003</v>
      </c>
      <c r="H40" s="18">
        <f t="shared" si="8"/>
        <v>0.69776555311062216</v>
      </c>
      <c r="I40" s="7" t="s">
        <v>162</v>
      </c>
    </row>
    <row r="41" spans="1:9" ht="26.4" x14ac:dyDescent="0.3">
      <c r="A41" s="5" t="s">
        <v>163</v>
      </c>
      <c r="B41" s="15">
        <v>9.56</v>
      </c>
      <c r="C41" s="15">
        <v>12</v>
      </c>
      <c r="D41" s="15">
        <v>99.98</v>
      </c>
      <c r="E41" s="15">
        <v>49.99</v>
      </c>
      <c r="F41" s="15">
        <f t="shared" si="6"/>
        <v>6.4987000000000004</v>
      </c>
      <c r="G41" s="17">
        <f t="shared" si="7"/>
        <v>33.9313</v>
      </c>
      <c r="H41" s="18">
        <f t="shared" si="8"/>
        <v>0.67876175235047009</v>
      </c>
      <c r="I41" s="5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800"/>
  </sheetPr>
  <dimension ref="A1:K1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5" customHeight="1" x14ac:dyDescent="0.3"/>
  <cols>
    <col min="1" max="1" width="18" style="1" customWidth="1"/>
    <col min="2" max="2" width="14" style="1" customWidth="1"/>
    <col min="3" max="3" width="16" style="1" customWidth="1"/>
    <col min="4" max="8" width="14" style="1" customWidth="1"/>
    <col min="9" max="10" width="18" style="1" customWidth="1"/>
    <col min="11" max="11" width="50" style="1" customWidth="1"/>
  </cols>
  <sheetData>
    <row r="1" spans="1:11" ht="17.25" customHeight="1" x14ac:dyDescent="0.3">
      <c r="A1" s="2" t="s">
        <v>165</v>
      </c>
    </row>
    <row r="2" spans="1:11" ht="15" customHeight="1" x14ac:dyDescent="0.3">
      <c r="A2" s="3" t="s">
        <v>166</v>
      </c>
    </row>
    <row r="4" spans="1:11" ht="26.25" customHeight="1" x14ac:dyDescent="0.3">
      <c r="A4" s="4" t="s">
        <v>2</v>
      </c>
      <c r="B4" s="4" t="s">
        <v>167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  <c r="H4" s="4" t="s">
        <v>173</v>
      </c>
      <c r="I4" s="4" t="s">
        <v>174</v>
      </c>
      <c r="J4" s="4" t="s">
        <v>175</v>
      </c>
      <c r="K4" s="4" t="s">
        <v>176</v>
      </c>
    </row>
    <row r="5" spans="1:11" ht="23.25" customHeight="1" x14ac:dyDescent="0.3">
      <c r="A5" s="5" t="s">
        <v>12</v>
      </c>
      <c r="B5" s="5" t="s">
        <v>177</v>
      </c>
      <c r="C5" s="5" t="s">
        <v>178</v>
      </c>
      <c r="D5" s="5" t="s">
        <v>179</v>
      </c>
      <c r="E5" s="5" t="s">
        <v>179</v>
      </c>
      <c r="F5" s="5" t="s">
        <v>179</v>
      </c>
      <c r="G5" s="5" t="s">
        <v>179</v>
      </c>
      <c r="H5" s="5" t="s">
        <v>180</v>
      </c>
      <c r="I5" s="5" t="s">
        <v>181</v>
      </c>
      <c r="J5" s="5" t="s">
        <v>182</v>
      </c>
      <c r="K5" s="8" t="s">
        <v>183</v>
      </c>
    </row>
    <row r="6" spans="1:11" ht="23.25" customHeight="1" x14ac:dyDescent="0.3">
      <c r="A6" s="7" t="s">
        <v>22</v>
      </c>
      <c r="B6" s="7" t="s">
        <v>184</v>
      </c>
      <c r="C6" s="7" t="s">
        <v>185</v>
      </c>
      <c r="D6" s="7" t="s">
        <v>179</v>
      </c>
      <c r="E6" s="7" t="s">
        <v>179</v>
      </c>
      <c r="F6" s="7" t="s">
        <v>179</v>
      </c>
      <c r="G6" s="7" t="s">
        <v>179</v>
      </c>
      <c r="H6" s="7" t="s">
        <v>179</v>
      </c>
      <c r="I6" s="7" t="s">
        <v>186</v>
      </c>
      <c r="J6" s="7" t="s">
        <v>187</v>
      </c>
      <c r="K6" s="7" t="s">
        <v>188</v>
      </c>
    </row>
    <row r="7" spans="1:11" ht="23.25" customHeight="1" x14ac:dyDescent="0.3">
      <c r="A7" s="5" t="s">
        <v>51</v>
      </c>
      <c r="B7" s="5" t="s">
        <v>184</v>
      </c>
      <c r="C7" s="5" t="s">
        <v>178</v>
      </c>
      <c r="D7" s="5" t="s">
        <v>179</v>
      </c>
      <c r="E7" s="5" t="s">
        <v>179</v>
      </c>
      <c r="F7" s="5" t="s">
        <v>179</v>
      </c>
      <c r="G7" s="5" t="s">
        <v>179</v>
      </c>
      <c r="H7" s="5" t="s">
        <v>179</v>
      </c>
      <c r="I7" s="5" t="s">
        <v>189</v>
      </c>
      <c r="J7" s="5" t="s">
        <v>190</v>
      </c>
      <c r="K7" s="5" t="s">
        <v>191</v>
      </c>
    </row>
    <row r="8" spans="1:11" ht="23.25" customHeight="1" x14ac:dyDescent="0.3">
      <c r="A8" s="7" t="s">
        <v>82</v>
      </c>
      <c r="B8" s="7" t="s">
        <v>192</v>
      </c>
      <c r="C8" s="7" t="s">
        <v>178</v>
      </c>
      <c r="D8" s="7" t="s">
        <v>179</v>
      </c>
      <c r="E8" s="7" t="s">
        <v>179</v>
      </c>
      <c r="F8" s="7" t="s">
        <v>179</v>
      </c>
      <c r="G8" s="7" t="s">
        <v>193</v>
      </c>
      <c r="H8" s="7" t="s">
        <v>179</v>
      </c>
      <c r="I8" s="7" t="s">
        <v>189</v>
      </c>
      <c r="J8" s="7" t="s">
        <v>85</v>
      </c>
      <c r="K8" s="7" t="s">
        <v>194</v>
      </c>
    </row>
    <row r="9" spans="1:11" ht="23.25" customHeight="1" x14ac:dyDescent="0.3">
      <c r="A9" s="5" t="s">
        <v>31</v>
      </c>
      <c r="B9" s="5" t="s">
        <v>184</v>
      </c>
      <c r="C9" s="5" t="s">
        <v>195</v>
      </c>
      <c r="D9" s="5" t="s">
        <v>179</v>
      </c>
      <c r="E9" s="5" t="s">
        <v>179</v>
      </c>
      <c r="F9" s="5" t="s">
        <v>179</v>
      </c>
      <c r="G9" s="5" t="s">
        <v>179</v>
      </c>
      <c r="H9" s="5" t="s">
        <v>196</v>
      </c>
      <c r="I9" s="5" t="s">
        <v>197</v>
      </c>
      <c r="J9" s="5" t="s">
        <v>198</v>
      </c>
      <c r="K9" s="19" t="s">
        <v>199</v>
      </c>
    </row>
    <row r="10" spans="1:11" ht="23.25" customHeight="1" x14ac:dyDescent="0.3">
      <c r="A10" s="7" t="s">
        <v>96</v>
      </c>
      <c r="B10" s="7" t="s">
        <v>184</v>
      </c>
      <c r="C10" s="7" t="s">
        <v>200</v>
      </c>
      <c r="D10" s="7" t="s">
        <v>196</v>
      </c>
      <c r="E10" s="7" t="s">
        <v>179</v>
      </c>
      <c r="F10" s="7" t="s">
        <v>179</v>
      </c>
      <c r="G10" s="7" t="s">
        <v>179</v>
      </c>
      <c r="H10" s="7" t="s">
        <v>201</v>
      </c>
      <c r="I10" s="7" t="s">
        <v>180</v>
      </c>
      <c r="J10" s="7" t="s">
        <v>198</v>
      </c>
      <c r="K10" s="7" t="s">
        <v>202</v>
      </c>
    </row>
    <row r="11" spans="1:11" ht="23.25" customHeight="1" x14ac:dyDescent="0.3">
      <c r="A11" s="5" t="s">
        <v>68</v>
      </c>
      <c r="B11" s="5" t="s">
        <v>184</v>
      </c>
      <c r="C11" s="5" t="s">
        <v>178</v>
      </c>
      <c r="D11" s="5" t="s">
        <v>179</v>
      </c>
      <c r="E11" s="5" t="s">
        <v>179</v>
      </c>
      <c r="F11" s="5" t="s">
        <v>179</v>
      </c>
      <c r="G11" s="5" t="s">
        <v>179</v>
      </c>
      <c r="H11" s="5" t="s">
        <v>196</v>
      </c>
      <c r="I11" s="5" t="s">
        <v>189</v>
      </c>
      <c r="J11" s="5" t="s">
        <v>198</v>
      </c>
      <c r="K11" s="5" t="s">
        <v>203</v>
      </c>
    </row>
    <row r="12" spans="1:11" ht="23.25" customHeight="1" x14ac:dyDescent="0.3">
      <c r="A12" s="7" t="s">
        <v>41</v>
      </c>
      <c r="B12" s="7" t="s">
        <v>204</v>
      </c>
      <c r="C12" s="7" t="s">
        <v>205</v>
      </c>
      <c r="D12" s="7" t="s">
        <v>206</v>
      </c>
      <c r="E12" s="7" t="s">
        <v>207</v>
      </c>
      <c r="F12" s="7" t="s">
        <v>207</v>
      </c>
      <c r="G12" s="7" t="s">
        <v>206</v>
      </c>
      <c r="H12" s="7" t="s">
        <v>206</v>
      </c>
      <c r="I12" s="7" t="s">
        <v>208</v>
      </c>
      <c r="J12" s="7" t="s">
        <v>91</v>
      </c>
      <c r="K12" s="7" t="s">
        <v>209</v>
      </c>
    </row>
    <row r="13" spans="1:11" ht="23.25" customHeight="1" x14ac:dyDescent="0.3">
      <c r="A13" s="5" t="s">
        <v>59</v>
      </c>
      <c r="B13" s="5" t="s">
        <v>204</v>
      </c>
      <c r="C13" s="5" t="s">
        <v>205</v>
      </c>
      <c r="D13" s="5" t="s">
        <v>206</v>
      </c>
      <c r="E13" s="5" t="s">
        <v>207</v>
      </c>
      <c r="F13" s="5" t="s">
        <v>207</v>
      </c>
      <c r="G13" s="5" t="s">
        <v>206</v>
      </c>
      <c r="H13" s="5" t="s">
        <v>206</v>
      </c>
      <c r="I13" s="5" t="s">
        <v>208</v>
      </c>
      <c r="J13" s="5" t="s">
        <v>91</v>
      </c>
      <c r="K13" s="9" t="s">
        <v>210</v>
      </c>
    </row>
    <row r="14" spans="1:11" ht="23.25" customHeight="1" x14ac:dyDescent="0.3">
      <c r="A14" s="7" t="s">
        <v>75</v>
      </c>
      <c r="B14" s="7" t="s">
        <v>204</v>
      </c>
      <c r="C14" s="7" t="s">
        <v>205</v>
      </c>
      <c r="D14" s="7" t="s">
        <v>206</v>
      </c>
      <c r="E14" s="7" t="s">
        <v>207</v>
      </c>
      <c r="F14" s="7" t="s">
        <v>207</v>
      </c>
      <c r="G14" s="7" t="s">
        <v>206</v>
      </c>
      <c r="H14" s="7" t="s">
        <v>206</v>
      </c>
      <c r="I14" s="7" t="s">
        <v>208</v>
      </c>
      <c r="J14" s="7" t="s">
        <v>91</v>
      </c>
      <c r="K14" s="7" t="s">
        <v>211</v>
      </c>
    </row>
    <row r="15" spans="1:11" ht="23.25" customHeight="1" x14ac:dyDescent="0.3">
      <c r="A15" s="5" t="s">
        <v>89</v>
      </c>
      <c r="B15" s="5" t="s">
        <v>204</v>
      </c>
      <c r="C15" s="5" t="s">
        <v>205</v>
      </c>
      <c r="D15" s="5" t="s">
        <v>206</v>
      </c>
      <c r="E15" s="5" t="s">
        <v>207</v>
      </c>
      <c r="F15" s="5" t="s">
        <v>207</v>
      </c>
      <c r="G15" s="5" t="s">
        <v>206</v>
      </c>
      <c r="H15" s="5" t="s">
        <v>206</v>
      </c>
      <c r="I15" s="5" t="s">
        <v>208</v>
      </c>
      <c r="J15" s="5" t="s">
        <v>91</v>
      </c>
      <c r="K15" s="9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91E63"/>
  </sheetPr>
  <dimension ref="A1:G11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640625" defaultRowHeight="15" customHeight="1" x14ac:dyDescent="0.3"/>
  <cols>
    <col min="1" max="1" width="8" style="1" customWidth="1"/>
    <col min="2" max="3" width="24" style="1" customWidth="1"/>
    <col min="4" max="4" width="55" style="1" customWidth="1"/>
    <col min="5" max="5" width="40" style="1" customWidth="1"/>
    <col min="6" max="6" width="45" style="1" customWidth="1"/>
    <col min="7" max="7" width="14" style="1" customWidth="1"/>
  </cols>
  <sheetData>
    <row r="1" spans="1:7" ht="17.25" customHeight="1" x14ac:dyDescent="0.3">
      <c r="A1" s="2" t="s">
        <v>213</v>
      </c>
    </row>
    <row r="2" spans="1:7" ht="15" customHeight="1" x14ac:dyDescent="0.3">
      <c r="A2" s="3" t="s">
        <v>214</v>
      </c>
    </row>
    <row r="4" spans="1:7" ht="15" customHeight="1" x14ac:dyDescent="0.3">
      <c r="A4" s="4" t="s">
        <v>215</v>
      </c>
      <c r="B4" s="4" t="s">
        <v>2</v>
      </c>
      <c r="C4" s="4" t="s">
        <v>216</v>
      </c>
      <c r="D4" s="4" t="s">
        <v>217</v>
      </c>
      <c r="E4" s="4" t="s">
        <v>218</v>
      </c>
      <c r="F4" s="4" t="s">
        <v>219</v>
      </c>
      <c r="G4" s="4" t="s">
        <v>220</v>
      </c>
    </row>
    <row r="5" spans="1:7" ht="34.5" customHeight="1" x14ac:dyDescent="0.3">
      <c r="A5" s="5" t="s">
        <v>221</v>
      </c>
      <c r="B5" s="5" t="s">
        <v>222</v>
      </c>
      <c r="C5" s="5" t="s">
        <v>223</v>
      </c>
      <c r="D5" s="5" t="s">
        <v>224</v>
      </c>
      <c r="E5" s="5" t="s">
        <v>225</v>
      </c>
      <c r="F5" s="5" t="s">
        <v>226</v>
      </c>
      <c r="G5" s="20" t="s">
        <v>227</v>
      </c>
    </row>
    <row r="6" spans="1:7" ht="34.5" customHeight="1" x14ac:dyDescent="0.3">
      <c r="A6" s="7" t="s">
        <v>228</v>
      </c>
      <c r="B6" s="7" t="s">
        <v>22</v>
      </c>
      <c r="C6" s="7" t="s">
        <v>229</v>
      </c>
      <c r="D6" s="7" t="s">
        <v>230</v>
      </c>
      <c r="E6" s="7" t="s">
        <v>231</v>
      </c>
      <c r="F6" s="7" t="s">
        <v>232</v>
      </c>
      <c r="G6" s="7" t="s">
        <v>227</v>
      </c>
    </row>
    <row r="7" spans="1:7" ht="34.5" customHeight="1" x14ac:dyDescent="0.3">
      <c r="A7" s="5" t="s">
        <v>233</v>
      </c>
      <c r="B7" s="5" t="s">
        <v>51</v>
      </c>
      <c r="C7" s="5" t="s">
        <v>234</v>
      </c>
      <c r="D7" s="5" t="s">
        <v>235</v>
      </c>
      <c r="E7" s="5" t="s">
        <v>236</v>
      </c>
      <c r="F7" s="5" t="s">
        <v>237</v>
      </c>
      <c r="G7" s="9" t="s">
        <v>238</v>
      </c>
    </row>
    <row r="8" spans="1:7" ht="23.25" customHeight="1" x14ac:dyDescent="0.3">
      <c r="A8" s="7" t="s">
        <v>239</v>
      </c>
      <c r="B8" s="7" t="s">
        <v>82</v>
      </c>
      <c r="C8" s="7" t="s">
        <v>240</v>
      </c>
      <c r="D8" s="7" t="s">
        <v>241</v>
      </c>
      <c r="E8" s="7" t="s">
        <v>242</v>
      </c>
      <c r="F8" s="7" t="s">
        <v>243</v>
      </c>
      <c r="G8" s="7" t="s">
        <v>244</v>
      </c>
    </row>
    <row r="9" spans="1:7" ht="23.25" customHeight="1" x14ac:dyDescent="0.3">
      <c r="A9" s="5" t="s">
        <v>245</v>
      </c>
      <c r="B9" s="5" t="s">
        <v>68</v>
      </c>
      <c r="C9" s="5" t="s">
        <v>246</v>
      </c>
      <c r="D9" s="5" t="s">
        <v>247</v>
      </c>
      <c r="E9" s="5" t="s">
        <v>248</v>
      </c>
      <c r="F9" s="5" t="s">
        <v>249</v>
      </c>
      <c r="G9" s="21" t="s">
        <v>244</v>
      </c>
    </row>
    <row r="10" spans="1:7" ht="34.5" customHeight="1" x14ac:dyDescent="0.3">
      <c r="A10" s="7" t="s">
        <v>250</v>
      </c>
      <c r="B10" s="7" t="s">
        <v>41</v>
      </c>
      <c r="C10" s="7" t="s">
        <v>251</v>
      </c>
      <c r="D10" s="7" t="s">
        <v>252</v>
      </c>
      <c r="E10" s="7" t="s">
        <v>253</v>
      </c>
      <c r="F10" s="7" t="s">
        <v>254</v>
      </c>
      <c r="G10" s="7" t="s">
        <v>244</v>
      </c>
    </row>
    <row r="11" spans="1:7" ht="52.8" x14ac:dyDescent="0.3">
      <c r="A11" s="5" t="s">
        <v>255</v>
      </c>
      <c r="B11" s="5" t="s">
        <v>75</v>
      </c>
      <c r="C11" s="5" t="s">
        <v>256</v>
      </c>
      <c r="D11" s="5" t="s">
        <v>257</v>
      </c>
      <c r="E11" s="5" t="s">
        <v>258</v>
      </c>
      <c r="F11" s="5" t="s">
        <v>259</v>
      </c>
      <c r="G11" s="22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 Overview</vt:lpstr>
      <vt:lpstr>Margin Analysis</vt:lpstr>
      <vt:lpstr>API Comparison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2026-03-02T10:47:00Z</dcterms:created>
  <dcterms:modified xsi:type="dcterms:W3CDTF">2026-03-02T23:30:37Z</dcterms:modified>
  <dc:language>en-US</dc:language>
</cp:coreProperties>
</file>