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Owner\Documents\EtsyAutomation\EtsyResearch\"/>
    </mc:Choice>
  </mc:AlternateContent>
  <xr:revisionPtr revIDLastSave="0" documentId="13_ncr:1_{3FFA615F-8ACA-48BA-B4D0-123C541E1375}" xr6:coauthVersionLast="47" xr6:coauthVersionMax="47" xr10:uidLastSave="{00000000-0000-0000-0000-000000000000}"/>
  <bookViews>
    <workbookView minimized="1" xWindow="348" yWindow="732" windowWidth="23040" windowHeight="12024" tabRatio="500" firstSheet="1" activeTab="1" xr2:uid="{00000000-000D-0000-FFFF-FFFF00000000}"/>
  </bookViews>
  <sheets>
    <sheet name="Tags Per Listing" sheetId="1" r:id="rId1"/>
    <sheet name="Copy-Paste Ready" sheetId="2" r:id="rId2"/>
    <sheet name="Tag Frequency" sheetId="3" r:id="rId3"/>
  </sheets>
  <definedNames>
    <definedName name="_xlnm._FilterDatabase" localSheetId="2" hidden="1">'Tag Frequency'!$A$1:$E$99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Q39" i="1" l="1"/>
  <c r="Q37" i="1"/>
  <c r="Q35" i="1"/>
  <c r="Q33" i="1"/>
  <c r="Q31" i="1"/>
  <c r="Q29" i="1"/>
  <c r="Q27" i="1"/>
  <c r="Q25" i="1"/>
  <c r="Q23" i="1"/>
  <c r="Q21" i="1"/>
  <c r="Q19" i="1"/>
  <c r="Q17" i="1"/>
  <c r="Q15" i="1"/>
  <c r="Q13" i="1"/>
  <c r="Q11" i="1"/>
  <c r="Q9" i="1"/>
  <c r="Q7" i="1"/>
  <c r="Q5" i="1"/>
  <c r="Q3" i="1"/>
</calcChain>
</file>

<file path=xl/sharedStrings.xml><?xml version="1.0" encoding="utf-8"?>
<sst xmlns="http://schemas.openxmlformats.org/spreadsheetml/2006/main" count="920" uniqueCount="225">
  <si>
    <t>#</t>
  </si>
  <si>
    <t>Listing</t>
  </si>
  <si>
    <t>Type</t>
  </si>
  <si>
    <t>Tag 1</t>
  </si>
  <si>
    <t>Tag 2</t>
  </si>
  <si>
    <t>Tag 3</t>
  </si>
  <si>
    <t>Tag 4</t>
  </si>
  <si>
    <t>Tag 5</t>
  </si>
  <si>
    <t>Tag 6</t>
  </si>
  <si>
    <t>Tag 7</t>
  </si>
  <si>
    <t>Tag 8</t>
  </si>
  <si>
    <t>Tag 9</t>
  </si>
  <si>
    <t>Tag 10</t>
  </si>
  <si>
    <t>Tag 11</t>
  </si>
  <si>
    <t>Tag 12</t>
  </si>
  <si>
    <t>Tag 13</t>
  </si>
  <si>
    <t>Total Est. Volume</t>
  </si>
  <si>
    <t>(volume shown below tag)</t>
  </si>
  <si>
    <t>vol/mo</t>
  </si>
  <si>
    <t>Gothic Moth Tee</t>
  </si>
  <si>
    <t>Tee</t>
  </si>
  <si>
    <t>graphic tee women</t>
  </si>
  <si>
    <t>gothic clothing</t>
  </si>
  <si>
    <t>whimsigoth clothing</t>
  </si>
  <si>
    <t>witchy tee shirt</t>
  </si>
  <si>
    <t>moth t shirt</t>
  </si>
  <si>
    <t>death moth shirt</t>
  </si>
  <si>
    <t>dark aesthetic tee</t>
  </si>
  <si>
    <t>celestial clothing</t>
  </si>
  <si>
    <t>luna moth print</t>
  </si>
  <si>
    <t>moon phase shirt</t>
  </si>
  <si>
    <t>goth gift for her</t>
  </si>
  <si>
    <t>boho clothing women</t>
  </si>
  <si>
    <t>occult fashion</t>
  </si>
  <si>
    <t>Gothic Moth T-Shirt | Whimsigoth Celestial | Moon ...</t>
  </si>
  <si>
    <t>Celestial Owl Tee</t>
  </si>
  <si>
    <t>owl t shirt</t>
  </si>
  <si>
    <t>witchy clothing</t>
  </si>
  <si>
    <t>owl lover gift</t>
  </si>
  <si>
    <t>moon phases shirt</t>
  </si>
  <si>
    <t>art nouveau print</t>
  </si>
  <si>
    <t>mystical tee</t>
  </si>
  <si>
    <t>astrology shirt</t>
  </si>
  <si>
    <t>bird lover gift</t>
  </si>
  <si>
    <t>Celestial Owl T-Shirt | Boho Art Nouveau Moon Phas...</t>
  </si>
  <si>
    <t>Ukiyo Dragon Tee</t>
  </si>
  <si>
    <t>dragon t shirt</t>
  </si>
  <si>
    <t>japanese art shirt</t>
  </si>
  <si>
    <t>ukiyo e clothing</t>
  </si>
  <si>
    <t>samurai clothing</t>
  </si>
  <si>
    <t>anime streetwear</t>
  </si>
  <si>
    <t>japan lover gift</t>
  </si>
  <si>
    <t>mythology shirt</t>
  </si>
  <si>
    <t>woodblock print tee</t>
  </si>
  <si>
    <t>aesthetic clothing</t>
  </si>
  <si>
    <t>asian art fashion</t>
  </si>
  <si>
    <t>dragon lover gift</t>
  </si>
  <si>
    <t>graphic tee men</t>
  </si>
  <si>
    <t>Ukiyo Dragon T-Shirt | Vintage Japanese Woodblock ...</t>
  </si>
  <si>
    <t>Luna Moth Tee</t>
  </si>
  <si>
    <t>spiritual clothing</t>
  </si>
  <si>
    <t>garden tee shirt</t>
  </si>
  <si>
    <t>mystical fashion</t>
  </si>
  <si>
    <t>nature lover gift</t>
  </si>
  <si>
    <t>insect art shirt</t>
  </si>
  <si>
    <t>Luna Moth T-Shirt | Celestial Garden | Mystical Bo...</t>
  </si>
  <si>
    <t>Celestial Lunar Moth Tee</t>
  </si>
  <si>
    <t>celestial t shirt</t>
  </si>
  <si>
    <t>lunar moth art</t>
  </si>
  <si>
    <t>spiritual fashion</t>
  </si>
  <si>
    <t>moon moth print</t>
  </si>
  <si>
    <t>occult clothing</t>
  </si>
  <si>
    <t>Celestial Lunar Moth T-Shirt | Mystical Art Nouvea...</t>
  </si>
  <si>
    <t>Owl Sweatshirt</t>
  </si>
  <si>
    <t>Sweatshirt</t>
  </si>
  <si>
    <t>witchy sweatshirt</t>
  </si>
  <si>
    <t>owl sweatshirt</t>
  </si>
  <si>
    <t>zodiac sweatshirt</t>
  </si>
  <si>
    <t>moon phase sweater</t>
  </si>
  <si>
    <t>astrology clothing</t>
  </si>
  <si>
    <t>graphic sweatshirt</t>
  </si>
  <si>
    <t>Celestial Owl Sweatshirt | Boho Art Nouveau | Spir...</t>
  </si>
  <si>
    <t>Gothic Moth Sweatshirt</t>
  </si>
  <si>
    <t>moth sweatshirt</t>
  </si>
  <si>
    <t>death moth sweater</t>
  </si>
  <si>
    <t>dark aesthetic</t>
  </si>
  <si>
    <t>Gothic Moth Sweatshirt All Over Print | Whimsigoth...</t>
  </si>
  <si>
    <t>Dragon Sweatshirt</t>
  </si>
  <si>
    <t>dragon sweatshirt</t>
  </si>
  <si>
    <t>japanese art sweater</t>
  </si>
  <si>
    <t>mythology sweater</t>
  </si>
  <si>
    <t>woodblock art print</t>
  </si>
  <si>
    <t>Ukiyo Dragon Sweatshirt | Vintage Japanese Woodblo...</t>
  </si>
  <si>
    <t>Luna Moth Sweatshirt</t>
  </si>
  <si>
    <t>insect art fashion</t>
  </si>
  <si>
    <t>garden sweater</t>
  </si>
  <si>
    <t>Luna Moth Sweatshirt Celestial Garden | Mystical B...</t>
  </si>
  <si>
    <t>Samurai Dragon Sweatshirt</t>
  </si>
  <si>
    <t>mythology fashion</t>
  </si>
  <si>
    <t>warrior art print</t>
  </si>
  <si>
    <t>all over print crew</t>
  </si>
  <si>
    <t>Samurai Dragon Sweatshirt | Japanese Ukiyo-e Mytho...</t>
  </si>
  <si>
    <t>Samurai Dragon Hoodie</t>
  </si>
  <si>
    <t>Hoodie</t>
  </si>
  <si>
    <t>graphic hoodie</t>
  </si>
  <si>
    <t>dragon hoodie</t>
  </si>
  <si>
    <t>japanese art hoodie</t>
  </si>
  <si>
    <t>aesthetic hoodie</t>
  </si>
  <si>
    <t>mythology hoodie</t>
  </si>
  <si>
    <t>graphic hoodie men</t>
  </si>
  <si>
    <t>warrior art fashion</t>
  </si>
  <si>
    <t>Samurai Dragon Hoodie | Japanese Ukiyo-e All Over ...</t>
  </si>
  <si>
    <t>Moon Moth Hoodie</t>
  </si>
  <si>
    <t>moth hoodie</t>
  </si>
  <si>
    <t>witchy hoodie</t>
  </si>
  <si>
    <t>celestial hoodie</t>
  </si>
  <si>
    <t>moon phase hoodie</t>
  </si>
  <si>
    <t>astrology hoodie</t>
  </si>
  <si>
    <t>death moth hoodie</t>
  </si>
  <si>
    <t>Ethereal Moon Moth Hoodie | Celestial All-Over Pri...</t>
  </si>
  <si>
    <t>Crescent Moon Hoodie</t>
  </si>
  <si>
    <t>moon hoodie women</t>
  </si>
  <si>
    <t>wildflower hoodie</t>
  </si>
  <si>
    <t>floral moon print</t>
  </si>
  <si>
    <t>crescent moon art</t>
  </si>
  <si>
    <t>Crescent Moon Wildflower Hoodie | Boho Celestial L...</t>
  </si>
  <si>
    <t>Celestial Owl Hoodie</t>
  </si>
  <si>
    <t>owl hoodie</t>
  </si>
  <si>
    <t>mystical hoodie</t>
  </si>
  <si>
    <t>art nouveau fashion</t>
  </si>
  <si>
    <t>Celestial Owl Art Nouveau Hoodie | Mystical Cresce...</t>
  </si>
  <si>
    <t>Spirit Fox Hoodie</t>
  </si>
  <si>
    <t>fox hoodie</t>
  </si>
  <si>
    <t>fox lover gift</t>
  </si>
  <si>
    <t>wisteria art print</t>
  </si>
  <si>
    <t>kitsune hoodie</t>
  </si>
  <si>
    <t>forest hoodie</t>
  </si>
  <si>
    <t>animal lover gift</t>
  </si>
  <si>
    <t>Spirit Fox Hoodie | Ukiyo-e Wisteria Garden Print,...</t>
  </si>
  <si>
    <t>Bioluminescent Moth Hoodie</t>
  </si>
  <si>
    <t>crystal hoodie</t>
  </si>
  <si>
    <t>cave art fashion</t>
  </si>
  <si>
    <t>Bioluminescent Luna Moth Hoodie | Ethereal Crystal...</t>
  </si>
  <si>
    <t>Serpentine Moon Hoodie</t>
  </si>
  <si>
    <t>snake hoodie</t>
  </si>
  <si>
    <t>gothic hoodie</t>
  </si>
  <si>
    <t>dark romantic</t>
  </si>
  <si>
    <t>poison garden art</t>
  </si>
  <si>
    <t>serpent jewelry art</t>
  </si>
  <si>
    <t>Serpentine Moon Hoodie Poison Garden | Whimsigoth ...</t>
  </si>
  <si>
    <t>Celestial Serpent Hoodie</t>
  </si>
  <si>
    <t>snake lover gift</t>
  </si>
  <si>
    <t>Celestial Serpent Hoodie | Mystical Boho All Over ...</t>
  </si>
  <si>
    <t>Celestial Cat Hoodie</t>
  </si>
  <si>
    <t>cat hoodie</t>
  </si>
  <si>
    <t>cat lover gift</t>
  </si>
  <si>
    <t>cat mom gift</t>
  </si>
  <si>
    <t>Celestial Cat All Over Print Hoodie | Winter Solst...</t>
  </si>
  <si>
    <t>LEGEND:</t>
  </si>
  <si>
    <t>Universal (high-vol broad terms)</t>
  </si>
  <si>
    <t>Product-specific (direct match)</t>
  </si>
  <si>
    <t>Niche / long-tail (low competition)</t>
  </si>
  <si>
    <t>ETSY TAG RULES: Max 13 tags, max 20 chars each, not case-sensitive</t>
  </si>
  <si>
    <t>Tags should NOT repeat words dominant in title — Etsy combines title + tags for search matching</t>
  </si>
  <si>
    <t>Gothic Moth Tee (Tee)</t>
  </si>
  <si>
    <t>Celestial Owl Tee (Tee)</t>
  </si>
  <si>
    <t>Ukiyo Dragon Tee (Tee)</t>
  </si>
  <si>
    <t>Luna Moth Tee (Tee)</t>
  </si>
  <si>
    <t>Celestial Lunar Moth Tee (Tee)</t>
  </si>
  <si>
    <t>Owl Sweatshirt (Sweatshirt)</t>
  </si>
  <si>
    <t>Gothic Moth Sweatshirt (Sweatshirt)</t>
  </si>
  <si>
    <t>Dragon Sweatshirt (Sweatshirt)</t>
  </si>
  <si>
    <t>Luna Moth Sweatshirt (Sweatshirt)</t>
  </si>
  <si>
    <t>Samurai Dragon Sweatshirt (Sweatshirt)</t>
  </si>
  <si>
    <t>Samurai Dragon Hoodie (Hoodie)</t>
  </si>
  <si>
    <t>Moon Moth Hoodie (Hoodie)</t>
  </si>
  <si>
    <t>Crescent Moon Hoodie (Hoodie)</t>
  </si>
  <si>
    <t>Celestial Owl Hoodie (Hoodie)</t>
  </si>
  <si>
    <t>Spirit Fox Hoodie (Hoodie)</t>
  </si>
  <si>
    <t>Bioluminescent Moth Hoodie (Hoodie)</t>
  </si>
  <si>
    <t>Serpentine Moon Hoodie (Hoodie)</t>
  </si>
  <si>
    <t>Celestial Serpent Hoodie (Hoodie)</t>
  </si>
  <si>
    <t>Celestial Cat Hoodie (Hoodie)</t>
  </si>
  <si>
    <t>Tag</t>
  </si>
  <si>
    <t>Volume/mo</t>
  </si>
  <si>
    <t>Times Used</t>
  </si>
  <si>
    <t>Used On Listings</t>
  </si>
  <si>
    <t>Category</t>
  </si>
  <si>
    <t>Samurai Dragon Hoodie, Moon Moth Hoodie, Crescent Moon Hoodie, Celestial Owl Hoodie, Spirit Fox Hoodie, Bioluminescent Moth Hoodie, Serpentine Moon Hoodie, Celestial Serpent Hoodie, Celestial Cat Hoodie</t>
  </si>
  <si>
    <t>UNIVERSAL</t>
  </si>
  <si>
    <t>Gothic Moth Tee, Celestial Owl Tee, Luna Moth Tee, Celestial Lunar Moth Tee, Owl Sweatshirt, Gothic Moth Sweatshirt, Dragon Sweatshirt, Luna Moth Sweatshirt, Samurai Dragon Sweatshirt, Samurai Dragon Hoodie, Moon Moth Hoodie, Crescent Moon Hoodie, Celestial Owl Hoodie, Spirit Fox Hoodie, Bioluminescent Moth Hoodie, Serpentine Moon Hoodie, Celestial Serpent Hoodie, Celestial Cat Hoodie</t>
  </si>
  <si>
    <t>Gothic Moth Tee, Celestial Owl Tee, Luna Moth Tee, Celestial Lunar Moth Tee, Owl Sweatshirt, Gothic Moth Sweatshirt, Luna Moth Sweatshirt, Moon Moth Hoodie, Crescent Moon Hoodie, Celestial Owl Hoodie, Bioluminescent Moth Hoodie, Serpentine Moon Hoodie, Celestial Serpent Hoodie, Celestial Cat Hoodie</t>
  </si>
  <si>
    <t>Ukiyo Dragon Tee, Dragon Sweatshirt, Samurai Dragon Sweatshirt</t>
  </si>
  <si>
    <t>Gothic Moth Sweatshirt, Luna Moth Sweatshirt, Moon Moth Hoodie, Bioluminescent Moth Hoodie, Serpentine Moon Hoodie, Celestial Serpent Hoodie, Celestial Cat Hoodie</t>
  </si>
  <si>
    <t>NICHE</t>
  </si>
  <si>
    <t>PRODUCT</t>
  </si>
  <si>
    <t>Ukiyo Dragon Tee, Dragon Sweatshirt</t>
  </si>
  <si>
    <t>Celestial Owl Tee, Luna Moth Tee, Owl Sweatshirt, Crescent Moon Hoodie, Celestial Owl Hoodie, Spirit Fox Hoodie, Celestial Cat Hoodie</t>
  </si>
  <si>
    <t>Gothic Moth Tee, Celestial Owl Tee, Ukiyo Dragon Tee, Luna Moth Tee, Celestial Lunar Moth Tee</t>
  </si>
  <si>
    <t>Ukiyo Dragon Tee, Dragon Sweatshirt, Samurai Dragon Sweatshirt, Samurai Dragon Hoodie, Spirit Fox Hoodie</t>
  </si>
  <si>
    <t>Samurai Dragon Hoodie, Spirit Fox Hoodie</t>
  </si>
  <si>
    <t>Serpentine Moon Hoodie, Celestial Serpent Hoodie</t>
  </si>
  <si>
    <t>Owl Sweatshirt, Gothic Moth Sweatshirt, Dragon Sweatshirt, Luna Moth Sweatshirt, Samurai Dragon Sweatshirt</t>
  </si>
  <si>
    <t>Gothic Moth Tee, Celestial Owl Tee, Luna Moth Tee, Owl Sweatshirt, Gothic Moth Sweatshirt, Luna Moth Sweatshirt</t>
  </si>
  <si>
    <t>Luna Moth Tee, Luna Moth Sweatshirt, Celestial Serpent Hoodie, Celestial Cat Hoodie</t>
  </si>
  <si>
    <t>Celestial Owl Tee, Owl Sweatshirt, Celestial Owl Hoodie</t>
  </si>
  <si>
    <t>Spirit Fox Hoodie, Celestial Cat Hoodie</t>
  </si>
  <si>
    <t>Luna Moth Tee, Luna Moth Sweatshirt, Crescent Moon Hoodie, Bioluminescent Moth Hoodie</t>
  </si>
  <si>
    <t>Celestial Lunar Moth Tee, Gothic Moth Sweatshirt, Serpentine Moon Hoodie</t>
  </si>
  <si>
    <t>Moon Moth Hoodie, Bioluminescent Moth Hoodie</t>
  </si>
  <si>
    <t>Moon Moth Hoodie, Crescent Moon Hoodie, Celestial Owl Hoodie, Bioluminescent Moth Hoodie, Serpentine Moon Hoodie, Celestial Serpent Hoodie, Celestial Cat Hoodie</t>
  </si>
  <si>
    <t>Celestial Owl Tee, Celestial Lunar Moth Tee</t>
  </si>
  <si>
    <t>Ukiyo Dragon Tee, Dragon Sweatshirt, Samurai Dragon Sweatshirt, Samurai Dragon Hoodie</t>
  </si>
  <si>
    <t>Owl Sweatshirt, Gothic Moth Sweatshirt, Luna Moth Sweatshirt</t>
  </si>
  <si>
    <t>Dragon Sweatshirt, Samurai Dragon Sweatshirt</t>
  </si>
  <si>
    <t>Moon Moth Hoodie, Crescent Moon Hoodie, Celestial Owl Hoodie, Bioluminescent Moth Hoodie, Celestial Serpent Hoodie, Celestial Cat Hoodie</t>
  </si>
  <si>
    <t>Gothic Moth Tee, Luna Moth Tee, Celestial Lunar Moth Tee</t>
  </si>
  <si>
    <t>Gothic Moth Tee, Gothic Moth Sweatshirt</t>
  </si>
  <si>
    <t>Gothic Moth Tee, Moon Moth Hoodie, Bioluminescent Moth Hoodie, Celestial Serpent Hoodie</t>
  </si>
  <si>
    <t>Gothic Moth Tee, Celestial Lunar Moth Tee</t>
  </si>
  <si>
    <t>Moon Moth Hoodie, Crescent Moon Hoodie, Celestial Serpent Hoodie</t>
  </si>
  <si>
    <t>Gothic Moth Sweatshirt, Luna Moth Sweatshirt</t>
  </si>
  <si>
    <t>Gothic Moth Tee, Luna Moth Tee, Gothic Moth Sweatshirt, Luna Moth Sweatshirt, Moon Moth Hoodie, Bioluminescent Moth Hoodie</t>
  </si>
  <si>
    <t>Moon Moth Hoodie, Celestial Owl Hoodie, Serpentine Moon Hoodie</t>
  </si>
  <si>
    <t>Owl Sweatshirt, Gothic Moth Sweatshirt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</si>
</sst>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
    </font>
    <font>
      <b/>
      <sz val="10"/>
      <color rgb="FFFFFFFF"/>
      <name val="Arial"/>
      <family val="2"/>
    </font>
    <font>
      <i/>
      <sz val="9"/>
      <color rgb="FF666666"/>
      <name val="Arial"/>
      <family val="2"/>
    </font>
    <font>
      <sz val="10"/>
      <name val="Arial"/>
      <family val="2"/>
    </font>
    <font>
      <b/>
      <sz val="10"/>
      <name val="Arial"/>
      <family val="2"/>
    </font>
    <font>
      <b/>
      <sz val="9"/>
      <name val="Arial"/>
      <family val="2"/>
    </font>
    <font>
      <b/>
      <sz val="9"/>
      <color rgb="FF1F4E79"/>
      <name val="Arial"/>
      <family val="2"/>
    </font>
    <font>
      <sz val="9"/>
      <name val="Arial"/>
      <family val="2"/>
    </font>
    <font>
      <b/>
      <sz val="10"/>
      <color rgb="FF008000"/>
      <name val="Arial"/>
      <family val="2"/>
    </font>
    <font>
      <sz val="8"/>
      <color rgb="FF666666"/>
      <name val="Arial"/>
      <family val="2"/>
    </font>
    <font>
      <sz val="9"/>
      <color rgb="FF008000"/>
      <name val="Arial"/>
      <family val="2"/>
    </font>
    <font>
      <b/>
      <sz val="9"/>
      <color rgb="FF008000"/>
      <name val="Arial"/>
      <family val="2"/>
    </font>
    <font>
      <sz val="9"/>
      <color rgb="FF666666"/>
      <name val="Arial"/>
      <family val="2"/>
    </font>
    <font>
      <b/>
      <sz val="10"/>
      <color rgb="FFCC0000"/>
      <name val="Arial"/>
      <family val="2"/>
    </font>
    <font>
      <i/>
      <sz val="10"/>
      <name val="Arial"/>
      <family val="2"/>
    </font>
    <font>
      <b/>
      <sz val="10"/>
      <color rgb="FFFF0000"/>
      <name val="Arial"/>
      <family val="2"/>
    </font>
    <font>
      <sz val="10"/>
      <color rgb="FFFF0000"/>
      <name val="Arial"/>
      <family val="2"/>
    </font>
    <font>
      <sz val="11"/>
      <color rgb="FFFF0000"/>
      <name val="Calibri"/>
      <family val="2"/>
      <charset val="1"/>
    </font>
    <font>
      <b/>
      <sz val="11"/>
      <color theme="1"/>
      <name val="Calibri"/>
      <family val="2"/>
      <charset val="1"/>
    </font>
  </fonts>
  <fills count="6">
    <fill>
      <patternFill patternType="none"/>
    </fill>
    <fill>
      <patternFill patternType="gray125"/>
    </fill>
    <fill>
      <patternFill patternType="solid">
        <fgColor rgb="FF1F4E79"/>
        <bgColor rgb="FF003366"/>
      </patternFill>
    </fill>
    <fill>
      <patternFill patternType="solid">
        <fgColor rgb="FFE2EFDA"/>
        <bgColor rgb="FFD6E4F0"/>
      </patternFill>
    </fill>
    <fill>
      <patternFill patternType="solid">
        <fgColor rgb="FFD6E4F0"/>
        <bgColor rgb="FFE2EFDA"/>
      </patternFill>
    </fill>
    <fill>
      <patternFill patternType="solid">
        <fgColor rgb="FFFCE4D6"/>
        <bgColor rgb="FFE2EFDA"/>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3" fillId="0" borderId="1" xfId="0" applyFont="1" applyBorder="1" applyAlignment="1">
      <alignment vertical="top"/>
    </xf>
    <xf numFmtId="0" fontId="1" fillId="2" borderId="1" xfId="0" applyFont="1" applyFill="1" applyBorder="1" applyAlignment="1">
      <alignment horizontal="center" vertical="center" wrapText="1"/>
    </xf>
    <xf numFmtId="0" fontId="0" fillId="0" borderId="1" xfId="0" applyBorder="1"/>
    <xf numFmtId="0" fontId="2" fillId="0" borderId="1" xfId="0" applyFont="1" applyBorder="1"/>
    <xf numFmtId="0" fontId="2" fillId="0" borderId="1" xfId="0" applyFont="1" applyBorder="1" applyAlignment="1">
      <alignment horizontal="center"/>
    </xf>
    <xf numFmtId="0" fontId="4" fillId="0" borderId="1" xfId="0" applyFont="1" applyBorder="1"/>
    <xf numFmtId="0" fontId="3" fillId="0" borderId="1" xfId="0" applyFont="1" applyBorder="1"/>
    <xf numFmtId="0" fontId="5" fillId="3" borderId="1" xfId="0" applyFont="1" applyFill="1" applyBorder="1"/>
    <xf numFmtId="0" fontId="6" fillId="4" borderId="1" xfId="0" applyFont="1" applyFill="1" applyBorder="1"/>
    <xf numFmtId="0" fontId="7" fillId="5" borderId="1" xfId="0" applyFont="1" applyFill="1" applyBorder="1"/>
    <xf numFmtId="3" fontId="8" fillId="0" borderId="1" xfId="0" applyNumberFormat="1" applyFont="1" applyBorder="1"/>
    <xf numFmtId="0" fontId="9" fillId="0" borderId="1" xfId="0" applyFont="1" applyBorder="1" applyAlignment="1">
      <alignment vertical="top" wrapText="1"/>
    </xf>
    <xf numFmtId="3" fontId="10" fillId="0" borderId="1" xfId="0" applyNumberFormat="1" applyFont="1" applyBorder="1" applyAlignment="1">
      <alignment horizontal="center"/>
    </xf>
    <xf numFmtId="3" fontId="11" fillId="0" borderId="1" xfId="0" applyNumberFormat="1" applyFont="1" applyBorder="1" applyAlignment="1">
      <alignment horizontal="center"/>
    </xf>
    <xf numFmtId="3" fontId="12" fillId="0" borderId="1" xfId="0" applyNumberFormat="1" applyFont="1" applyBorder="1" applyAlignment="1">
      <alignment horizontal="center"/>
    </xf>
    <xf numFmtId="0" fontId="4" fillId="0" borderId="0" xfId="0" applyFont="1"/>
    <xf numFmtId="0" fontId="3" fillId="3" borderId="0" xfId="0" applyFont="1" applyFill="1"/>
    <xf numFmtId="0" fontId="3" fillId="4" borderId="0" xfId="0" applyFont="1" applyFill="1"/>
    <xf numFmtId="0" fontId="3" fillId="5" borderId="0" xfId="0" applyFont="1" applyFill="1"/>
    <xf numFmtId="0" fontId="13" fillId="0" borderId="0" xfId="0" applyFont="1"/>
    <xf numFmtId="0" fontId="14" fillId="0" borderId="0" xfId="0" applyFont="1"/>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3" fillId="0" borderId="1" xfId="0" applyFont="1" applyBorder="1" applyAlignment="1">
      <alignment horizontal="center"/>
    </xf>
    <xf numFmtId="0" fontId="7" fillId="0" borderId="1" xfId="0" applyFont="1" applyBorder="1" applyAlignment="1">
      <alignment vertical="top" wrapText="1"/>
    </xf>
    <xf numFmtId="0" fontId="7" fillId="3" borderId="1" xfId="0" applyFont="1" applyFill="1" applyBorder="1"/>
    <xf numFmtId="0" fontId="7" fillId="4" borderId="1" xfId="0" applyFont="1" applyFill="1" applyBorder="1"/>
    <xf numFmtId="3" fontId="3" fillId="0" borderId="1" xfId="0" applyNumberFormat="1" applyFont="1" applyBorder="1"/>
    <xf numFmtId="0" fontId="15" fillId="0" borderId="1" xfId="0" applyFont="1" applyBorder="1"/>
    <xf numFmtId="0" fontId="16" fillId="0" borderId="1" xfId="0" applyFont="1" applyBorder="1"/>
    <xf numFmtId="0" fontId="17" fillId="0" borderId="0" xfId="0" applyFont="1"/>
    <xf numFmtId="0" fontId="18"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8"/>
  <sheetViews>
    <sheetView zoomScaleNormal="100" workbookViewId="0">
      <pane xSplit="3" ySplit="2" topLeftCell="D3" activePane="bottomRight" state="frozen"/>
      <selection pane="topRight" activeCell="D1" sqref="D1"/>
      <selection pane="bottomLeft" activeCell="A3" sqref="A3"/>
      <selection pane="bottomRight" activeCell="B11" sqref="A11:XFD11"/>
    </sheetView>
  </sheetViews>
  <sheetFormatPr defaultColWidth="8.6640625" defaultRowHeight="15" customHeight="1" x14ac:dyDescent="0.3"/>
  <cols>
    <col min="1" max="1" width="4" customWidth="1"/>
    <col min="2" max="2" width="28" customWidth="1"/>
    <col min="3" max="3" width="10" customWidth="1"/>
    <col min="4" max="16" width="20" customWidth="1"/>
    <col min="17" max="17" width="14" customWidth="1"/>
  </cols>
  <sheetData>
    <row r="1" spans="1:17" ht="30"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14.4" x14ac:dyDescent="0.3">
      <c r="A2" s="3"/>
      <c r="B2" s="4" t="s">
        <v>17</v>
      </c>
      <c r="C2" s="3"/>
      <c r="D2" s="5" t="s">
        <v>18</v>
      </c>
      <c r="E2" s="5" t="s">
        <v>18</v>
      </c>
      <c r="F2" s="5" t="s">
        <v>18</v>
      </c>
      <c r="G2" s="5" t="s">
        <v>18</v>
      </c>
      <c r="H2" s="5" t="s">
        <v>18</v>
      </c>
      <c r="I2" s="5" t="s">
        <v>18</v>
      </c>
      <c r="J2" s="5" t="s">
        <v>18</v>
      </c>
      <c r="K2" s="5" t="s">
        <v>18</v>
      </c>
      <c r="L2" s="5" t="s">
        <v>18</v>
      </c>
      <c r="M2" s="5" t="s">
        <v>18</v>
      </c>
      <c r="N2" s="5" t="s">
        <v>18</v>
      </c>
      <c r="O2" s="5" t="s">
        <v>18</v>
      </c>
      <c r="P2" s="5" t="s">
        <v>18</v>
      </c>
      <c r="Q2" s="3"/>
    </row>
    <row r="3" spans="1:17" ht="21.75" customHeight="1" x14ac:dyDescent="0.3">
      <c r="A3" s="1">
        <v>1</v>
      </c>
      <c r="B3" s="6" t="s">
        <v>19</v>
      </c>
      <c r="C3" s="7" t="s">
        <v>20</v>
      </c>
      <c r="D3" s="8" t="s">
        <v>21</v>
      </c>
      <c r="E3" s="8" t="s">
        <v>22</v>
      </c>
      <c r="F3" s="8" t="s">
        <v>23</v>
      </c>
      <c r="G3" s="9" t="s">
        <v>24</v>
      </c>
      <c r="H3" s="9" t="s">
        <v>25</v>
      </c>
      <c r="I3" s="9" t="s">
        <v>26</v>
      </c>
      <c r="J3" s="10" t="s">
        <v>27</v>
      </c>
      <c r="K3" s="10" t="s">
        <v>28</v>
      </c>
      <c r="L3" s="10" t="s">
        <v>29</v>
      </c>
      <c r="M3" s="10" t="s">
        <v>30</v>
      </c>
      <c r="N3" s="10" t="s">
        <v>31</v>
      </c>
      <c r="O3" s="8" t="s">
        <v>32</v>
      </c>
      <c r="P3" s="10" t="s">
        <v>33</v>
      </c>
      <c r="Q3" s="11">
        <f>SUM(D4:P4)</f>
        <v>62210</v>
      </c>
    </row>
    <row r="4" spans="1:17" ht="18" customHeight="1" x14ac:dyDescent="0.3">
      <c r="A4" s="1"/>
      <c r="B4" s="12" t="s">
        <v>34</v>
      </c>
      <c r="C4" s="3"/>
      <c r="D4" s="13">
        <v>2900</v>
      </c>
      <c r="E4" s="14">
        <v>40500</v>
      </c>
      <c r="F4" s="13">
        <v>4400</v>
      </c>
      <c r="G4" s="15">
        <v>170</v>
      </c>
      <c r="H4" s="15">
        <v>210</v>
      </c>
      <c r="I4" s="15">
        <v>480</v>
      </c>
      <c r="J4" s="15">
        <v>110</v>
      </c>
      <c r="K4" s="15">
        <v>720</v>
      </c>
      <c r="L4" s="15">
        <v>70</v>
      </c>
      <c r="M4" s="15">
        <v>170</v>
      </c>
      <c r="N4" s="15">
        <v>210</v>
      </c>
      <c r="O4" s="14">
        <v>12100</v>
      </c>
      <c r="P4" s="15">
        <v>170</v>
      </c>
      <c r="Q4" s="3"/>
    </row>
    <row r="5" spans="1:17" ht="21.75" customHeight="1" x14ac:dyDescent="0.3">
      <c r="A5" s="1">
        <v>2</v>
      </c>
      <c r="B5" s="6" t="s">
        <v>35</v>
      </c>
      <c r="C5" s="7" t="s">
        <v>20</v>
      </c>
      <c r="D5" s="8" t="s">
        <v>21</v>
      </c>
      <c r="E5" s="9" t="s">
        <v>36</v>
      </c>
      <c r="F5" s="8" t="s">
        <v>28</v>
      </c>
      <c r="G5" s="8" t="s">
        <v>32</v>
      </c>
      <c r="H5" s="8" t="s">
        <v>37</v>
      </c>
      <c r="I5" s="10" t="s">
        <v>38</v>
      </c>
      <c r="J5" s="10" t="s">
        <v>39</v>
      </c>
      <c r="K5" s="10" t="s">
        <v>40</v>
      </c>
      <c r="L5" s="10" t="s">
        <v>41</v>
      </c>
      <c r="M5" s="10" t="s">
        <v>42</v>
      </c>
      <c r="N5" s="8" t="s">
        <v>23</v>
      </c>
      <c r="O5" s="10" t="s">
        <v>43</v>
      </c>
      <c r="P5" s="8" t="s">
        <v>22</v>
      </c>
      <c r="Q5" s="11">
        <f>SUM(D6:P6)</f>
        <v>65260</v>
      </c>
    </row>
    <row r="6" spans="1:17" ht="18" customHeight="1" x14ac:dyDescent="0.3">
      <c r="A6" s="1"/>
      <c r="B6" s="12" t="s">
        <v>44</v>
      </c>
      <c r="C6" s="3"/>
      <c r="D6" s="13">
        <v>2900</v>
      </c>
      <c r="E6" s="15">
        <v>260</v>
      </c>
      <c r="F6" s="15">
        <v>720</v>
      </c>
      <c r="G6" s="14">
        <v>12100</v>
      </c>
      <c r="H6" s="13">
        <v>2900</v>
      </c>
      <c r="I6" s="15">
        <v>590</v>
      </c>
      <c r="J6" s="15">
        <v>170</v>
      </c>
      <c r="K6" s="15">
        <v>90</v>
      </c>
      <c r="L6" s="15">
        <v>50</v>
      </c>
      <c r="M6" s="15">
        <v>320</v>
      </c>
      <c r="N6" s="13">
        <v>4400</v>
      </c>
      <c r="O6" s="15">
        <v>260</v>
      </c>
      <c r="P6" s="14">
        <v>40500</v>
      </c>
      <c r="Q6" s="3"/>
    </row>
    <row r="7" spans="1:17" ht="21.75" customHeight="1" x14ac:dyDescent="0.3">
      <c r="A7" s="1">
        <v>3</v>
      </c>
      <c r="B7" s="6" t="s">
        <v>45</v>
      </c>
      <c r="C7" s="7" t="s">
        <v>20</v>
      </c>
      <c r="D7" s="8" t="s">
        <v>21</v>
      </c>
      <c r="E7" s="9" t="s">
        <v>46</v>
      </c>
      <c r="F7" s="9" t="s">
        <v>47</v>
      </c>
      <c r="G7" s="10" t="s">
        <v>48</v>
      </c>
      <c r="H7" s="10" t="s">
        <v>49</v>
      </c>
      <c r="I7" s="10" t="s">
        <v>50</v>
      </c>
      <c r="J7" s="10" t="s">
        <v>51</v>
      </c>
      <c r="K7" s="10" t="s">
        <v>52</v>
      </c>
      <c r="L7" s="10" t="s">
        <v>53</v>
      </c>
      <c r="M7" s="8" t="s">
        <v>54</v>
      </c>
      <c r="N7" s="10" t="s">
        <v>55</v>
      </c>
      <c r="O7" s="10" t="s">
        <v>56</v>
      </c>
      <c r="P7" s="8" t="s">
        <v>57</v>
      </c>
      <c r="Q7" s="11">
        <f>SUM(D8:P8)</f>
        <v>21450</v>
      </c>
    </row>
    <row r="8" spans="1:17" ht="18" customHeight="1" x14ac:dyDescent="0.3">
      <c r="A8" s="1"/>
      <c r="B8" s="12" t="s">
        <v>58</v>
      </c>
      <c r="C8" s="3"/>
      <c r="D8" s="13">
        <v>2900</v>
      </c>
      <c r="E8" s="13">
        <v>1300</v>
      </c>
      <c r="F8" s="15">
        <v>70</v>
      </c>
      <c r="G8" s="15">
        <v>30</v>
      </c>
      <c r="H8" s="15">
        <v>260</v>
      </c>
      <c r="I8" s="13">
        <v>1900</v>
      </c>
      <c r="J8" s="15">
        <v>320</v>
      </c>
      <c r="K8" s="15">
        <v>110</v>
      </c>
      <c r="L8" s="15">
        <v>20</v>
      </c>
      <c r="M8" s="14">
        <v>9900</v>
      </c>
      <c r="N8" s="15">
        <v>30</v>
      </c>
      <c r="O8" s="15">
        <v>210</v>
      </c>
      <c r="P8" s="13">
        <v>4400</v>
      </c>
      <c r="Q8" s="3"/>
    </row>
    <row r="9" spans="1:17" ht="21.75" customHeight="1" x14ac:dyDescent="0.3">
      <c r="A9" s="1">
        <v>4</v>
      </c>
      <c r="B9" s="6" t="s">
        <v>59</v>
      </c>
      <c r="C9" s="7" t="s">
        <v>20</v>
      </c>
      <c r="D9" s="8" t="s">
        <v>21</v>
      </c>
      <c r="E9" s="9" t="s">
        <v>25</v>
      </c>
      <c r="F9" s="8" t="s">
        <v>37</v>
      </c>
      <c r="G9" s="8" t="s">
        <v>32</v>
      </c>
      <c r="H9" s="8" t="s">
        <v>28</v>
      </c>
      <c r="I9" s="9" t="s">
        <v>29</v>
      </c>
      <c r="J9" s="10" t="s">
        <v>60</v>
      </c>
      <c r="K9" s="10" t="s">
        <v>61</v>
      </c>
      <c r="L9" s="10" t="s">
        <v>62</v>
      </c>
      <c r="M9" s="8" t="s">
        <v>23</v>
      </c>
      <c r="N9" s="10" t="s">
        <v>63</v>
      </c>
      <c r="O9" s="8" t="s">
        <v>22</v>
      </c>
      <c r="P9" s="10" t="s">
        <v>64</v>
      </c>
      <c r="Q9" s="11">
        <f>SUM(D10:P10)</f>
        <v>65030</v>
      </c>
    </row>
    <row r="10" spans="1:17" ht="18" customHeight="1" x14ac:dyDescent="0.3">
      <c r="A10" s="1"/>
      <c r="B10" s="12" t="s">
        <v>65</v>
      </c>
      <c r="C10" s="3"/>
      <c r="D10" s="13">
        <v>2900</v>
      </c>
      <c r="E10" s="15">
        <v>210</v>
      </c>
      <c r="F10" s="13">
        <v>2900</v>
      </c>
      <c r="G10" s="14">
        <v>12100</v>
      </c>
      <c r="H10" s="15">
        <v>720</v>
      </c>
      <c r="I10" s="15">
        <v>70</v>
      </c>
      <c r="J10" s="15">
        <v>590</v>
      </c>
      <c r="K10" s="15">
        <v>40</v>
      </c>
      <c r="L10" s="15">
        <v>90</v>
      </c>
      <c r="M10" s="13">
        <v>4400</v>
      </c>
      <c r="N10" s="15">
        <v>480</v>
      </c>
      <c r="O10" s="14">
        <v>40500</v>
      </c>
      <c r="P10" s="15">
        <v>30</v>
      </c>
      <c r="Q10" s="3"/>
    </row>
    <row r="11" spans="1:17" ht="21.75" customHeight="1" x14ac:dyDescent="0.3">
      <c r="A11" s="1">
        <v>5</v>
      </c>
      <c r="B11" s="6" t="s">
        <v>66</v>
      </c>
      <c r="C11" s="7" t="s">
        <v>20</v>
      </c>
      <c r="D11" s="8" t="s">
        <v>21</v>
      </c>
      <c r="E11" s="9" t="s">
        <v>25</v>
      </c>
      <c r="F11" s="9" t="s">
        <v>67</v>
      </c>
      <c r="G11" s="8" t="s">
        <v>32</v>
      </c>
      <c r="H11" s="9" t="s">
        <v>24</v>
      </c>
      <c r="I11" s="10" t="s">
        <v>27</v>
      </c>
      <c r="J11" s="8" t="s">
        <v>23</v>
      </c>
      <c r="K11" s="10" t="s">
        <v>68</v>
      </c>
      <c r="L11" s="10" t="s">
        <v>69</v>
      </c>
      <c r="M11" s="8" t="s">
        <v>22</v>
      </c>
      <c r="N11" s="10" t="s">
        <v>70</v>
      </c>
      <c r="O11" s="10" t="s">
        <v>71</v>
      </c>
      <c r="P11" s="10" t="s">
        <v>42</v>
      </c>
      <c r="Q11" s="11">
        <f>SUM(D12:P12)</f>
        <v>61510</v>
      </c>
    </row>
    <row r="12" spans="1:17" ht="18" customHeight="1" x14ac:dyDescent="0.3">
      <c r="A12" s="1"/>
      <c r="B12" s="12" t="s">
        <v>72</v>
      </c>
      <c r="C12" s="3"/>
      <c r="D12" s="13">
        <v>2900</v>
      </c>
      <c r="E12" s="15">
        <v>210</v>
      </c>
      <c r="F12" s="15">
        <v>170</v>
      </c>
      <c r="G12" s="14">
        <v>12100</v>
      </c>
      <c r="H12" s="15">
        <v>170</v>
      </c>
      <c r="I12" s="15">
        <v>110</v>
      </c>
      <c r="J12" s="13">
        <v>4400</v>
      </c>
      <c r="K12" s="15">
        <v>40</v>
      </c>
      <c r="L12" s="15">
        <v>170</v>
      </c>
      <c r="M12" s="14">
        <v>40500</v>
      </c>
      <c r="N12" s="15">
        <v>30</v>
      </c>
      <c r="O12" s="15">
        <v>390</v>
      </c>
      <c r="P12" s="15">
        <v>320</v>
      </c>
      <c r="Q12" s="3"/>
    </row>
    <row r="13" spans="1:17" ht="21.75" customHeight="1" x14ac:dyDescent="0.3">
      <c r="A13" s="1">
        <v>6</v>
      </c>
      <c r="B13" s="6" t="s">
        <v>73</v>
      </c>
      <c r="C13" s="7" t="s">
        <v>74</v>
      </c>
      <c r="D13" s="9" t="s">
        <v>75</v>
      </c>
      <c r="E13" s="9" t="s">
        <v>76</v>
      </c>
      <c r="F13" s="8" t="s">
        <v>28</v>
      </c>
      <c r="G13" s="8" t="s">
        <v>32</v>
      </c>
      <c r="H13" s="8" t="s">
        <v>22</v>
      </c>
      <c r="I13" s="10" t="s">
        <v>38</v>
      </c>
      <c r="J13" s="8" t="s">
        <v>23</v>
      </c>
      <c r="K13" s="10" t="s">
        <v>77</v>
      </c>
      <c r="L13" s="8" t="s">
        <v>37</v>
      </c>
      <c r="M13" s="10" t="s">
        <v>78</v>
      </c>
      <c r="N13" s="10" t="s">
        <v>43</v>
      </c>
      <c r="O13" s="10" t="s">
        <v>79</v>
      </c>
      <c r="P13" s="8" t="s">
        <v>80</v>
      </c>
      <c r="Q13" s="11">
        <f>SUM(D14:P14)</f>
        <v>63510</v>
      </c>
    </row>
    <row r="14" spans="1:17" ht="18" customHeight="1" x14ac:dyDescent="0.3">
      <c r="A14" s="1"/>
      <c r="B14" s="12" t="s">
        <v>81</v>
      </c>
      <c r="C14" s="3"/>
      <c r="D14" s="15">
        <v>260</v>
      </c>
      <c r="E14" s="15">
        <v>90</v>
      </c>
      <c r="F14" s="15">
        <v>720</v>
      </c>
      <c r="G14" s="14">
        <v>12100</v>
      </c>
      <c r="H14" s="14">
        <v>40500</v>
      </c>
      <c r="I14" s="15">
        <v>590</v>
      </c>
      <c r="J14" s="13">
        <v>4400</v>
      </c>
      <c r="K14" s="15">
        <v>110</v>
      </c>
      <c r="L14" s="13">
        <v>2900</v>
      </c>
      <c r="M14" s="15">
        <v>70</v>
      </c>
      <c r="N14" s="15">
        <v>260</v>
      </c>
      <c r="O14" s="15">
        <v>210</v>
      </c>
      <c r="P14" s="13">
        <v>1300</v>
      </c>
      <c r="Q14" s="3"/>
    </row>
    <row r="15" spans="1:17" ht="21.75" customHeight="1" x14ac:dyDescent="0.3">
      <c r="A15" s="1">
        <v>7</v>
      </c>
      <c r="B15" s="6" t="s">
        <v>82</v>
      </c>
      <c r="C15" s="7" t="s">
        <v>74</v>
      </c>
      <c r="D15" s="9" t="s">
        <v>75</v>
      </c>
      <c r="E15" s="9" t="s">
        <v>83</v>
      </c>
      <c r="F15" s="8" t="s">
        <v>22</v>
      </c>
      <c r="G15" s="8" t="s">
        <v>23</v>
      </c>
      <c r="H15" s="9" t="s">
        <v>84</v>
      </c>
      <c r="I15" s="8" t="s">
        <v>28</v>
      </c>
      <c r="J15" s="8" t="s">
        <v>32</v>
      </c>
      <c r="K15" s="10" t="s">
        <v>85</v>
      </c>
      <c r="L15" s="10" t="s">
        <v>71</v>
      </c>
      <c r="M15" s="10" t="s">
        <v>78</v>
      </c>
      <c r="N15" s="10" t="s">
        <v>31</v>
      </c>
      <c r="O15" s="8" t="s">
        <v>80</v>
      </c>
      <c r="P15" s="10" t="s">
        <v>29</v>
      </c>
      <c r="Q15" s="11">
        <f>SUM(D16:P16)</f>
        <v>65580</v>
      </c>
    </row>
    <row r="16" spans="1:17" ht="18" customHeight="1" x14ac:dyDescent="0.3">
      <c r="A16" s="1"/>
      <c r="B16" s="12" t="s">
        <v>86</v>
      </c>
      <c r="C16" s="3"/>
      <c r="D16" s="15">
        <v>260</v>
      </c>
      <c r="E16" s="15">
        <v>90</v>
      </c>
      <c r="F16" s="14">
        <v>40500</v>
      </c>
      <c r="G16" s="13">
        <v>4400</v>
      </c>
      <c r="H16" s="15">
        <v>70</v>
      </c>
      <c r="I16" s="15">
        <v>720</v>
      </c>
      <c r="J16" s="14">
        <v>12100</v>
      </c>
      <c r="K16" s="14">
        <v>5400</v>
      </c>
      <c r="L16" s="15">
        <v>390</v>
      </c>
      <c r="M16" s="15">
        <v>70</v>
      </c>
      <c r="N16" s="15">
        <v>210</v>
      </c>
      <c r="O16" s="13">
        <v>1300</v>
      </c>
      <c r="P16" s="15">
        <v>70</v>
      </c>
      <c r="Q16" s="3"/>
    </row>
    <row r="17" spans="1:17" ht="21.75" customHeight="1" x14ac:dyDescent="0.3">
      <c r="A17" s="1">
        <v>8</v>
      </c>
      <c r="B17" s="6" t="s">
        <v>87</v>
      </c>
      <c r="C17" s="7" t="s">
        <v>74</v>
      </c>
      <c r="D17" s="9" t="s">
        <v>88</v>
      </c>
      <c r="E17" s="9" t="s">
        <v>89</v>
      </c>
      <c r="F17" s="10" t="s">
        <v>50</v>
      </c>
      <c r="G17" s="8" t="s">
        <v>80</v>
      </c>
      <c r="H17" s="10" t="s">
        <v>49</v>
      </c>
      <c r="I17" s="10" t="s">
        <v>48</v>
      </c>
      <c r="J17" s="10" t="s">
        <v>51</v>
      </c>
      <c r="K17" s="10" t="s">
        <v>56</v>
      </c>
      <c r="L17" s="8" t="s">
        <v>54</v>
      </c>
      <c r="M17" s="10" t="s">
        <v>90</v>
      </c>
      <c r="N17" s="10" t="s">
        <v>91</v>
      </c>
      <c r="O17" s="8" t="s">
        <v>22</v>
      </c>
      <c r="P17" s="8" t="s">
        <v>57</v>
      </c>
      <c r="Q17" s="11">
        <f>SUM(D18:P18)</f>
        <v>59180</v>
      </c>
    </row>
    <row r="18" spans="1:17" ht="18" customHeight="1" x14ac:dyDescent="0.3">
      <c r="A18" s="1"/>
      <c r="B18" s="12" t="s">
        <v>92</v>
      </c>
      <c r="C18" s="3"/>
      <c r="D18" s="15">
        <v>260</v>
      </c>
      <c r="E18" s="15">
        <v>30</v>
      </c>
      <c r="F18" s="13">
        <v>1900</v>
      </c>
      <c r="G18" s="13">
        <v>1300</v>
      </c>
      <c r="H18" s="15">
        <v>260</v>
      </c>
      <c r="I18" s="15">
        <v>30</v>
      </c>
      <c r="J18" s="15">
        <v>320</v>
      </c>
      <c r="K18" s="15">
        <v>210</v>
      </c>
      <c r="L18" s="14">
        <v>9900</v>
      </c>
      <c r="M18" s="15">
        <v>40</v>
      </c>
      <c r="N18" s="15">
        <v>30</v>
      </c>
      <c r="O18" s="14">
        <v>40500</v>
      </c>
      <c r="P18" s="13">
        <v>4400</v>
      </c>
      <c r="Q18" s="3"/>
    </row>
    <row r="19" spans="1:17" ht="21.75" customHeight="1" x14ac:dyDescent="0.3">
      <c r="A19" s="1">
        <v>9</v>
      </c>
      <c r="B19" s="6" t="s">
        <v>93</v>
      </c>
      <c r="C19" s="7" t="s">
        <v>74</v>
      </c>
      <c r="D19" s="9" t="s">
        <v>75</v>
      </c>
      <c r="E19" s="9" t="s">
        <v>83</v>
      </c>
      <c r="F19" s="8" t="s">
        <v>28</v>
      </c>
      <c r="G19" s="8" t="s">
        <v>32</v>
      </c>
      <c r="H19" s="8" t="s">
        <v>22</v>
      </c>
      <c r="I19" s="8" t="s">
        <v>23</v>
      </c>
      <c r="J19" s="9" t="s">
        <v>29</v>
      </c>
      <c r="K19" s="10" t="s">
        <v>60</v>
      </c>
      <c r="L19" s="10" t="s">
        <v>63</v>
      </c>
      <c r="M19" s="8" t="s">
        <v>80</v>
      </c>
      <c r="N19" s="10" t="s">
        <v>94</v>
      </c>
      <c r="O19" s="10" t="s">
        <v>85</v>
      </c>
      <c r="P19" s="10" t="s">
        <v>95</v>
      </c>
      <c r="Q19" s="11">
        <f>SUM(D20:P20)</f>
        <v>65970</v>
      </c>
    </row>
    <row r="20" spans="1:17" ht="18" customHeight="1" x14ac:dyDescent="0.3">
      <c r="A20" s="1"/>
      <c r="B20" s="12" t="s">
        <v>96</v>
      </c>
      <c r="C20" s="3"/>
      <c r="D20" s="15">
        <v>260</v>
      </c>
      <c r="E20" s="15">
        <v>90</v>
      </c>
      <c r="F20" s="15">
        <v>720</v>
      </c>
      <c r="G20" s="14">
        <v>12100</v>
      </c>
      <c r="H20" s="14">
        <v>40500</v>
      </c>
      <c r="I20" s="13">
        <v>4400</v>
      </c>
      <c r="J20" s="15">
        <v>70</v>
      </c>
      <c r="K20" s="15">
        <v>590</v>
      </c>
      <c r="L20" s="15">
        <v>480</v>
      </c>
      <c r="M20" s="13">
        <v>1300</v>
      </c>
      <c r="N20" s="15">
        <v>20</v>
      </c>
      <c r="O20" s="14">
        <v>5400</v>
      </c>
      <c r="P20" s="15">
        <v>40</v>
      </c>
      <c r="Q20" s="3"/>
    </row>
    <row r="21" spans="1:17" ht="21.75" customHeight="1" x14ac:dyDescent="0.3">
      <c r="A21" s="1">
        <v>10</v>
      </c>
      <c r="B21" s="6" t="s">
        <v>97</v>
      </c>
      <c r="C21" s="7" t="s">
        <v>74</v>
      </c>
      <c r="D21" s="9" t="s">
        <v>88</v>
      </c>
      <c r="E21" s="9" t="s">
        <v>49</v>
      </c>
      <c r="F21" s="9" t="s">
        <v>89</v>
      </c>
      <c r="G21" s="8" t="s">
        <v>80</v>
      </c>
      <c r="H21" s="10" t="s">
        <v>50</v>
      </c>
      <c r="I21" s="8" t="s">
        <v>22</v>
      </c>
      <c r="J21" s="8" t="s">
        <v>54</v>
      </c>
      <c r="K21" s="10" t="s">
        <v>56</v>
      </c>
      <c r="L21" s="10" t="s">
        <v>98</v>
      </c>
      <c r="M21" s="10" t="s">
        <v>51</v>
      </c>
      <c r="N21" s="10" t="s">
        <v>99</v>
      </c>
      <c r="O21" s="10" t="s">
        <v>48</v>
      </c>
      <c r="P21" s="10" t="s">
        <v>100</v>
      </c>
      <c r="Q21" s="11">
        <f>SUM(D22:P22)</f>
        <v>54820</v>
      </c>
    </row>
    <row r="22" spans="1:17" ht="18" customHeight="1" x14ac:dyDescent="0.3">
      <c r="A22" s="1"/>
      <c r="B22" s="12" t="s">
        <v>101</v>
      </c>
      <c r="C22" s="3"/>
      <c r="D22" s="15">
        <v>260</v>
      </c>
      <c r="E22" s="15">
        <v>260</v>
      </c>
      <c r="F22" s="15">
        <v>30</v>
      </c>
      <c r="G22" s="13">
        <v>1300</v>
      </c>
      <c r="H22" s="13">
        <v>1900</v>
      </c>
      <c r="I22" s="14">
        <v>40500</v>
      </c>
      <c r="J22" s="14">
        <v>9900</v>
      </c>
      <c r="K22" s="15">
        <v>210</v>
      </c>
      <c r="L22" s="15">
        <v>40</v>
      </c>
      <c r="M22" s="15">
        <v>320</v>
      </c>
      <c r="N22" s="15">
        <v>20</v>
      </c>
      <c r="O22" s="15">
        <v>30</v>
      </c>
      <c r="P22" s="15">
        <v>50</v>
      </c>
      <c r="Q22" s="3"/>
    </row>
    <row r="23" spans="1:17" ht="21.75" customHeight="1" x14ac:dyDescent="0.3">
      <c r="A23" s="1">
        <v>11</v>
      </c>
      <c r="B23" s="6" t="s">
        <v>102</v>
      </c>
      <c r="C23" s="7" t="s">
        <v>103</v>
      </c>
      <c r="D23" s="8" t="s">
        <v>104</v>
      </c>
      <c r="E23" s="9" t="s">
        <v>105</v>
      </c>
      <c r="F23" s="9" t="s">
        <v>106</v>
      </c>
      <c r="G23" s="9" t="s">
        <v>49</v>
      </c>
      <c r="H23" s="10" t="s">
        <v>50</v>
      </c>
      <c r="I23" s="8" t="s">
        <v>22</v>
      </c>
      <c r="J23" s="8" t="s">
        <v>107</v>
      </c>
      <c r="K23" s="10" t="s">
        <v>56</v>
      </c>
      <c r="L23" s="10" t="s">
        <v>51</v>
      </c>
      <c r="M23" s="10" t="s">
        <v>108</v>
      </c>
      <c r="N23" s="10" t="s">
        <v>48</v>
      </c>
      <c r="O23" s="8" t="s">
        <v>109</v>
      </c>
      <c r="P23" s="10" t="s">
        <v>110</v>
      </c>
      <c r="Q23" s="11">
        <f>SUM(D24:P24)</f>
        <v>122850</v>
      </c>
    </row>
    <row r="24" spans="1:17" ht="18" customHeight="1" x14ac:dyDescent="0.3">
      <c r="A24" s="1"/>
      <c r="B24" s="12" t="s">
        <v>111</v>
      </c>
      <c r="C24" s="3"/>
      <c r="D24" s="14">
        <v>49500</v>
      </c>
      <c r="E24" s="13">
        <v>1300</v>
      </c>
      <c r="F24" s="15">
        <v>70</v>
      </c>
      <c r="G24" s="15">
        <v>260</v>
      </c>
      <c r="H24" s="13">
        <v>1900</v>
      </c>
      <c r="I24" s="14">
        <v>40500</v>
      </c>
      <c r="J24" s="13">
        <v>1600</v>
      </c>
      <c r="K24" s="15">
        <v>210</v>
      </c>
      <c r="L24" s="15">
        <v>320</v>
      </c>
      <c r="M24" s="15">
        <v>40</v>
      </c>
      <c r="N24" s="15">
        <v>30</v>
      </c>
      <c r="O24" s="14">
        <v>27100</v>
      </c>
      <c r="P24" s="15">
        <v>20</v>
      </c>
      <c r="Q24" s="3"/>
    </row>
    <row r="25" spans="1:17" ht="21.75" customHeight="1" x14ac:dyDescent="0.3">
      <c r="A25" s="1">
        <v>12</v>
      </c>
      <c r="B25" s="6" t="s">
        <v>112</v>
      </c>
      <c r="C25" s="7" t="s">
        <v>103</v>
      </c>
      <c r="D25" s="8" t="s">
        <v>104</v>
      </c>
      <c r="E25" s="9" t="s">
        <v>113</v>
      </c>
      <c r="F25" s="9" t="s">
        <v>114</v>
      </c>
      <c r="G25" s="9" t="s">
        <v>115</v>
      </c>
      <c r="H25" s="8" t="s">
        <v>22</v>
      </c>
      <c r="I25" s="8" t="s">
        <v>23</v>
      </c>
      <c r="J25" s="8" t="s">
        <v>32</v>
      </c>
      <c r="K25" s="10" t="s">
        <v>116</v>
      </c>
      <c r="L25" s="10" t="s">
        <v>85</v>
      </c>
      <c r="M25" s="10" t="s">
        <v>117</v>
      </c>
      <c r="N25" s="10" t="s">
        <v>118</v>
      </c>
      <c r="O25" s="10" t="s">
        <v>29</v>
      </c>
      <c r="P25" s="10" t="s">
        <v>33</v>
      </c>
      <c r="Q25" s="11">
        <f>SUM(D26:P26)</f>
        <v>113330</v>
      </c>
    </row>
    <row r="26" spans="1:17" ht="18" customHeight="1" x14ac:dyDescent="0.3">
      <c r="A26" s="1"/>
      <c r="B26" s="12" t="s">
        <v>119</v>
      </c>
      <c r="C26" s="3"/>
      <c r="D26" s="14">
        <v>49500</v>
      </c>
      <c r="E26" s="15">
        <v>390</v>
      </c>
      <c r="F26" s="15">
        <v>320</v>
      </c>
      <c r="G26" s="15">
        <v>210</v>
      </c>
      <c r="H26" s="14">
        <v>40500</v>
      </c>
      <c r="I26" s="13">
        <v>4400</v>
      </c>
      <c r="J26" s="14">
        <v>12100</v>
      </c>
      <c r="K26" s="15">
        <v>70</v>
      </c>
      <c r="L26" s="14">
        <v>5400</v>
      </c>
      <c r="M26" s="15">
        <v>110</v>
      </c>
      <c r="N26" s="15">
        <v>90</v>
      </c>
      <c r="O26" s="15">
        <v>70</v>
      </c>
      <c r="P26" s="15">
        <v>170</v>
      </c>
      <c r="Q26" s="3"/>
    </row>
    <row r="27" spans="1:17" ht="21.75" customHeight="1" x14ac:dyDescent="0.3">
      <c r="A27" s="1">
        <v>13</v>
      </c>
      <c r="B27" s="6" t="s">
        <v>120</v>
      </c>
      <c r="C27" s="7" t="s">
        <v>103</v>
      </c>
      <c r="D27" s="8" t="s">
        <v>104</v>
      </c>
      <c r="E27" s="9" t="s">
        <v>115</v>
      </c>
      <c r="F27" s="9" t="s">
        <v>114</v>
      </c>
      <c r="G27" s="8" t="s">
        <v>32</v>
      </c>
      <c r="H27" s="8" t="s">
        <v>23</v>
      </c>
      <c r="I27" s="8" t="s">
        <v>22</v>
      </c>
      <c r="J27" s="9" t="s">
        <v>121</v>
      </c>
      <c r="K27" s="10" t="s">
        <v>122</v>
      </c>
      <c r="L27" s="10" t="s">
        <v>117</v>
      </c>
      <c r="M27" s="10" t="s">
        <v>123</v>
      </c>
      <c r="N27" s="8" t="s">
        <v>37</v>
      </c>
      <c r="O27" s="10" t="s">
        <v>124</v>
      </c>
      <c r="P27" s="10" t="s">
        <v>63</v>
      </c>
      <c r="Q27" s="11">
        <f>SUM(D28:P28)</f>
        <v>110840</v>
      </c>
    </row>
    <row r="28" spans="1:17" ht="18" customHeight="1" x14ac:dyDescent="0.3">
      <c r="A28" s="1"/>
      <c r="B28" s="12" t="s">
        <v>125</v>
      </c>
      <c r="C28" s="3"/>
      <c r="D28" s="14">
        <v>49500</v>
      </c>
      <c r="E28" s="15">
        <v>210</v>
      </c>
      <c r="F28" s="15">
        <v>320</v>
      </c>
      <c r="G28" s="14">
        <v>12100</v>
      </c>
      <c r="H28" s="13">
        <v>4400</v>
      </c>
      <c r="I28" s="14">
        <v>40500</v>
      </c>
      <c r="J28" s="15">
        <v>70</v>
      </c>
      <c r="K28" s="15">
        <v>170</v>
      </c>
      <c r="L28" s="15">
        <v>110</v>
      </c>
      <c r="M28" s="15">
        <v>30</v>
      </c>
      <c r="N28" s="13">
        <v>2900</v>
      </c>
      <c r="O28" s="15">
        <v>50</v>
      </c>
      <c r="P28" s="15">
        <v>480</v>
      </c>
      <c r="Q28" s="3"/>
    </row>
    <row r="29" spans="1:17" ht="21.75" customHeight="1" x14ac:dyDescent="0.3">
      <c r="A29" s="1">
        <v>14</v>
      </c>
      <c r="B29" s="6" t="s">
        <v>126</v>
      </c>
      <c r="C29" s="7" t="s">
        <v>103</v>
      </c>
      <c r="D29" s="8" t="s">
        <v>104</v>
      </c>
      <c r="E29" s="9" t="s">
        <v>127</v>
      </c>
      <c r="F29" s="9" t="s">
        <v>115</v>
      </c>
      <c r="G29" s="9" t="s">
        <v>114</v>
      </c>
      <c r="H29" s="8" t="s">
        <v>22</v>
      </c>
      <c r="I29" s="8" t="s">
        <v>23</v>
      </c>
      <c r="J29" s="8" t="s">
        <v>32</v>
      </c>
      <c r="K29" s="10" t="s">
        <v>38</v>
      </c>
      <c r="L29" s="10" t="s">
        <v>116</v>
      </c>
      <c r="M29" s="10" t="s">
        <v>43</v>
      </c>
      <c r="N29" s="8" t="s">
        <v>37</v>
      </c>
      <c r="O29" s="10" t="s">
        <v>128</v>
      </c>
      <c r="P29" s="10" t="s">
        <v>129</v>
      </c>
      <c r="Q29" s="11">
        <f>SUM(D30:P30)</f>
        <v>111270</v>
      </c>
    </row>
    <row r="30" spans="1:17" ht="18" customHeight="1" x14ac:dyDescent="0.3">
      <c r="A30" s="1"/>
      <c r="B30" s="12" t="s">
        <v>130</v>
      </c>
      <c r="C30" s="3"/>
      <c r="D30" s="14">
        <v>49500</v>
      </c>
      <c r="E30" s="15">
        <v>320</v>
      </c>
      <c r="F30" s="15">
        <v>210</v>
      </c>
      <c r="G30" s="15">
        <v>320</v>
      </c>
      <c r="H30" s="14">
        <v>40500</v>
      </c>
      <c r="I30" s="13">
        <v>4400</v>
      </c>
      <c r="J30" s="14">
        <v>12100</v>
      </c>
      <c r="K30" s="15">
        <v>590</v>
      </c>
      <c r="L30" s="15">
        <v>70</v>
      </c>
      <c r="M30" s="15">
        <v>260</v>
      </c>
      <c r="N30" s="13">
        <v>2900</v>
      </c>
      <c r="O30" s="15">
        <v>70</v>
      </c>
      <c r="P30" s="15">
        <v>30</v>
      </c>
      <c r="Q30" s="3"/>
    </row>
    <row r="31" spans="1:17" ht="21.75" customHeight="1" x14ac:dyDescent="0.3">
      <c r="A31" s="1">
        <v>15</v>
      </c>
      <c r="B31" s="6" t="s">
        <v>131</v>
      </c>
      <c r="C31" s="7" t="s">
        <v>103</v>
      </c>
      <c r="D31" s="8" t="s">
        <v>104</v>
      </c>
      <c r="E31" s="9" t="s">
        <v>132</v>
      </c>
      <c r="F31" s="9" t="s">
        <v>106</v>
      </c>
      <c r="G31" s="8" t="s">
        <v>22</v>
      </c>
      <c r="H31" s="8" t="s">
        <v>107</v>
      </c>
      <c r="I31" s="10" t="s">
        <v>133</v>
      </c>
      <c r="J31" s="10" t="s">
        <v>50</v>
      </c>
      <c r="K31" s="10" t="s">
        <v>134</v>
      </c>
      <c r="L31" s="10" t="s">
        <v>135</v>
      </c>
      <c r="M31" s="10" t="s">
        <v>51</v>
      </c>
      <c r="N31" s="8" t="s">
        <v>37</v>
      </c>
      <c r="O31" s="10" t="s">
        <v>136</v>
      </c>
      <c r="P31" s="10" t="s">
        <v>137</v>
      </c>
      <c r="Q31" s="11">
        <f>SUM(D32:P32)</f>
        <v>103660</v>
      </c>
    </row>
    <row r="32" spans="1:17" ht="18" customHeight="1" x14ac:dyDescent="0.3">
      <c r="A32" s="1"/>
      <c r="B32" s="12" t="s">
        <v>138</v>
      </c>
      <c r="C32" s="3"/>
      <c r="D32" s="14">
        <v>49500</v>
      </c>
      <c r="E32" s="14">
        <v>5400</v>
      </c>
      <c r="F32" s="15">
        <v>70</v>
      </c>
      <c r="G32" s="14">
        <v>40500</v>
      </c>
      <c r="H32" s="13">
        <v>1600</v>
      </c>
      <c r="I32" s="15">
        <v>480</v>
      </c>
      <c r="J32" s="13">
        <v>1900</v>
      </c>
      <c r="K32" s="15">
        <v>20</v>
      </c>
      <c r="L32" s="15">
        <v>170</v>
      </c>
      <c r="M32" s="15">
        <v>320</v>
      </c>
      <c r="N32" s="13">
        <v>2900</v>
      </c>
      <c r="O32" s="15">
        <v>210</v>
      </c>
      <c r="P32" s="15">
        <v>590</v>
      </c>
      <c r="Q32" s="3"/>
    </row>
    <row r="33" spans="1:17" ht="21.75" customHeight="1" x14ac:dyDescent="0.3">
      <c r="A33" s="1">
        <v>16</v>
      </c>
      <c r="B33" s="6" t="s">
        <v>139</v>
      </c>
      <c r="C33" s="7" t="s">
        <v>103</v>
      </c>
      <c r="D33" s="8" t="s">
        <v>104</v>
      </c>
      <c r="E33" s="9" t="s">
        <v>113</v>
      </c>
      <c r="F33" s="9" t="s">
        <v>114</v>
      </c>
      <c r="G33" s="8" t="s">
        <v>22</v>
      </c>
      <c r="H33" s="8" t="s">
        <v>23</v>
      </c>
      <c r="I33" s="9" t="s">
        <v>115</v>
      </c>
      <c r="J33" s="10" t="s">
        <v>140</v>
      </c>
      <c r="K33" s="10" t="s">
        <v>85</v>
      </c>
      <c r="L33" s="10" t="s">
        <v>29</v>
      </c>
      <c r="M33" s="10" t="s">
        <v>63</v>
      </c>
      <c r="N33" s="8" t="s">
        <v>32</v>
      </c>
      <c r="O33" s="10" t="s">
        <v>141</v>
      </c>
      <c r="P33" s="10" t="s">
        <v>33</v>
      </c>
      <c r="Q33" s="11">
        <f>SUM(D34:P34)</f>
        <v>113660</v>
      </c>
    </row>
    <row r="34" spans="1:17" ht="18" customHeight="1" x14ac:dyDescent="0.3">
      <c r="A34" s="1"/>
      <c r="B34" s="12" t="s">
        <v>142</v>
      </c>
      <c r="C34" s="3"/>
      <c r="D34" s="14">
        <v>49500</v>
      </c>
      <c r="E34" s="15">
        <v>390</v>
      </c>
      <c r="F34" s="15">
        <v>320</v>
      </c>
      <c r="G34" s="14">
        <v>40500</v>
      </c>
      <c r="H34" s="13">
        <v>4400</v>
      </c>
      <c r="I34" s="15">
        <v>210</v>
      </c>
      <c r="J34" s="15">
        <v>110</v>
      </c>
      <c r="K34" s="14">
        <v>5400</v>
      </c>
      <c r="L34" s="15">
        <v>70</v>
      </c>
      <c r="M34" s="15">
        <v>480</v>
      </c>
      <c r="N34" s="14">
        <v>12100</v>
      </c>
      <c r="O34" s="15">
        <v>10</v>
      </c>
      <c r="P34" s="15">
        <v>170</v>
      </c>
      <c r="Q34" s="3"/>
    </row>
    <row r="35" spans="1:17" ht="21.75" customHeight="1" x14ac:dyDescent="0.3">
      <c r="A35" s="1">
        <v>17</v>
      </c>
      <c r="B35" s="6" t="s">
        <v>143</v>
      </c>
      <c r="C35" s="7" t="s">
        <v>103</v>
      </c>
      <c r="D35" s="8" t="s">
        <v>104</v>
      </c>
      <c r="E35" s="9" t="s">
        <v>144</v>
      </c>
      <c r="F35" s="9" t="s">
        <v>114</v>
      </c>
      <c r="G35" s="9" t="s">
        <v>145</v>
      </c>
      <c r="H35" s="8" t="s">
        <v>22</v>
      </c>
      <c r="I35" s="8" t="s">
        <v>23</v>
      </c>
      <c r="J35" s="10" t="s">
        <v>146</v>
      </c>
      <c r="K35" s="10" t="s">
        <v>147</v>
      </c>
      <c r="L35" s="10" t="s">
        <v>148</v>
      </c>
      <c r="M35" s="10" t="s">
        <v>71</v>
      </c>
      <c r="N35" s="8" t="s">
        <v>32</v>
      </c>
      <c r="O35" s="10" t="s">
        <v>85</v>
      </c>
      <c r="P35" s="10" t="s">
        <v>116</v>
      </c>
      <c r="Q35" s="11">
        <f>SUM(D36:P36)</f>
        <v>115100</v>
      </c>
    </row>
    <row r="36" spans="1:17" ht="18" customHeight="1" x14ac:dyDescent="0.3">
      <c r="A36" s="1"/>
      <c r="B36" s="12" t="s">
        <v>149</v>
      </c>
      <c r="C36" s="3"/>
      <c r="D36" s="14">
        <v>49500</v>
      </c>
      <c r="E36" s="15">
        <v>390</v>
      </c>
      <c r="F36" s="15">
        <v>320</v>
      </c>
      <c r="G36" s="13">
        <v>1600</v>
      </c>
      <c r="H36" s="14">
        <v>40500</v>
      </c>
      <c r="I36" s="13">
        <v>4400</v>
      </c>
      <c r="J36" s="15">
        <v>390</v>
      </c>
      <c r="K36" s="15">
        <v>20</v>
      </c>
      <c r="L36" s="15">
        <v>20</v>
      </c>
      <c r="M36" s="15">
        <v>390</v>
      </c>
      <c r="N36" s="14">
        <v>12100</v>
      </c>
      <c r="O36" s="14">
        <v>5400</v>
      </c>
      <c r="P36" s="15">
        <v>70</v>
      </c>
      <c r="Q36" s="3"/>
    </row>
    <row r="37" spans="1:17" ht="21.75" customHeight="1" x14ac:dyDescent="0.3">
      <c r="A37" s="1">
        <v>18</v>
      </c>
      <c r="B37" s="6" t="s">
        <v>150</v>
      </c>
      <c r="C37" s="7" t="s">
        <v>103</v>
      </c>
      <c r="D37" s="8" t="s">
        <v>104</v>
      </c>
      <c r="E37" s="9" t="s">
        <v>144</v>
      </c>
      <c r="F37" s="9" t="s">
        <v>114</v>
      </c>
      <c r="G37" s="9" t="s">
        <v>115</v>
      </c>
      <c r="H37" s="8" t="s">
        <v>22</v>
      </c>
      <c r="I37" s="8" t="s">
        <v>23</v>
      </c>
      <c r="J37" s="8" t="s">
        <v>32</v>
      </c>
      <c r="K37" s="10" t="s">
        <v>117</v>
      </c>
      <c r="L37" s="10" t="s">
        <v>60</v>
      </c>
      <c r="M37" s="10" t="s">
        <v>85</v>
      </c>
      <c r="N37" s="10" t="s">
        <v>151</v>
      </c>
      <c r="O37" s="10" t="s">
        <v>33</v>
      </c>
      <c r="P37" s="9" t="s">
        <v>145</v>
      </c>
      <c r="Q37" s="11">
        <f>SUM(D38:P38)</f>
        <v>115400</v>
      </c>
    </row>
    <row r="38" spans="1:17" ht="18" customHeight="1" x14ac:dyDescent="0.3">
      <c r="A38" s="1"/>
      <c r="B38" s="12" t="s">
        <v>152</v>
      </c>
      <c r="C38" s="3"/>
      <c r="D38" s="14">
        <v>49500</v>
      </c>
      <c r="E38" s="15">
        <v>390</v>
      </c>
      <c r="F38" s="15">
        <v>320</v>
      </c>
      <c r="G38" s="15">
        <v>210</v>
      </c>
      <c r="H38" s="14">
        <v>40500</v>
      </c>
      <c r="I38" s="13">
        <v>4400</v>
      </c>
      <c r="J38" s="14">
        <v>12100</v>
      </c>
      <c r="K38" s="15">
        <v>110</v>
      </c>
      <c r="L38" s="15">
        <v>590</v>
      </c>
      <c r="M38" s="14">
        <v>5400</v>
      </c>
      <c r="N38" s="15">
        <v>110</v>
      </c>
      <c r="O38" s="15">
        <v>170</v>
      </c>
      <c r="P38" s="13">
        <v>1600</v>
      </c>
      <c r="Q38" s="3"/>
    </row>
    <row r="39" spans="1:17" ht="21.75" customHeight="1" x14ac:dyDescent="0.3">
      <c r="A39" s="1">
        <v>19</v>
      </c>
      <c r="B39" s="6" t="s">
        <v>153</v>
      </c>
      <c r="C39" s="7" t="s">
        <v>103</v>
      </c>
      <c r="D39" s="8" t="s">
        <v>104</v>
      </c>
      <c r="E39" s="9" t="s">
        <v>154</v>
      </c>
      <c r="F39" s="9" t="s">
        <v>114</v>
      </c>
      <c r="G39" s="9" t="s">
        <v>115</v>
      </c>
      <c r="H39" s="8" t="s">
        <v>22</v>
      </c>
      <c r="I39" s="8" t="s">
        <v>23</v>
      </c>
      <c r="J39" s="10" t="s">
        <v>155</v>
      </c>
      <c r="K39" s="8" t="s">
        <v>32</v>
      </c>
      <c r="L39" s="8" t="s">
        <v>37</v>
      </c>
      <c r="M39" s="10" t="s">
        <v>85</v>
      </c>
      <c r="N39" s="10" t="s">
        <v>60</v>
      </c>
      <c r="O39" s="10" t="s">
        <v>156</v>
      </c>
      <c r="P39" s="10" t="s">
        <v>137</v>
      </c>
      <c r="Q39" s="11">
        <f>SUM(D40:P40)</f>
        <v>119500</v>
      </c>
    </row>
    <row r="40" spans="1:17" ht="18" customHeight="1" x14ac:dyDescent="0.3">
      <c r="A40" s="1"/>
      <c r="B40" s="12" t="s">
        <v>157</v>
      </c>
      <c r="C40" s="3"/>
      <c r="D40" s="14">
        <v>49500</v>
      </c>
      <c r="E40" s="15">
        <v>390</v>
      </c>
      <c r="F40" s="15">
        <v>320</v>
      </c>
      <c r="G40" s="15">
        <v>210</v>
      </c>
      <c r="H40" s="14">
        <v>40500</v>
      </c>
      <c r="I40" s="13">
        <v>4400</v>
      </c>
      <c r="J40" s="13">
        <v>1600</v>
      </c>
      <c r="K40" s="14">
        <v>12100</v>
      </c>
      <c r="L40" s="13">
        <v>2900</v>
      </c>
      <c r="M40" s="14">
        <v>5400</v>
      </c>
      <c r="N40" s="15">
        <v>590</v>
      </c>
      <c r="O40" s="13">
        <v>1000</v>
      </c>
      <c r="P40" s="15">
        <v>590</v>
      </c>
      <c r="Q40" s="3"/>
    </row>
    <row r="42" spans="1:17" ht="14.4" x14ac:dyDescent="0.3">
      <c r="B42" s="16" t="s">
        <v>158</v>
      </c>
    </row>
    <row r="43" spans="1:17" ht="14.4" x14ac:dyDescent="0.3">
      <c r="B43" s="17" t="s">
        <v>159</v>
      </c>
    </row>
    <row r="44" spans="1:17" ht="14.4" x14ac:dyDescent="0.3">
      <c r="B44" s="18" t="s">
        <v>160</v>
      </c>
    </row>
    <row r="45" spans="1:17" ht="14.4" x14ac:dyDescent="0.3">
      <c r="B45" s="19" t="s">
        <v>161</v>
      </c>
    </row>
    <row r="47" spans="1:17" ht="14.4" x14ac:dyDescent="0.3">
      <c r="B47" s="20" t="s">
        <v>162</v>
      </c>
    </row>
    <row r="48" spans="1:17" ht="14.4" x14ac:dyDescent="0.3">
      <c r="B48" s="21" t="s">
        <v>163</v>
      </c>
    </row>
  </sheetData>
  <mergeCells count="19">
    <mergeCell ref="A33:A34"/>
    <mergeCell ref="A35:A36"/>
    <mergeCell ref="A37:A38"/>
    <mergeCell ref="A39:A40"/>
    <mergeCell ref="A23:A24"/>
    <mergeCell ref="A25:A26"/>
    <mergeCell ref="A27:A28"/>
    <mergeCell ref="A29:A30"/>
    <mergeCell ref="A31:A32"/>
    <mergeCell ref="A13:A14"/>
    <mergeCell ref="A15:A16"/>
    <mergeCell ref="A17:A18"/>
    <mergeCell ref="A19:A20"/>
    <mergeCell ref="A21:A22"/>
    <mergeCell ref="A3:A4"/>
    <mergeCell ref="A5:A6"/>
    <mergeCell ref="A7:A8"/>
    <mergeCell ref="A9:A10"/>
    <mergeCell ref="A11:A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
  <sheetViews>
    <sheetView tabSelected="1" zoomScaleNormal="100" workbookViewId="0">
      <pane xSplit="1" ySplit="1" topLeftCell="L5" activePane="bottomRight" state="frozen"/>
      <selection pane="topRight" activeCell="B1" sqref="B1"/>
      <selection pane="bottomLeft" activeCell="A2" sqref="A2"/>
      <selection pane="bottomRight" activeCell="N8" sqref="N8"/>
    </sheetView>
  </sheetViews>
  <sheetFormatPr defaultColWidth="8.6640625" defaultRowHeight="15" customHeight="1" x14ac:dyDescent="0.3"/>
  <cols>
    <col min="1" max="1" width="30" customWidth="1"/>
    <col min="2" max="14" width="22" customWidth="1"/>
  </cols>
  <sheetData>
    <row r="1" spans="1:14" ht="14.4" x14ac:dyDescent="0.3">
      <c r="A1" s="22" t="s">
        <v>1</v>
      </c>
      <c r="B1" s="22" t="s">
        <v>3</v>
      </c>
      <c r="C1" s="22" t="s">
        <v>4</v>
      </c>
      <c r="D1" s="22" t="s">
        <v>5</v>
      </c>
      <c r="E1" s="22" t="s">
        <v>6</v>
      </c>
      <c r="F1" s="22" t="s">
        <v>7</v>
      </c>
      <c r="G1" s="22" t="s">
        <v>8</v>
      </c>
      <c r="H1" s="22" t="s">
        <v>9</v>
      </c>
      <c r="I1" s="22" t="s">
        <v>10</v>
      </c>
      <c r="J1" s="22" t="s">
        <v>11</v>
      </c>
      <c r="K1" s="22" t="s">
        <v>12</v>
      </c>
      <c r="L1" s="22" t="s">
        <v>13</v>
      </c>
      <c r="M1" s="22" t="s">
        <v>14</v>
      </c>
      <c r="N1" s="22" t="s">
        <v>15</v>
      </c>
    </row>
    <row r="2" spans="1:14" ht="21.75" customHeight="1" x14ac:dyDescent="0.3">
      <c r="A2" s="6" t="s">
        <v>164</v>
      </c>
      <c r="B2" s="7" t="s">
        <v>21</v>
      </c>
      <c r="C2" s="7" t="s">
        <v>22</v>
      </c>
      <c r="D2" s="7" t="s">
        <v>23</v>
      </c>
      <c r="E2" s="7" t="s">
        <v>24</v>
      </c>
      <c r="F2" s="7" t="s">
        <v>25</v>
      </c>
      <c r="G2" s="7" t="s">
        <v>26</v>
      </c>
      <c r="H2" s="7" t="s">
        <v>27</v>
      </c>
      <c r="I2" s="7" t="s">
        <v>28</v>
      </c>
      <c r="J2" s="7" t="s">
        <v>29</v>
      </c>
      <c r="K2" s="7" t="s">
        <v>30</v>
      </c>
      <c r="L2" s="7" t="s">
        <v>31</v>
      </c>
      <c r="M2" s="7" t="s">
        <v>32</v>
      </c>
      <c r="N2" s="7" t="s">
        <v>33</v>
      </c>
    </row>
    <row r="3" spans="1:14" ht="21.75" customHeight="1" x14ac:dyDescent="0.3">
      <c r="A3" s="6" t="s">
        <v>165</v>
      </c>
      <c r="B3" s="7" t="s">
        <v>21</v>
      </c>
      <c r="C3" s="7" t="s">
        <v>36</v>
      </c>
      <c r="D3" s="7" t="s">
        <v>28</v>
      </c>
      <c r="E3" s="7" t="s">
        <v>32</v>
      </c>
      <c r="F3" s="7" t="s">
        <v>37</v>
      </c>
      <c r="G3" s="7" t="s">
        <v>38</v>
      </c>
      <c r="H3" s="7" t="s">
        <v>39</v>
      </c>
      <c r="I3" s="7" t="s">
        <v>40</v>
      </c>
      <c r="J3" s="7" t="s">
        <v>41</v>
      </c>
      <c r="K3" s="7" t="s">
        <v>42</v>
      </c>
      <c r="L3" s="7" t="s">
        <v>23</v>
      </c>
      <c r="M3" s="7" t="s">
        <v>43</v>
      </c>
      <c r="N3" s="7" t="s">
        <v>22</v>
      </c>
    </row>
    <row r="4" spans="1:14" ht="21.75" customHeight="1" x14ac:dyDescent="0.3">
      <c r="A4" s="6" t="s">
        <v>166</v>
      </c>
      <c r="B4" s="7" t="s">
        <v>21</v>
      </c>
      <c r="C4" s="7" t="s">
        <v>46</v>
      </c>
      <c r="D4" s="7" t="s">
        <v>47</v>
      </c>
      <c r="E4" s="7" t="s">
        <v>48</v>
      </c>
      <c r="F4" s="7" t="s">
        <v>49</v>
      </c>
      <c r="G4" s="7" t="s">
        <v>50</v>
      </c>
      <c r="H4" s="7" t="s">
        <v>51</v>
      </c>
      <c r="I4" s="7" t="s">
        <v>52</v>
      </c>
      <c r="J4" s="7" t="s">
        <v>53</v>
      </c>
      <c r="K4" s="7" t="s">
        <v>54</v>
      </c>
      <c r="L4" s="7" t="s">
        <v>55</v>
      </c>
      <c r="M4" s="7" t="s">
        <v>56</v>
      </c>
      <c r="N4" s="7" t="s">
        <v>57</v>
      </c>
    </row>
    <row r="5" spans="1:14" ht="21.75" customHeight="1" x14ac:dyDescent="0.3">
      <c r="A5" s="6" t="s">
        <v>167</v>
      </c>
      <c r="B5" s="7" t="s">
        <v>21</v>
      </c>
      <c r="C5" s="7" t="s">
        <v>25</v>
      </c>
      <c r="D5" s="7" t="s">
        <v>37</v>
      </c>
      <c r="E5" s="7" t="s">
        <v>32</v>
      </c>
      <c r="F5" s="7" t="s">
        <v>28</v>
      </c>
      <c r="G5" s="7" t="s">
        <v>29</v>
      </c>
      <c r="H5" s="7" t="s">
        <v>60</v>
      </c>
      <c r="I5" s="7" t="s">
        <v>61</v>
      </c>
      <c r="J5" s="7" t="s">
        <v>62</v>
      </c>
      <c r="K5" s="7" t="s">
        <v>23</v>
      </c>
      <c r="L5" s="7" t="s">
        <v>63</v>
      </c>
      <c r="M5" s="7" t="s">
        <v>22</v>
      </c>
      <c r="N5" s="7" t="s">
        <v>64</v>
      </c>
    </row>
    <row r="6" spans="1:14" ht="21.75" customHeight="1" x14ac:dyDescent="0.3">
      <c r="A6" s="6" t="s">
        <v>168</v>
      </c>
      <c r="B6" s="7" t="s">
        <v>21</v>
      </c>
      <c r="C6" s="7" t="s">
        <v>25</v>
      </c>
      <c r="D6" s="7" t="s">
        <v>67</v>
      </c>
      <c r="E6" s="7" t="s">
        <v>32</v>
      </c>
      <c r="F6" s="7" t="s">
        <v>24</v>
      </c>
      <c r="G6" s="7" t="s">
        <v>27</v>
      </c>
      <c r="H6" s="7" t="s">
        <v>23</v>
      </c>
      <c r="I6" s="7" t="s">
        <v>68</v>
      </c>
      <c r="J6" s="7" t="s">
        <v>69</v>
      </c>
      <c r="K6" s="7" t="s">
        <v>22</v>
      </c>
      <c r="L6" s="7" t="s">
        <v>70</v>
      </c>
      <c r="M6" s="7" t="s">
        <v>71</v>
      </c>
      <c r="N6" s="7" t="s">
        <v>42</v>
      </c>
    </row>
    <row r="7" spans="1:14" ht="21.75" customHeight="1" x14ac:dyDescent="0.3">
      <c r="A7" s="6" t="s">
        <v>169</v>
      </c>
      <c r="B7" s="7" t="s">
        <v>75</v>
      </c>
      <c r="C7" s="7" t="s">
        <v>76</v>
      </c>
      <c r="D7" s="7" t="s">
        <v>28</v>
      </c>
      <c r="E7" s="7" t="s">
        <v>32</v>
      </c>
      <c r="F7" s="7" t="s">
        <v>22</v>
      </c>
      <c r="G7" s="7" t="s">
        <v>38</v>
      </c>
      <c r="H7" s="7" t="s">
        <v>23</v>
      </c>
      <c r="I7" s="7" t="s">
        <v>77</v>
      </c>
      <c r="J7" s="7" t="s">
        <v>37</v>
      </c>
      <c r="K7" s="7" t="s">
        <v>78</v>
      </c>
      <c r="L7" s="7" t="s">
        <v>43</v>
      </c>
      <c r="M7" s="7" t="s">
        <v>79</v>
      </c>
      <c r="N7" s="7" t="s">
        <v>80</v>
      </c>
    </row>
    <row r="8" spans="1:14" s="32" customFormat="1" ht="21.75" customHeight="1" x14ac:dyDescent="0.3">
      <c r="A8" s="6" t="s">
        <v>170</v>
      </c>
      <c r="B8" s="6" t="s">
        <v>75</v>
      </c>
      <c r="C8" s="6" t="s">
        <v>83</v>
      </c>
      <c r="D8" s="6" t="s">
        <v>22</v>
      </c>
      <c r="E8" s="6" t="s">
        <v>23</v>
      </c>
      <c r="F8" s="6" t="s">
        <v>84</v>
      </c>
      <c r="G8" s="6" t="s">
        <v>28</v>
      </c>
      <c r="H8" s="6" t="s">
        <v>32</v>
      </c>
      <c r="I8" s="6" t="s">
        <v>85</v>
      </c>
      <c r="J8" s="6" t="s">
        <v>71</v>
      </c>
      <c r="K8" s="6" t="s">
        <v>78</v>
      </c>
      <c r="L8" s="6" t="s">
        <v>31</v>
      </c>
      <c r="M8" s="6" t="s">
        <v>80</v>
      </c>
      <c r="N8" s="6" t="s">
        <v>29</v>
      </c>
    </row>
    <row r="9" spans="1:14" ht="21.75" customHeight="1" x14ac:dyDescent="0.3">
      <c r="A9" s="6" t="s">
        <v>171</v>
      </c>
      <c r="B9" s="7" t="s">
        <v>88</v>
      </c>
      <c r="C9" s="7" t="s">
        <v>89</v>
      </c>
      <c r="D9" s="7" t="s">
        <v>50</v>
      </c>
      <c r="E9" s="7" t="s">
        <v>80</v>
      </c>
      <c r="F9" s="7" t="s">
        <v>49</v>
      </c>
      <c r="G9" s="7" t="s">
        <v>48</v>
      </c>
      <c r="H9" s="7" t="s">
        <v>51</v>
      </c>
      <c r="I9" s="7" t="s">
        <v>56</v>
      </c>
      <c r="J9" s="7" t="s">
        <v>54</v>
      </c>
      <c r="K9" s="7" t="s">
        <v>90</v>
      </c>
      <c r="L9" s="7" t="s">
        <v>91</v>
      </c>
      <c r="M9" s="7" t="s">
        <v>22</v>
      </c>
      <c r="N9" s="7" t="s">
        <v>57</v>
      </c>
    </row>
    <row r="10" spans="1:14" ht="21.75" customHeight="1" x14ac:dyDescent="0.3">
      <c r="A10" s="6" t="s">
        <v>172</v>
      </c>
      <c r="B10" s="7" t="s">
        <v>75</v>
      </c>
      <c r="C10" s="7" t="s">
        <v>83</v>
      </c>
      <c r="D10" s="7" t="s">
        <v>28</v>
      </c>
      <c r="E10" s="7" t="s">
        <v>32</v>
      </c>
      <c r="F10" s="7" t="s">
        <v>22</v>
      </c>
      <c r="G10" s="7" t="s">
        <v>23</v>
      </c>
      <c r="H10" s="7" t="s">
        <v>29</v>
      </c>
      <c r="I10" s="7" t="s">
        <v>60</v>
      </c>
      <c r="J10" s="7" t="s">
        <v>63</v>
      </c>
      <c r="K10" s="7" t="s">
        <v>80</v>
      </c>
      <c r="L10" s="7" t="s">
        <v>94</v>
      </c>
      <c r="M10" s="7" t="s">
        <v>85</v>
      </c>
      <c r="N10" s="7" t="s">
        <v>95</v>
      </c>
    </row>
    <row r="11" spans="1:14" ht="21.75" customHeight="1" x14ac:dyDescent="0.3">
      <c r="A11" s="6" t="s">
        <v>173</v>
      </c>
      <c r="B11" s="7" t="s">
        <v>88</v>
      </c>
      <c r="C11" s="7" t="s">
        <v>49</v>
      </c>
      <c r="D11" s="7" t="s">
        <v>89</v>
      </c>
      <c r="E11" s="7" t="s">
        <v>80</v>
      </c>
      <c r="F11" s="7" t="s">
        <v>50</v>
      </c>
      <c r="G11" s="7" t="s">
        <v>22</v>
      </c>
      <c r="H11" s="7" t="s">
        <v>54</v>
      </c>
      <c r="I11" s="7" t="s">
        <v>56</v>
      </c>
      <c r="J11" s="7" t="s">
        <v>98</v>
      </c>
      <c r="K11" s="7" t="s">
        <v>51</v>
      </c>
      <c r="L11" s="7" t="s">
        <v>99</v>
      </c>
      <c r="M11" s="7" t="s">
        <v>48</v>
      </c>
      <c r="N11" s="7" t="s">
        <v>100</v>
      </c>
    </row>
    <row r="12" spans="1:14" ht="21.75" customHeight="1" x14ac:dyDescent="0.3">
      <c r="A12" s="6" t="s">
        <v>174</v>
      </c>
      <c r="B12" s="7" t="s">
        <v>104</v>
      </c>
      <c r="C12" s="7" t="s">
        <v>105</v>
      </c>
      <c r="D12" s="7" t="s">
        <v>106</v>
      </c>
      <c r="E12" s="7" t="s">
        <v>49</v>
      </c>
      <c r="F12" s="7" t="s">
        <v>50</v>
      </c>
      <c r="G12" s="7" t="s">
        <v>22</v>
      </c>
      <c r="H12" s="7" t="s">
        <v>107</v>
      </c>
      <c r="I12" s="7" t="s">
        <v>56</v>
      </c>
      <c r="J12" s="7" t="s">
        <v>51</v>
      </c>
      <c r="K12" s="7" t="s">
        <v>108</v>
      </c>
      <c r="L12" s="7" t="s">
        <v>48</v>
      </c>
      <c r="M12" s="7" t="s">
        <v>109</v>
      </c>
      <c r="N12" s="7" t="s">
        <v>110</v>
      </c>
    </row>
    <row r="13" spans="1:14" ht="21.75" customHeight="1" x14ac:dyDescent="0.3">
      <c r="A13" s="6" t="s">
        <v>175</v>
      </c>
      <c r="B13" s="7" t="s">
        <v>104</v>
      </c>
      <c r="C13" s="7" t="s">
        <v>113</v>
      </c>
      <c r="D13" s="7" t="s">
        <v>114</v>
      </c>
      <c r="E13" s="7" t="s">
        <v>115</v>
      </c>
      <c r="F13" s="7" t="s">
        <v>22</v>
      </c>
      <c r="G13" s="7" t="s">
        <v>23</v>
      </c>
      <c r="H13" s="7" t="s">
        <v>32</v>
      </c>
      <c r="I13" s="7" t="s">
        <v>116</v>
      </c>
      <c r="J13" s="7" t="s">
        <v>85</v>
      </c>
      <c r="K13" s="7" t="s">
        <v>117</v>
      </c>
      <c r="L13" s="7" t="s">
        <v>118</v>
      </c>
      <c r="M13" s="7" t="s">
        <v>29</v>
      </c>
      <c r="N13" s="7" t="s">
        <v>33</v>
      </c>
    </row>
    <row r="14" spans="1:14" ht="21.75" customHeight="1" x14ac:dyDescent="0.3">
      <c r="A14" s="6" t="s">
        <v>176</v>
      </c>
      <c r="B14" s="7" t="s">
        <v>104</v>
      </c>
      <c r="C14" s="7" t="s">
        <v>115</v>
      </c>
      <c r="D14" s="7" t="s">
        <v>114</v>
      </c>
      <c r="E14" s="7" t="s">
        <v>32</v>
      </c>
      <c r="F14" s="7" t="s">
        <v>23</v>
      </c>
      <c r="G14" s="7" t="s">
        <v>22</v>
      </c>
      <c r="H14" s="7" t="s">
        <v>121</v>
      </c>
      <c r="I14" s="7" t="s">
        <v>122</v>
      </c>
      <c r="J14" s="7" t="s">
        <v>117</v>
      </c>
      <c r="K14" s="7" t="s">
        <v>123</v>
      </c>
      <c r="L14" s="7" t="s">
        <v>37</v>
      </c>
      <c r="M14" s="7" t="s">
        <v>124</v>
      </c>
      <c r="N14" s="7" t="s">
        <v>63</v>
      </c>
    </row>
    <row r="15" spans="1:14" s="31" customFormat="1" ht="21.75" customHeight="1" x14ac:dyDescent="0.3">
      <c r="A15" s="29" t="s">
        <v>177</v>
      </c>
      <c r="B15" s="30" t="s">
        <v>104</v>
      </c>
      <c r="C15" s="30" t="s">
        <v>127</v>
      </c>
      <c r="D15" s="30" t="s">
        <v>115</v>
      </c>
      <c r="E15" s="30" t="s">
        <v>114</v>
      </c>
      <c r="F15" s="30" t="s">
        <v>22</v>
      </c>
      <c r="G15" s="30" t="s">
        <v>23</v>
      </c>
      <c r="H15" s="30" t="s">
        <v>32</v>
      </c>
      <c r="I15" s="30" t="s">
        <v>38</v>
      </c>
      <c r="J15" s="30" t="s">
        <v>116</v>
      </c>
      <c r="K15" s="30" t="s">
        <v>43</v>
      </c>
      <c r="L15" s="30" t="s">
        <v>37</v>
      </c>
      <c r="M15" s="30" t="s">
        <v>128</v>
      </c>
      <c r="N15" s="30" t="s">
        <v>129</v>
      </c>
    </row>
    <row r="16" spans="1:14" ht="21.75" customHeight="1" x14ac:dyDescent="0.3">
      <c r="A16" s="6" t="s">
        <v>178</v>
      </c>
      <c r="B16" s="7" t="s">
        <v>104</v>
      </c>
      <c r="C16" s="7" t="s">
        <v>132</v>
      </c>
      <c r="D16" s="7" t="s">
        <v>106</v>
      </c>
      <c r="E16" s="7" t="s">
        <v>22</v>
      </c>
      <c r="F16" s="7" t="s">
        <v>107</v>
      </c>
      <c r="G16" s="7" t="s">
        <v>133</v>
      </c>
      <c r="H16" s="7" t="s">
        <v>50</v>
      </c>
      <c r="I16" s="7" t="s">
        <v>134</v>
      </c>
      <c r="J16" s="7" t="s">
        <v>135</v>
      </c>
      <c r="K16" s="7" t="s">
        <v>51</v>
      </c>
      <c r="L16" s="7" t="s">
        <v>37</v>
      </c>
      <c r="M16" s="7" t="s">
        <v>136</v>
      </c>
      <c r="N16" s="7" t="s">
        <v>137</v>
      </c>
    </row>
    <row r="17" spans="1:14" ht="21.75" customHeight="1" x14ac:dyDescent="0.3">
      <c r="A17" s="6" t="s">
        <v>179</v>
      </c>
      <c r="B17" s="7" t="s">
        <v>104</v>
      </c>
      <c r="C17" s="7" t="s">
        <v>113</v>
      </c>
      <c r="D17" s="7" t="s">
        <v>114</v>
      </c>
      <c r="E17" s="7" t="s">
        <v>22</v>
      </c>
      <c r="F17" s="7" t="s">
        <v>23</v>
      </c>
      <c r="G17" s="7" t="s">
        <v>115</v>
      </c>
      <c r="H17" s="7" t="s">
        <v>140</v>
      </c>
      <c r="I17" s="7" t="s">
        <v>85</v>
      </c>
      <c r="J17" s="7" t="s">
        <v>29</v>
      </c>
      <c r="K17" s="7" t="s">
        <v>63</v>
      </c>
      <c r="L17" s="7" t="s">
        <v>32</v>
      </c>
      <c r="M17" s="7" t="s">
        <v>141</v>
      </c>
      <c r="N17" s="7" t="s">
        <v>33</v>
      </c>
    </row>
    <row r="18" spans="1:14" ht="21.75" customHeight="1" x14ac:dyDescent="0.3">
      <c r="A18" s="6" t="s">
        <v>180</v>
      </c>
      <c r="B18" s="7" t="s">
        <v>104</v>
      </c>
      <c r="C18" s="7" t="s">
        <v>144</v>
      </c>
      <c r="D18" s="7" t="s">
        <v>114</v>
      </c>
      <c r="E18" s="7" t="s">
        <v>145</v>
      </c>
      <c r="F18" s="7" t="s">
        <v>22</v>
      </c>
      <c r="G18" s="7" t="s">
        <v>23</v>
      </c>
      <c r="H18" s="7" t="s">
        <v>146</v>
      </c>
      <c r="I18" s="7" t="s">
        <v>147</v>
      </c>
      <c r="J18" s="7" t="s">
        <v>148</v>
      </c>
      <c r="K18" s="7" t="s">
        <v>71</v>
      </c>
      <c r="L18" s="7" t="s">
        <v>32</v>
      </c>
      <c r="M18" s="7" t="s">
        <v>85</v>
      </c>
      <c r="N18" s="7" t="s">
        <v>116</v>
      </c>
    </row>
    <row r="19" spans="1:14" ht="21.75" customHeight="1" x14ac:dyDescent="0.3">
      <c r="A19" s="6" t="s">
        <v>181</v>
      </c>
      <c r="B19" s="7" t="s">
        <v>104</v>
      </c>
      <c r="C19" s="7" t="s">
        <v>144</v>
      </c>
      <c r="D19" s="7" t="s">
        <v>114</v>
      </c>
      <c r="E19" s="7" t="s">
        <v>115</v>
      </c>
      <c r="F19" s="7" t="s">
        <v>22</v>
      </c>
      <c r="G19" s="7" t="s">
        <v>23</v>
      </c>
      <c r="H19" s="7" t="s">
        <v>32</v>
      </c>
      <c r="I19" s="7" t="s">
        <v>117</v>
      </c>
      <c r="J19" s="7" t="s">
        <v>60</v>
      </c>
      <c r="K19" s="7" t="s">
        <v>85</v>
      </c>
      <c r="L19" s="7" t="s">
        <v>151</v>
      </c>
      <c r="M19" s="7" t="s">
        <v>33</v>
      </c>
      <c r="N19" s="7" t="s">
        <v>145</v>
      </c>
    </row>
    <row r="20" spans="1:14" ht="21.75" customHeight="1" x14ac:dyDescent="0.3">
      <c r="A20" s="6" t="s">
        <v>182</v>
      </c>
      <c r="B20" s="7" t="s">
        <v>104</v>
      </c>
      <c r="C20" s="7" t="s">
        <v>154</v>
      </c>
      <c r="D20" s="7" t="s">
        <v>114</v>
      </c>
      <c r="E20" s="7" t="s">
        <v>115</v>
      </c>
      <c r="F20" s="7" t="s">
        <v>22</v>
      </c>
      <c r="G20" s="7" t="s">
        <v>23</v>
      </c>
      <c r="H20" s="7" t="s">
        <v>155</v>
      </c>
      <c r="I20" s="7" t="s">
        <v>32</v>
      </c>
      <c r="J20" s="7" t="s">
        <v>37</v>
      </c>
      <c r="K20" s="7" t="s">
        <v>85</v>
      </c>
      <c r="L20" s="7" t="s">
        <v>60</v>
      </c>
      <c r="M20" s="7" t="s">
        <v>156</v>
      </c>
      <c r="N20" s="7" t="s">
        <v>137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9"/>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5" customHeight="1" x14ac:dyDescent="0.3"/>
  <cols>
    <col min="1" max="1" width="22" customWidth="1"/>
    <col min="2" max="2" width="12" customWidth="1"/>
    <col min="3" max="3" width="10" customWidth="1"/>
    <col min="4" max="4" width="60" customWidth="1"/>
    <col min="5" max="5" width="12" customWidth="1"/>
  </cols>
  <sheetData>
    <row r="1" spans="1:5" ht="27" x14ac:dyDescent="0.3">
      <c r="A1" s="23" t="s">
        <v>183</v>
      </c>
      <c r="B1" s="23" t="s">
        <v>184</v>
      </c>
      <c r="C1" s="23" t="s">
        <v>185</v>
      </c>
      <c r="D1" s="23" t="s">
        <v>186</v>
      </c>
      <c r="E1" s="23" t="s">
        <v>187</v>
      </c>
    </row>
    <row r="2" spans="1:5" ht="21.75" customHeight="1" x14ac:dyDescent="0.3">
      <c r="A2" s="6" t="s">
        <v>104</v>
      </c>
      <c r="B2" s="11">
        <v>49500</v>
      </c>
      <c r="C2" s="24">
        <v>9</v>
      </c>
      <c r="D2" s="25" t="s">
        <v>188</v>
      </c>
      <c r="E2" s="26" t="s">
        <v>189</v>
      </c>
    </row>
    <row r="3" spans="1:5" ht="21.75" customHeight="1" x14ac:dyDescent="0.3">
      <c r="A3" s="6" t="s">
        <v>22</v>
      </c>
      <c r="B3" s="11">
        <v>40500</v>
      </c>
      <c r="C3" s="24">
        <v>18</v>
      </c>
      <c r="D3" s="25" t="s">
        <v>190</v>
      </c>
      <c r="E3" s="26" t="s">
        <v>189</v>
      </c>
    </row>
    <row r="4" spans="1:5" ht="21.75" customHeight="1" x14ac:dyDescent="0.3">
      <c r="A4" s="6" t="s">
        <v>109</v>
      </c>
      <c r="B4" s="11">
        <v>27100</v>
      </c>
      <c r="C4" s="24">
        <v>1</v>
      </c>
      <c r="D4" s="25" t="s">
        <v>102</v>
      </c>
      <c r="E4" s="26" t="s">
        <v>189</v>
      </c>
    </row>
    <row r="5" spans="1:5" ht="21.75" customHeight="1" x14ac:dyDescent="0.3">
      <c r="A5" s="6" t="s">
        <v>32</v>
      </c>
      <c r="B5" s="11">
        <v>12100</v>
      </c>
      <c r="C5" s="24">
        <v>14</v>
      </c>
      <c r="D5" s="25" t="s">
        <v>191</v>
      </c>
      <c r="E5" s="26" t="s">
        <v>189</v>
      </c>
    </row>
    <row r="6" spans="1:5" ht="21.75" customHeight="1" x14ac:dyDescent="0.3">
      <c r="A6" s="6" t="s">
        <v>54</v>
      </c>
      <c r="B6" s="11">
        <v>9900</v>
      </c>
      <c r="C6" s="24">
        <v>3</v>
      </c>
      <c r="D6" s="25" t="s">
        <v>192</v>
      </c>
      <c r="E6" s="26" t="s">
        <v>189</v>
      </c>
    </row>
    <row r="7" spans="1:5" ht="21.75" customHeight="1" x14ac:dyDescent="0.3">
      <c r="A7" s="6" t="s">
        <v>85</v>
      </c>
      <c r="B7" s="11">
        <v>5400</v>
      </c>
      <c r="C7" s="24">
        <v>7</v>
      </c>
      <c r="D7" s="25" t="s">
        <v>193</v>
      </c>
      <c r="E7" s="10" t="s">
        <v>194</v>
      </c>
    </row>
    <row r="8" spans="1:5" ht="21.75" customHeight="1" x14ac:dyDescent="0.3">
      <c r="A8" s="6" t="s">
        <v>132</v>
      </c>
      <c r="B8" s="11">
        <v>5400</v>
      </c>
      <c r="C8" s="24">
        <v>1</v>
      </c>
      <c r="D8" s="25" t="s">
        <v>131</v>
      </c>
      <c r="E8" s="27" t="s">
        <v>195</v>
      </c>
    </row>
    <row r="9" spans="1:5" ht="21.75" customHeight="1" x14ac:dyDescent="0.3">
      <c r="A9" s="6" t="s">
        <v>23</v>
      </c>
      <c r="B9" s="28">
        <v>4400</v>
      </c>
      <c r="C9" s="24">
        <v>14</v>
      </c>
      <c r="D9" s="25" t="s">
        <v>191</v>
      </c>
      <c r="E9" s="26" t="s">
        <v>189</v>
      </c>
    </row>
    <row r="10" spans="1:5" ht="21.75" customHeight="1" x14ac:dyDescent="0.3">
      <c r="A10" s="6" t="s">
        <v>57</v>
      </c>
      <c r="B10" s="28">
        <v>4400</v>
      </c>
      <c r="C10" s="24">
        <v>2</v>
      </c>
      <c r="D10" s="25" t="s">
        <v>196</v>
      </c>
      <c r="E10" s="26" t="s">
        <v>189</v>
      </c>
    </row>
    <row r="11" spans="1:5" ht="21.75" customHeight="1" x14ac:dyDescent="0.3">
      <c r="A11" s="6" t="s">
        <v>37</v>
      </c>
      <c r="B11" s="28">
        <v>2900</v>
      </c>
      <c r="C11" s="24">
        <v>7</v>
      </c>
      <c r="D11" s="25" t="s">
        <v>197</v>
      </c>
      <c r="E11" s="26" t="s">
        <v>189</v>
      </c>
    </row>
    <row r="12" spans="1:5" ht="21.75" customHeight="1" x14ac:dyDescent="0.3">
      <c r="A12" s="6" t="s">
        <v>21</v>
      </c>
      <c r="B12" s="28">
        <v>2900</v>
      </c>
      <c r="C12" s="24">
        <v>5</v>
      </c>
      <c r="D12" s="25" t="s">
        <v>198</v>
      </c>
      <c r="E12" s="26" t="s">
        <v>189</v>
      </c>
    </row>
    <row r="13" spans="1:5" ht="21.75" customHeight="1" x14ac:dyDescent="0.3">
      <c r="A13" s="6" t="s">
        <v>50</v>
      </c>
      <c r="B13" s="28">
        <v>1900</v>
      </c>
      <c r="C13" s="24">
        <v>5</v>
      </c>
      <c r="D13" s="25" t="s">
        <v>199</v>
      </c>
      <c r="E13" s="10" t="s">
        <v>194</v>
      </c>
    </row>
    <row r="14" spans="1:5" ht="21.75" customHeight="1" x14ac:dyDescent="0.3">
      <c r="A14" s="6" t="s">
        <v>107</v>
      </c>
      <c r="B14" s="28">
        <v>1600</v>
      </c>
      <c r="C14" s="24">
        <v>2</v>
      </c>
      <c r="D14" s="25" t="s">
        <v>200</v>
      </c>
      <c r="E14" s="26" t="s">
        <v>189</v>
      </c>
    </row>
    <row r="15" spans="1:5" ht="21.75" customHeight="1" x14ac:dyDescent="0.3">
      <c r="A15" s="6" t="s">
        <v>145</v>
      </c>
      <c r="B15" s="28">
        <v>1600</v>
      </c>
      <c r="C15" s="24">
        <v>2</v>
      </c>
      <c r="D15" s="25" t="s">
        <v>201</v>
      </c>
      <c r="E15" s="27" t="s">
        <v>195</v>
      </c>
    </row>
    <row r="16" spans="1:5" ht="21.75" customHeight="1" x14ac:dyDescent="0.3">
      <c r="A16" s="6" t="s">
        <v>155</v>
      </c>
      <c r="B16" s="28">
        <v>1600</v>
      </c>
      <c r="C16" s="24">
        <v>1</v>
      </c>
      <c r="D16" s="25" t="s">
        <v>153</v>
      </c>
      <c r="E16" s="10" t="s">
        <v>194</v>
      </c>
    </row>
    <row r="17" spans="1:5" ht="21.75" customHeight="1" x14ac:dyDescent="0.3">
      <c r="A17" s="6" t="s">
        <v>80</v>
      </c>
      <c r="B17" s="28">
        <v>1300</v>
      </c>
      <c r="C17" s="24">
        <v>5</v>
      </c>
      <c r="D17" s="25" t="s">
        <v>202</v>
      </c>
      <c r="E17" s="26" t="s">
        <v>189</v>
      </c>
    </row>
    <row r="18" spans="1:5" ht="21.75" customHeight="1" x14ac:dyDescent="0.3">
      <c r="A18" s="6" t="s">
        <v>46</v>
      </c>
      <c r="B18" s="28">
        <v>1300</v>
      </c>
      <c r="C18" s="24">
        <v>1</v>
      </c>
      <c r="D18" s="25" t="s">
        <v>45</v>
      </c>
      <c r="E18" s="27" t="s">
        <v>195</v>
      </c>
    </row>
    <row r="19" spans="1:5" ht="21.75" customHeight="1" x14ac:dyDescent="0.3">
      <c r="A19" s="6" t="s">
        <v>105</v>
      </c>
      <c r="B19" s="28">
        <v>1300</v>
      </c>
      <c r="C19" s="24">
        <v>1</v>
      </c>
      <c r="D19" s="25" t="s">
        <v>102</v>
      </c>
      <c r="E19" s="27" t="s">
        <v>195</v>
      </c>
    </row>
    <row r="20" spans="1:5" ht="21.75" customHeight="1" x14ac:dyDescent="0.3">
      <c r="A20" s="6" t="s">
        <v>156</v>
      </c>
      <c r="B20" s="28">
        <v>1000</v>
      </c>
      <c r="C20" s="24">
        <v>1</v>
      </c>
      <c r="D20" s="25" t="s">
        <v>153</v>
      </c>
      <c r="E20" s="10" t="s">
        <v>194</v>
      </c>
    </row>
    <row r="21" spans="1:5" ht="21.75" customHeight="1" x14ac:dyDescent="0.3">
      <c r="A21" s="6" t="s">
        <v>28</v>
      </c>
      <c r="B21" s="28">
        <v>720</v>
      </c>
      <c r="C21" s="24">
        <v>6</v>
      </c>
      <c r="D21" s="25" t="s">
        <v>203</v>
      </c>
      <c r="E21" s="10" t="s">
        <v>194</v>
      </c>
    </row>
    <row r="22" spans="1:5" ht="21.75" customHeight="1" x14ac:dyDescent="0.3">
      <c r="A22" s="6" t="s">
        <v>60</v>
      </c>
      <c r="B22" s="28">
        <v>590</v>
      </c>
      <c r="C22" s="24">
        <v>4</v>
      </c>
      <c r="D22" s="25" t="s">
        <v>204</v>
      </c>
      <c r="E22" s="10" t="s">
        <v>194</v>
      </c>
    </row>
    <row r="23" spans="1:5" ht="21.75" customHeight="1" x14ac:dyDescent="0.3">
      <c r="A23" s="6" t="s">
        <v>38</v>
      </c>
      <c r="B23" s="28">
        <v>590</v>
      </c>
      <c r="C23" s="24">
        <v>3</v>
      </c>
      <c r="D23" s="25" t="s">
        <v>205</v>
      </c>
      <c r="E23" s="10" t="s">
        <v>194</v>
      </c>
    </row>
    <row r="24" spans="1:5" ht="21.75" customHeight="1" x14ac:dyDescent="0.3">
      <c r="A24" s="6" t="s">
        <v>137</v>
      </c>
      <c r="B24" s="28">
        <v>590</v>
      </c>
      <c r="C24" s="24">
        <v>2</v>
      </c>
      <c r="D24" s="25" t="s">
        <v>206</v>
      </c>
      <c r="E24" s="10" t="s">
        <v>194</v>
      </c>
    </row>
    <row r="25" spans="1:5" ht="21.75" customHeight="1" x14ac:dyDescent="0.3">
      <c r="A25" s="6" t="s">
        <v>63</v>
      </c>
      <c r="B25" s="28">
        <v>480</v>
      </c>
      <c r="C25" s="24">
        <v>4</v>
      </c>
      <c r="D25" s="25" t="s">
        <v>207</v>
      </c>
      <c r="E25" s="10" t="s">
        <v>194</v>
      </c>
    </row>
    <row r="26" spans="1:5" ht="21.75" customHeight="1" x14ac:dyDescent="0.3">
      <c r="A26" s="6" t="s">
        <v>26</v>
      </c>
      <c r="B26" s="28">
        <v>480</v>
      </c>
      <c r="C26" s="24">
        <v>1</v>
      </c>
      <c r="D26" s="25" t="s">
        <v>19</v>
      </c>
      <c r="E26" s="27" t="s">
        <v>195</v>
      </c>
    </row>
    <row r="27" spans="1:5" ht="21.75" customHeight="1" x14ac:dyDescent="0.3">
      <c r="A27" s="6" t="s">
        <v>133</v>
      </c>
      <c r="B27" s="28">
        <v>480</v>
      </c>
      <c r="C27" s="24">
        <v>1</v>
      </c>
      <c r="D27" s="25" t="s">
        <v>131</v>
      </c>
      <c r="E27" s="10" t="s">
        <v>194</v>
      </c>
    </row>
    <row r="28" spans="1:5" ht="21.75" customHeight="1" x14ac:dyDescent="0.3">
      <c r="A28" s="6" t="s">
        <v>71</v>
      </c>
      <c r="B28" s="28">
        <v>390</v>
      </c>
      <c r="C28" s="24">
        <v>3</v>
      </c>
      <c r="D28" s="25" t="s">
        <v>208</v>
      </c>
      <c r="E28" s="10" t="s">
        <v>194</v>
      </c>
    </row>
    <row r="29" spans="1:5" ht="21.75" customHeight="1" x14ac:dyDescent="0.3">
      <c r="A29" s="6" t="s">
        <v>113</v>
      </c>
      <c r="B29" s="28">
        <v>390</v>
      </c>
      <c r="C29" s="24">
        <v>2</v>
      </c>
      <c r="D29" s="25" t="s">
        <v>209</v>
      </c>
      <c r="E29" s="27" t="s">
        <v>195</v>
      </c>
    </row>
    <row r="30" spans="1:5" ht="21.75" customHeight="1" x14ac:dyDescent="0.3">
      <c r="A30" s="6" t="s">
        <v>144</v>
      </c>
      <c r="B30" s="28">
        <v>390</v>
      </c>
      <c r="C30" s="24">
        <v>2</v>
      </c>
      <c r="D30" s="25" t="s">
        <v>201</v>
      </c>
      <c r="E30" s="27" t="s">
        <v>195</v>
      </c>
    </row>
    <row r="31" spans="1:5" ht="21.75" customHeight="1" x14ac:dyDescent="0.3">
      <c r="A31" s="6" t="s">
        <v>146</v>
      </c>
      <c r="B31" s="28">
        <v>390</v>
      </c>
      <c r="C31" s="24">
        <v>1</v>
      </c>
      <c r="D31" s="25" t="s">
        <v>143</v>
      </c>
      <c r="E31" s="10" t="s">
        <v>194</v>
      </c>
    </row>
    <row r="32" spans="1:5" ht="21.75" customHeight="1" x14ac:dyDescent="0.3">
      <c r="A32" s="6" t="s">
        <v>154</v>
      </c>
      <c r="B32" s="28">
        <v>390</v>
      </c>
      <c r="C32" s="24">
        <v>1</v>
      </c>
      <c r="D32" s="25" t="s">
        <v>153</v>
      </c>
      <c r="E32" s="27" t="s">
        <v>195</v>
      </c>
    </row>
    <row r="33" spans="1:5" ht="21.75" customHeight="1" x14ac:dyDescent="0.3">
      <c r="A33" s="6" t="s">
        <v>114</v>
      </c>
      <c r="B33" s="28">
        <v>320</v>
      </c>
      <c r="C33" s="24">
        <v>7</v>
      </c>
      <c r="D33" s="25" t="s">
        <v>210</v>
      </c>
      <c r="E33" s="27" t="s">
        <v>195</v>
      </c>
    </row>
    <row r="34" spans="1:5" ht="21.75" customHeight="1" x14ac:dyDescent="0.3">
      <c r="A34" s="6" t="s">
        <v>51</v>
      </c>
      <c r="B34" s="28">
        <v>320</v>
      </c>
      <c r="C34" s="24">
        <v>5</v>
      </c>
      <c r="D34" s="25" t="s">
        <v>199</v>
      </c>
      <c r="E34" s="10" t="s">
        <v>194</v>
      </c>
    </row>
    <row r="35" spans="1:5" ht="21.75" customHeight="1" x14ac:dyDescent="0.3">
      <c r="A35" s="6" t="s">
        <v>42</v>
      </c>
      <c r="B35" s="28">
        <v>320</v>
      </c>
      <c r="C35" s="24">
        <v>2</v>
      </c>
      <c r="D35" s="25" t="s">
        <v>211</v>
      </c>
      <c r="E35" s="10" t="s">
        <v>194</v>
      </c>
    </row>
    <row r="36" spans="1:5" ht="21.75" customHeight="1" x14ac:dyDescent="0.3">
      <c r="A36" s="6" t="s">
        <v>127</v>
      </c>
      <c r="B36" s="28">
        <v>320</v>
      </c>
      <c r="C36" s="24">
        <v>1</v>
      </c>
      <c r="D36" s="25" t="s">
        <v>126</v>
      </c>
      <c r="E36" s="27" t="s">
        <v>195</v>
      </c>
    </row>
    <row r="37" spans="1:5" ht="21.75" customHeight="1" x14ac:dyDescent="0.3">
      <c r="A37" s="6" t="s">
        <v>49</v>
      </c>
      <c r="B37" s="28">
        <v>260</v>
      </c>
      <c r="C37" s="24">
        <v>4</v>
      </c>
      <c r="D37" s="25" t="s">
        <v>212</v>
      </c>
      <c r="E37" s="10" t="s">
        <v>194</v>
      </c>
    </row>
    <row r="38" spans="1:5" ht="21.75" customHeight="1" x14ac:dyDescent="0.3">
      <c r="A38" s="6" t="s">
        <v>43</v>
      </c>
      <c r="B38" s="28">
        <v>260</v>
      </c>
      <c r="C38" s="24">
        <v>3</v>
      </c>
      <c r="D38" s="25" t="s">
        <v>205</v>
      </c>
      <c r="E38" s="10" t="s">
        <v>194</v>
      </c>
    </row>
    <row r="39" spans="1:5" ht="21.75" customHeight="1" x14ac:dyDescent="0.3">
      <c r="A39" s="6" t="s">
        <v>75</v>
      </c>
      <c r="B39" s="28">
        <v>260</v>
      </c>
      <c r="C39" s="24">
        <v>3</v>
      </c>
      <c r="D39" s="25" t="s">
        <v>213</v>
      </c>
      <c r="E39" s="27" t="s">
        <v>195</v>
      </c>
    </row>
    <row r="40" spans="1:5" ht="21.75" customHeight="1" x14ac:dyDescent="0.3">
      <c r="A40" s="6" t="s">
        <v>88</v>
      </c>
      <c r="B40" s="28">
        <v>260</v>
      </c>
      <c r="C40" s="24">
        <v>2</v>
      </c>
      <c r="D40" s="25" t="s">
        <v>214</v>
      </c>
      <c r="E40" s="27" t="s">
        <v>195</v>
      </c>
    </row>
    <row r="41" spans="1:5" ht="21.75" customHeight="1" x14ac:dyDescent="0.3">
      <c r="A41" s="6" t="s">
        <v>36</v>
      </c>
      <c r="B41" s="28">
        <v>260</v>
      </c>
      <c r="C41" s="24">
        <v>1</v>
      </c>
      <c r="D41" s="25" t="s">
        <v>35</v>
      </c>
      <c r="E41" s="27" t="s">
        <v>195</v>
      </c>
    </row>
    <row r="42" spans="1:5" ht="21.75" customHeight="1" x14ac:dyDescent="0.3">
      <c r="A42" s="6" t="s">
        <v>115</v>
      </c>
      <c r="B42" s="28">
        <v>210</v>
      </c>
      <c r="C42" s="24">
        <v>6</v>
      </c>
      <c r="D42" s="25" t="s">
        <v>215</v>
      </c>
      <c r="E42" s="27" t="s">
        <v>195</v>
      </c>
    </row>
    <row r="43" spans="1:5" ht="21.75" customHeight="1" x14ac:dyDescent="0.3">
      <c r="A43" s="6" t="s">
        <v>56</v>
      </c>
      <c r="B43" s="28">
        <v>210</v>
      </c>
      <c r="C43" s="24">
        <v>4</v>
      </c>
      <c r="D43" s="25" t="s">
        <v>212</v>
      </c>
      <c r="E43" s="10" t="s">
        <v>194</v>
      </c>
    </row>
    <row r="44" spans="1:5" ht="21.75" customHeight="1" x14ac:dyDescent="0.3">
      <c r="A44" s="6" t="s">
        <v>25</v>
      </c>
      <c r="B44" s="28">
        <v>210</v>
      </c>
      <c r="C44" s="24">
        <v>3</v>
      </c>
      <c r="D44" s="25" t="s">
        <v>216</v>
      </c>
      <c r="E44" s="27" t="s">
        <v>195</v>
      </c>
    </row>
    <row r="45" spans="1:5" ht="21.75" customHeight="1" x14ac:dyDescent="0.3">
      <c r="A45" s="6" t="s">
        <v>31</v>
      </c>
      <c r="B45" s="28">
        <v>210</v>
      </c>
      <c r="C45" s="24">
        <v>2</v>
      </c>
      <c r="D45" s="25" t="s">
        <v>217</v>
      </c>
      <c r="E45" s="10" t="s">
        <v>194</v>
      </c>
    </row>
    <row r="46" spans="1:5" ht="21.75" customHeight="1" x14ac:dyDescent="0.3">
      <c r="A46" s="6" t="s">
        <v>79</v>
      </c>
      <c r="B46" s="28">
        <v>210</v>
      </c>
      <c r="C46" s="24">
        <v>1</v>
      </c>
      <c r="D46" s="25" t="s">
        <v>73</v>
      </c>
      <c r="E46" s="10" t="s">
        <v>194</v>
      </c>
    </row>
    <row r="47" spans="1:5" ht="21.75" customHeight="1" x14ac:dyDescent="0.3">
      <c r="A47" s="6" t="s">
        <v>136</v>
      </c>
      <c r="B47" s="28">
        <v>210</v>
      </c>
      <c r="C47" s="24">
        <v>1</v>
      </c>
      <c r="D47" s="25" t="s">
        <v>131</v>
      </c>
      <c r="E47" s="10" t="s">
        <v>194</v>
      </c>
    </row>
    <row r="48" spans="1:5" ht="21.75" customHeight="1" x14ac:dyDescent="0.3">
      <c r="A48" s="6" t="s">
        <v>33</v>
      </c>
      <c r="B48" s="28">
        <v>170</v>
      </c>
      <c r="C48" s="24">
        <v>4</v>
      </c>
      <c r="D48" s="25" t="s">
        <v>218</v>
      </c>
      <c r="E48" s="10" t="s">
        <v>194</v>
      </c>
    </row>
    <row r="49" spans="1:5" ht="21.75" customHeight="1" x14ac:dyDescent="0.3">
      <c r="A49" s="6" t="s">
        <v>24</v>
      </c>
      <c r="B49" s="28">
        <v>170</v>
      </c>
      <c r="C49" s="24">
        <v>2</v>
      </c>
      <c r="D49" s="25" t="s">
        <v>219</v>
      </c>
      <c r="E49" s="27" t="s">
        <v>195</v>
      </c>
    </row>
    <row r="50" spans="1:5" ht="21.75" customHeight="1" x14ac:dyDescent="0.3">
      <c r="A50" s="6" t="s">
        <v>30</v>
      </c>
      <c r="B50" s="28">
        <v>170</v>
      </c>
      <c r="C50" s="24">
        <v>1</v>
      </c>
      <c r="D50" s="25" t="s">
        <v>19</v>
      </c>
      <c r="E50" s="10" t="s">
        <v>194</v>
      </c>
    </row>
    <row r="51" spans="1:5" ht="21.75" customHeight="1" x14ac:dyDescent="0.3">
      <c r="A51" s="6" t="s">
        <v>39</v>
      </c>
      <c r="B51" s="28">
        <v>170</v>
      </c>
      <c r="C51" s="24">
        <v>1</v>
      </c>
      <c r="D51" s="25" t="s">
        <v>35</v>
      </c>
      <c r="E51" s="10" t="s">
        <v>194</v>
      </c>
    </row>
    <row r="52" spans="1:5" ht="21.75" customHeight="1" x14ac:dyDescent="0.3">
      <c r="A52" s="6" t="s">
        <v>67</v>
      </c>
      <c r="B52" s="28">
        <v>170</v>
      </c>
      <c r="C52" s="24">
        <v>1</v>
      </c>
      <c r="D52" s="25" t="s">
        <v>66</v>
      </c>
      <c r="E52" s="27" t="s">
        <v>195</v>
      </c>
    </row>
    <row r="53" spans="1:5" ht="21.75" customHeight="1" x14ac:dyDescent="0.3">
      <c r="A53" s="6" t="s">
        <v>69</v>
      </c>
      <c r="B53" s="28">
        <v>170</v>
      </c>
      <c r="C53" s="24">
        <v>1</v>
      </c>
      <c r="D53" s="25" t="s">
        <v>66</v>
      </c>
      <c r="E53" s="10" t="s">
        <v>194</v>
      </c>
    </row>
    <row r="54" spans="1:5" ht="21.75" customHeight="1" x14ac:dyDescent="0.3">
      <c r="A54" s="6" t="s">
        <v>122</v>
      </c>
      <c r="B54" s="28">
        <v>170</v>
      </c>
      <c r="C54" s="24">
        <v>1</v>
      </c>
      <c r="D54" s="25" t="s">
        <v>120</v>
      </c>
      <c r="E54" s="10" t="s">
        <v>194</v>
      </c>
    </row>
    <row r="55" spans="1:5" ht="21.75" customHeight="1" x14ac:dyDescent="0.3">
      <c r="A55" s="6" t="s">
        <v>135</v>
      </c>
      <c r="B55" s="28">
        <v>170</v>
      </c>
      <c r="C55" s="24">
        <v>1</v>
      </c>
      <c r="D55" s="25" t="s">
        <v>131</v>
      </c>
      <c r="E55" s="10" t="s">
        <v>194</v>
      </c>
    </row>
    <row r="56" spans="1:5" ht="21.75" customHeight="1" x14ac:dyDescent="0.3">
      <c r="A56" s="6" t="s">
        <v>117</v>
      </c>
      <c r="B56" s="28">
        <v>110</v>
      </c>
      <c r="C56" s="24">
        <v>3</v>
      </c>
      <c r="D56" s="25" t="s">
        <v>220</v>
      </c>
      <c r="E56" s="10" t="s">
        <v>194</v>
      </c>
    </row>
    <row r="57" spans="1:5" ht="21.75" customHeight="1" x14ac:dyDescent="0.3">
      <c r="A57" s="6" t="s">
        <v>27</v>
      </c>
      <c r="B57" s="28">
        <v>110</v>
      </c>
      <c r="C57" s="24">
        <v>2</v>
      </c>
      <c r="D57" s="25" t="s">
        <v>219</v>
      </c>
      <c r="E57" s="10" t="s">
        <v>194</v>
      </c>
    </row>
    <row r="58" spans="1:5" ht="21.75" customHeight="1" x14ac:dyDescent="0.3">
      <c r="A58" s="6" t="s">
        <v>52</v>
      </c>
      <c r="B58" s="28">
        <v>110</v>
      </c>
      <c r="C58" s="24">
        <v>1</v>
      </c>
      <c r="D58" s="25" t="s">
        <v>45</v>
      </c>
      <c r="E58" s="10" t="s">
        <v>194</v>
      </c>
    </row>
    <row r="59" spans="1:5" ht="21.75" customHeight="1" x14ac:dyDescent="0.3">
      <c r="A59" s="6" t="s">
        <v>77</v>
      </c>
      <c r="B59" s="28">
        <v>110</v>
      </c>
      <c r="C59" s="24">
        <v>1</v>
      </c>
      <c r="D59" s="25" t="s">
        <v>73</v>
      </c>
      <c r="E59" s="10" t="s">
        <v>194</v>
      </c>
    </row>
    <row r="60" spans="1:5" ht="21.75" customHeight="1" x14ac:dyDescent="0.3">
      <c r="A60" s="6" t="s">
        <v>140</v>
      </c>
      <c r="B60" s="28">
        <v>110</v>
      </c>
      <c r="C60" s="24">
        <v>1</v>
      </c>
      <c r="D60" s="25" t="s">
        <v>139</v>
      </c>
      <c r="E60" s="10" t="s">
        <v>194</v>
      </c>
    </row>
    <row r="61" spans="1:5" ht="21.75" customHeight="1" x14ac:dyDescent="0.3">
      <c r="A61" s="6" t="s">
        <v>151</v>
      </c>
      <c r="B61" s="28">
        <v>110</v>
      </c>
      <c r="C61" s="24">
        <v>1</v>
      </c>
      <c r="D61" s="25" t="s">
        <v>150</v>
      </c>
      <c r="E61" s="10" t="s">
        <v>194</v>
      </c>
    </row>
    <row r="62" spans="1:5" ht="21.75" customHeight="1" x14ac:dyDescent="0.3">
      <c r="A62" s="6" t="s">
        <v>83</v>
      </c>
      <c r="B62" s="28">
        <v>90</v>
      </c>
      <c r="C62" s="24">
        <v>2</v>
      </c>
      <c r="D62" s="25" t="s">
        <v>221</v>
      </c>
      <c r="E62" s="27" t="s">
        <v>195</v>
      </c>
    </row>
    <row r="63" spans="1:5" ht="21.75" customHeight="1" x14ac:dyDescent="0.3">
      <c r="A63" s="6" t="s">
        <v>40</v>
      </c>
      <c r="B63" s="28">
        <v>90</v>
      </c>
      <c r="C63" s="24">
        <v>1</v>
      </c>
      <c r="D63" s="25" t="s">
        <v>35</v>
      </c>
      <c r="E63" s="10" t="s">
        <v>194</v>
      </c>
    </row>
    <row r="64" spans="1:5" ht="21.75" customHeight="1" x14ac:dyDescent="0.3">
      <c r="A64" s="6" t="s">
        <v>62</v>
      </c>
      <c r="B64" s="28">
        <v>90</v>
      </c>
      <c r="C64" s="24">
        <v>1</v>
      </c>
      <c r="D64" s="25" t="s">
        <v>59</v>
      </c>
      <c r="E64" s="10" t="s">
        <v>194</v>
      </c>
    </row>
    <row r="65" spans="1:5" ht="21.75" customHeight="1" x14ac:dyDescent="0.3">
      <c r="A65" s="6" t="s">
        <v>76</v>
      </c>
      <c r="B65" s="28">
        <v>90</v>
      </c>
      <c r="C65" s="24">
        <v>1</v>
      </c>
      <c r="D65" s="25" t="s">
        <v>73</v>
      </c>
      <c r="E65" s="27" t="s">
        <v>195</v>
      </c>
    </row>
    <row r="66" spans="1:5" ht="21.75" customHeight="1" x14ac:dyDescent="0.3">
      <c r="A66" s="6" t="s">
        <v>118</v>
      </c>
      <c r="B66" s="28">
        <v>90</v>
      </c>
      <c r="C66" s="24">
        <v>1</v>
      </c>
      <c r="D66" s="25" t="s">
        <v>112</v>
      </c>
      <c r="E66" s="10" t="s">
        <v>194</v>
      </c>
    </row>
    <row r="67" spans="1:5" ht="21.75" customHeight="1" x14ac:dyDescent="0.3">
      <c r="A67" s="6" t="s">
        <v>29</v>
      </c>
      <c r="B67" s="28">
        <v>70</v>
      </c>
      <c r="C67" s="24">
        <v>6</v>
      </c>
      <c r="D67" s="25" t="s">
        <v>222</v>
      </c>
      <c r="E67" s="10" t="s">
        <v>194</v>
      </c>
    </row>
    <row r="68" spans="1:5" ht="21.75" customHeight="1" x14ac:dyDescent="0.3">
      <c r="A68" s="6" t="s">
        <v>116</v>
      </c>
      <c r="B68" s="28">
        <v>70</v>
      </c>
      <c r="C68" s="24">
        <v>3</v>
      </c>
      <c r="D68" s="25" t="s">
        <v>223</v>
      </c>
      <c r="E68" s="10" t="s">
        <v>194</v>
      </c>
    </row>
    <row r="69" spans="1:5" ht="21.75" customHeight="1" x14ac:dyDescent="0.3">
      <c r="A69" s="6" t="s">
        <v>78</v>
      </c>
      <c r="B69" s="28">
        <v>70</v>
      </c>
      <c r="C69" s="24">
        <v>2</v>
      </c>
      <c r="D69" s="25" t="s">
        <v>224</v>
      </c>
      <c r="E69" s="10" t="s">
        <v>194</v>
      </c>
    </row>
    <row r="70" spans="1:5" ht="21.75" customHeight="1" x14ac:dyDescent="0.3">
      <c r="A70" s="6" t="s">
        <v>106</v>
      </c>
      <c r="B70" s="28">
        <v>70</v>
      </c>
      <c r="C70" s="24">
        <v>2</v>
      </c>
      <c r="D70" s="25" t="s">
        <v>200</v>
      </c>
      <c r="E70" s="27" t="s">
        <v>195</v>
      </c>
    </row>
    <row r="71" spans="1:5" ht="21.75" customHeight="1" x14ac:dyDescent="0.3">
      <c r="A71" s="6" t="s">
        <v>47</v>
      </c>
      <c r="B71" s="28">
        <v>70</v>
      </c>
      <c r="C71" s="24">
        <v>1</v>
      </c>
      <c r="D71" s="25" t="s">
        <v>45</v>
      </c>
      <c r="E71" s="27" t="s">
        <v>195</v>
      </c>
    </row>
    <row r="72" spans="1:5" ht="21.75" customHeight="1" x14ac:dyDescent="0.3">
      <c r="A72" s="6" t="s">
        <v>84</v>
      </c>
      <c r="B72" s="28">
        <v>70</v>
      </c>
      <c r="C72" s="24">
        <v>1</v>
      </c>
      <c r="D72" s="25" t="s">
        <v>82</v>
      </c>
      <c r="E72" s="27" t="s">
        <v>195</v>
      </c>
    </row>
    <row r="73" spans="1:5" ht="21.75" customHeight="1" x14ac:dyDescent="0.3">
      <c r="A73" s="6" t="s">
        <v>121</v>
      </c>
      <c r="B73" s="28">
        <v>70</v>
      </c>
      <c r="C73" s="24">
        <v>1</v>
      </c>
      <c r="D73" s="25" t="s">
        <v>120</v>
      </c>
      <c r="E73" s="27" t="s">
        <v>195</v>
      </c>
    </row>
    <row r="74" spans="1:5" ht="21.75" customHeight="1" x14ac:dyDescent="0.3">
      <c r="A74" s="6" t="s">
        <v>128</v>
      </c>
      <c r="B74" s="28">
        <v>70</v>
      </c>
      <c r="C74" s="24">
        <v>1</v>
      </c>
      <c r="D74" s="25" t="s">
        <v>126</v>
      </c>
      <c r="E74" s="10" t="s">
        <v>194</v>
      </c>
    </row>
    <row r="75" spans="1:5" ht="21.75" customHeight="1" x14ac:dyDescent="0.3">
      <c r="A75" s="6" t="s">
        <v>41</v>
      </c>
      <c r="B75" s="28">
        <v>50</v>
      </c>
      <c r="C75" s="24">
        <v>1</v>
      </c>
      <c r="D75" s="25" t="s">
        <v>35</v>
      </c>
      <c r="E75" s="10" t="s">
        <v>194</v>
      </c>
    </row>
    <row r="76" spans="1:5" ht="21.75" customHeight="1" x14ac:dyDescent="0.3">
      <c r="A76" s="6" t="s">
        <v>100</v>
      </c>
      <c r="B76" s="28">
        <v>50</v>
      </c>
      <c r="C76" s="24">
        <v>1</v>
      </c>
      <c r="D76" s="25" t="s">
        <v>97</v>
      </c>
      <c r="E76" s="10" t="s">
        <v>194</v>
      </c>
    </row>
    <row r="77" spans="1:5" ht="21.75" customHeight="1" x14ac:dyDescent="0.3">
      <c r="A77" s="6" t="s">
        <v>124</v>
      </c>
      <c r="B77" s="28">
        <v>50</v>
      </c>
      <c r="C77" s="24">
        <v>1</v>
      </c>
      <c r="D77" s="25" t="s">
        <v>120</v>
      </c>
      <c r="E77" s="10" t="s">
        <v>194</v>
      </c>
    </row>
    <row r="78" spans="1:5" ht="21.75" customHeight="1" x14ac:dyDescent="0.3">
      <c r="A78" s="6" t="s">
        <v>61</v>
      </c>
      <c r="B78" s="28">
        <v>40</v>
      </c>
      <c r="C78" s="24">
        <v>1</v>
      </c>
      <c r="D78" s="25" t="s">
        <v>59</v>
      </c>
      <c r="E78" s="10" t="s">
        <v>194</v>
      </c>
    </row>
    <row r="79" spans="1:5" ht="21.75" customHeight="1" x14ac:dyDescent="0.3">
      <c r="A79" s="6" t="s">
        <v>68</v>
      </c>
      <c r="B79" s="28">
        <v>40</v>
      </c>
      <c r="C79" s="24">
        <v>1</v>
      </c>
      <c r="D79" s="25" t="s">
        <v>66</v>
      </c>
      <c r="E79" s="10" t="s">
        <v>194</v>
      </c>
    </row>
    <row r="80" spans="1:5" ht="21.75" customHeight="1" x14ac:dyDescent="0.3">
      <c r="A80" s="6" t="s">
        <v>90</v>
      </c>
      <c r="B80" s="28">
        <v>40</v>
      </c>
      <c r="C80" s="24">
        <v>1</v>
      </c>
      <c r="D80" s="25" t="s">
        <v>87</v>
      </c>
      <c r="E80" s="10" t="s">
        <v>194</v>
      </c>
    </row>
    <row r="81" spans="1:5" ht="21.75" customHeight="1" x14ac:dyDescent="0.3">
      <c r="A81" s="6" t="s">
        <v>95</v>
      </c>
      <c r="B81" s="28">
        <v>40</v>
      </c>
      <c r="C81" s="24">
        <v>1</v>
      </c>
      <c r="D81" s="25" t="s">
        <v>93</v>
      </c>
      <c r="E81" s="10" t="s">
        <v>194</v>
      </c>
    </row>
    <row r="82" spans="1:5" ht="21.75" customHeight="1" x14ac:dyDescent="0.3">
      <c r="A82" s="6" t="s">
        <v>98</v>
      </c>
      <c r="B82" s="28">
        <v>40</v>
      </c>
      <c r="C82" s="24">
        <v>1</v>
      </c>
      <c r="D82" s="25" t="s">
        <v>97</v>
      </c>
      <c r="E82" s="10" t="s">
        <v>194</v>
      </c>
    </row>
    <row r="83" spans="1:5" ht="21.75" customHeight="1" x14ac:dyDescent="0.3">
      <c r="A83" s="6" t="s">
        <v>108</v>
      </c>
      <c r="B83" s="28">
        <v>40</v>
      </c>
      <c r="C83" s="24">
        <v>1</v>
      </c>
      <c r="D83" s="25" t="s">
        <v>102</v>
      </c>
      <c r="E83" s="10" t="s">
        <v>194</v>
      </c>
    </row>
    <row r="84" spans="1:5" ht="21.75" customHeight="1" x14ac:dyDescent="0.3">
      <c r="A84" s="6" t="s">
        <v>48</v>
      </c>
      <c r="B84" s="28">
        <v>30</v>
      </c>
      <c r="C84" s="24">
        <v>4</v>
      </c>
      <c r="D84" s="25" t="s">
        <v>212</v>
      </c>
      <c r="E84" s="10" t="s">
        <v>194</v>
      </c>
    </row>
    <row r="85" spans="1:5" ht="21.75" customHeight="1" x14ac:dyDescent="0.3">
      <c r="A85" s="6" t="s">
        <v>89</v>
      </c>
      <c r="B85" s="28">
        <v>30</v>
      </c>
      <c r="C85" s="24">
        <v>2</v>
      </c>
      <c r="D85" s="25" t="s">
        <v>214</v>
      </c>
      <c r="E85" s="27" t="s">
        <v>195</v>
      </c>
    </row>
    <row r="86" spans="1:5" ht="21.75" customHeight="1" x14ac:dyDescent="0.3">
      <c r="A86" s="6" t="s">
        <v>55</v>
      </c>
      <c r="B86" s="28">
        <v>30</v>
      </c>
      <c r="C86" s="24">
        <v>1</v>
      </c>
      <c r="D86" s="25" t="s">
        <v>45</v>
      </c>
      <c r="E86" s="10" t="s">
        <v>194</v>
      </c>
    </row>
    <row r="87" spans="1:5" ht="21.75" customHeight="1" x14ac:dyDescent="0.3">
      <c r="A87" s="6" t="s">
        <v>64</v>
      </c>
      <c r="B87" s="28">
        <v>30</v>
      </c>
      <c r="C87" s="24">
        <v>1</v>
      </c>
      <c r="D87" s="25" t="s">
        <v>59</v>
      </c>
      <c r="E87" s="10" t="s">
        <v>194</v>
      </c>
    </row>
    <row r="88" spans="1:5" ht="21.75" customHeight="1" x14ac:dyDescent="0.3">
      <c r="A88" s="6" t="s">
        <v>70</v>
      </c>
      <c r="B88" s="28">
        <v>30</v>
      </c>
      <c r="C88" s="24">
        <v>1</v>
      </c>
      <c r="D88" s="25" t="s">
        <v>66</v>
      </c>
      <c r="E88" s="10" t="s">
        <v>194</v>
      </c>
    </row>
    <row r="89" spans="1:5" ht="21.75" customHeight="1" x14ac:dyDescent="0.3">
      <c r="A89" s="6" t="s">
        <v>91</v>
      </c>
      <c r="B89" s="28">
        <v>30</v>
      </c>
      <c r="C89" s="24">
        <v>1</v>
      </c>
      <c r="D89" s="25" t="s">
        <v>87</v>
      </c>
      <c r="E89" s="10" t="s">
        <v>194</v>
      </c>
    </row>
    <row r="90" spans="1:5" ht="21.75" customHeight="1" x14ac:dyDescent="0.3">
      <c r="A90" s="6" t="s">
        <v>123</v>
      </c>
      <c r="B90" s="28">
        <v>30</v>
      </c>
      <c r="C90" s="24">
        <v>1</v>
      </c>
      <c r="D90" s="25" t="s">
        <v>120</v>
      </c>
      <c r="E90" s="10" t="s">
        <v>194</v>
      </c>
    </row>
    <row r="91" spans="1:5" ht="21.75" customHeight="1" x14ac:dyDescent="0.3">
      <c r="A91" s="6" t="s">
        <v>129</v>
      </c>
      <c r="B91" s="28">
        <v>30</v>
      </c>
      <c r="C91" s="24">
        <v>1</v>
      </c>
      <c r="D91" s="25" t="s">
        <v>126</v>
      </c>
      <c r="E91" s="10" t="s">
        <v>194</v>
      </c>
    </row>
    <row r="92" spans="1:5" ht="21.75" customHeight="1" x14ac:dyDescent="0.3">
      <c r="A92" s="6" t="s">
        <v>53</v>
      </c>
      <c r="B92" s="28">
        <v>20</v>
      </c>
      <c r="C92" s="24">
        <v>1</v>
      </c>
      <c r="D92" s="25" t="s">
        <v>45</v>
      </c>
      <c r="E92" s="10" t="s">
        <v>194</v>
      </c>
    </row>
    <row r="93" spans="1:5" ht="21.75" customHeight="1" x14ac:dyDescent="0.3">
      <c r="A93" s="6" t="s">
        <v>94</v>
      </c>
      <c r="B93" s="28">
        <v>20</v>
      </c>
      <c r="C93" s="24">
        <v>1</v>
      </c>
      <c r="D93" s="25" t="s">
        <v>93</v>
      </c>
      <c r="E93" s="10" t="s">
        <v>194</v>
      </c>
    </row>
    <row r="94" spans="1:5" ht="21.75" customHeight="1" x14ac:dyDescent="0.3">
      <c r="A94" s="6" t="s">
        <v>99</v>
      </c>
      <c r="B94" s="28">
        <v>20</v>
      </c>
      <c r="C94" s="24">
        <v>1</v>
      </c>
      <c r="D94" s="25" t="s">
        <v>97</v>
      </c>
      <c r="E94" s="10" t="s">
        <v>194</v>
      </c>
    </row>
    <row r="95" spans="1:5" ht="21.75" customHeight="1" x14ac:dyDescent="0.3">
      <c r="A95" s="6" t="s">
        <v>110</v>
      </c>
      <c r="B95" s="28">
        <v>20</v>
      </c>
      <c r="C95" s="24">
        <v>1</v>
      </c>
      <c r="D95" s="25" t="s">
        <v>102</v>
      </c>
      <c r="E95" s="10" t="s">
        <v>194</v>
      </c>
    </row>
    <row r="96" spans="1:5" ht="21.75" customHeight="1" x14ac:dyDescent="0.3">
      <c r="A96" s="6" t="s">
        <v>134</v>
      </c>
      <c r="B96" s="28">
        <v>20</v>
      </c>
      <c r="C96" s="24">
        <v>1</v>
      </c>
      <c r="D96" s="25" t="s">
        <v>131</v>
      </c>
      <c r="E96" s="10" t="s">
        <v>194</v>
      </c>
    </row>
    <row r="97" spans="1:5" ht="21.75" customHeight="1" x14ac:dyDescent="0.3">
      <c r="A97" s="6" t="s">
        <v>147</v>
      </c>
      <c r="B97" s="28">
        <v>20</v>
      </c>
      <c r="C97" s="24">
        <v>1</v>
      </c>
      <c r="D97" s="25" t="s">
        <v>143</v>
      </c>
      <c r="E97" s="10" t="s">
        <v>194</v>
      </c>
    </row>
    <row r="98" spans="1:5" ht="21.75" customHeight="1" x14ac:dyDescent="0.3">
      <c r="A98" s="6" t="s">
        <v>148</v>
      </c>
      <c r="B98" s="28">
        <v>20</v>
      </c>
      <c r="C98" s="24">
        <v>1</v>
      </c>
      <c r="D98" s="25" t="s">
        <v>143</v>
      </c>
      <c r="E98" s="10" t="s">
        <v>194</v>
      </c>
    </row>
    <row r="99" spans="1:5" ht="21.75" customHeight="1" x14ac:dyDescent="0.3">
      <c r="A99" s="6" t="s">
        <v>141</v>
      </c>
      <c r="B99" s="28">
        <v>10</v>
      </c>
      <c r="C99" s="24">
        <v>1</v>
      </c>
      <c r="D99" s="25" t="s">
        <v>139</v>
      </c>
      <c r="E99" s="10" t="s">
        <v>194</v>
      </c>
    </row>
  </sheetData>
  <autoFilter ref="A1:E99" xr:uid="{00000000-0009-0000-0000-000002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Tags Per Listing</vt:lpstr>
      <vt:lpstr>Copy-Paste Ready</vt:lpstr>
      <vt:lpstr>Tag Frequency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Owner</cp:lastModifiedBy>
  <cp:revision>0</cp:revision>
  <dcterms:created xsi:type="dcterms:W3CDTF">2026-02-27T02:54:33Z</dcterms:created>
  <dcterms:modified xsi:type="dcterms:W3CDTF">2026-03-02T10:38:32Z</dcterms:modified>
  <dc:language>en-US</dc:language>
</cp:coreProperties>
</file>