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w Arrivals Overview" sheetId="1" state="visible" r:id="rId3"/>
    <sheet name="Hidden Gems (Non-Clothing)" sheetId="2" state="visible" r:id="rId4"/>
    <sheet name="Clothing Gems" sheetId="3" state="visible" r:id="rId5"/>
    <sheet name="Shop Strategy" sheetId="4" state="visible" r:id="rId6"/>
    <sheet name="Margin Comparis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<sst xmlns="http://schemas.openxmlformats.org/spreadsheetml/2006/main" count="556" uniqueCount="403">
  <si>
    <t xml:space="preserve">Yoycol NEW ARRIVALS — Complete Catalog (1,408 items scraped, 1,113 unique)</t>
  </si>
  <si>
    <t xml:space="preserve">Scraped Feb 24, 2026 | ALL categories: Clothing, Home, Shoes, Bags, Drinkware, Accessories, Kids, Pets</t>
  </si>
  <si>
    <t xml:space="preserve">Etsy Fee Rate:</t>
  </si>
  <si>
    <t xml:space="preserve">Category</t>
  </si>
  <si>
    <t xml:space="preserve">Product Count</t>
  </si>
  <si>
    <t xml:space="preserve">Price Range</t>
  </si>
  <si>
    <t xml:space="preserve">Avg Cost</t>
  </si>
  <si>
    <t xml:space="preserve">Avg Etsy
Sale Price</t>
  </si>
  <si>
    <t xml:space="preserve">Avg Profit</t>
  </si>
  <si>
    <t xml:space="preserve">Avg Margin</t>
  </si>
  <si>
    <t xml:space="preserve">Assessment</t>
  </si>
  <si>
    <t xml:space="preserve">Women's Tops</t>
  </si>
  <si>
    <t xml:space="preserve">$3.19 - $20.69</t>
  </si>
  <si>
    <t xml:space="preserve">HIGH VOLUME — cheap to test, huge summer demand</t>
  </si>
  <si>
    <t xml:space="preserve">Women's Dresses</t>
  </si>
  <si>
    <t xml:space="preserve">$5.79 - $31.79</t>
  </si>
  <si>
    <t xml:space="preserve">TOP REVENUE — spring/summer goldmine, 33K+ search/mo</t>
  </si>
  <si>
    <t xml:space="preserve">Women's Bottoms</t>
  </si>
  <si>
    <t xml:space="preserve">$3.79 - $21.59</t>
  </si>
  <si>
    <t xml:space="preserve">SOLID — wide-leg pants &amp; leggings year-round</t>
  </si>
  <si>
    <t xml:space="preserve">Women's Hoodies</t>
  </si>
  <si>
    <t xml:space="preserve">$6.89 - $17.94</t>
  </si>
  <si>
    <t xml:space="preserve">PREMIUM MARGIN — highest per-unit profit</t>
  </si>
  <si>
    <t xml:space="preserve">Women's Skirts</t>
  </si>
  <si>
    <t xml:space="preserve">$4.69 - $21.29</t>
  </si>
  <si>
    <t xml:space="preserve">GOOD — maxi skirts are cottagecore staple</t>
  </si>
  <si>
    <t xml:space="preserve">Women's Knitwear</t>
  </si>
  <si>
    <t xml:space="preserve">$6.89 - $23.09</t>
  </si>
  <si>
    <t xml:space="preserve">SEASONAL — fall/winter sweatshirts</t>
  </si>
  <si>
    <t xml:space="preserve">Women's Sleepwear</t>
  </si>
  <si>
    <t xml:space="preserve">$7.39 - $23.49</t>
  </si>
  <si>
    <t xml:space="preserve">GIFT MARKET — matching sets trending hard</t>
  </si>
  <si>
    <t xml:space="preserve">Women's Bodysuits/Jumpsuits</t>
  </si>
  <si>
    <t xml:space="preserve">$4.39 - $14.09</t>
  </si>
  <si>
    <t xml:space="preserve">TRENDING — jumpsuits growing on Etsy</t>
  </si>
  <si>
    <t xml:space="preserve">Women's Swimwear</t>
  </si>
  <si>
    <t xml:space="preserve">$7.29 - $10.59</t>
  </si>
  <si>
    <t xml:space="preserve">HIDDEN GEM — lowest landed cost, 165K bikini searches</t>
  </si>
  <si>
    <t xml:space="preserve">Women's Outerwear</t>
  </si>
  <si>
    <t xml:space="preserve">$10.09 - $71.59</t>
  </si>
  <si>
    <t xml:space="preserve">NICHE — bomber jackets underserved on Etsy</t>
  </si>
  <si>
    <t xml:space="preserve">Women's Sets</t>
  </si>
  <si>
    <t xml:space="preserve">$7.25 - $17.79</t>
  </si>
  <si>
    <t xml:space="preserve">TRENDING — matching sets 5.4K/mo searches</t>
  </si>
  <si>
    <t xml:space="preserve">Women's Robes</t>
  </si>
  <si>
    <t xml:space="preserve">$9.79 - $23.49</t>
  </si>
  <si>
    <t xml:space="preserve">PREMIUM — kimono robes for boho/celestial</t>
  </si>
  <si>
    <t xml:space="preserve">Men's Hoodies</t>
  </si>
  <si>
    <t xml:space="preserve">$6.37 - $28.59</t>
  </si>
  <si>
    <t xml:space="preserve">STRONG — men's AOP hoodie market is massive</t>
  </si>
  <si>
    <t xml:space="preserve">Men's T-shirts/Tops</t>
  </si>
  <si>
    <t xml:space="preserve">$3.79 - $29.79</t>
  </si>
  <si>
    <t xml:space="preserve">VOLUME PLAY — cheap entry, festival/streetwear</t>
  </si>
  <si>
    <t xml:space="preserve">Men's Bottoms</t>
  </si>
  <si>
    <t xml:space="preserve">$4.28 - $26.59</t>
  </si>
  <si>
    <t xml:space="preserve">GOOD — joggers and cargo pants trending</t>
  </si>
  <si>
    <t xml:space="preserve">Men's Knitwear/Outerwear</t>
  </si>
  <si>
    <t xml:space="preserve">$7.25 - $71.59</t>
  </si>
  <si>
    <t xml:space="preserve">SEASONAL — bomber jackets, fleece, cardigans</t>
  </si>
  <si>
    <t xml:space="preserve">Home — Tapestries &amp; Wall Art</t>
  </si>
  <si>
    <t xml:space="preserve">$1.19 - $14.99</t>
  </si>
  <si>
    <t xml:space="preserve">HUGE MARGIN — $1.19 canvas, sells for $24.99+</t>
  </si>
  <si>
    <t xml:space="preserve">Home — Pillow Covers</t>
  </si>
  <si>
    <t xml:space="preserve">$2.29 - $8.99</t>
  </si>
  <si>
    <t xml:space="preserve">GREAT GIFT — $2.29 pillow cover, sells $19.99</t>
  </si>
  <si>
    <t xml:space="preserve">Home — Blankets &amp; Throws</t>
  </si>
  <si>
    <t xml:space="preserve">$10.99 - $34.99</t>
  </si>
  <si>
    <t xml:space="preserve">PREMIUM GIFT — fleece blankets sell $54.99+</t>
  </si>
  <si>
    <t xml:space="preserve">Home — Shower Curtains</t>
  </si>
  <si>
    <t xml:space="preserve">$8.49 - $12.99</t>
  </si>
  <si>
    <t xml:space="preserve">GOOD — niche home decor with high margins</t>
  </si>
  <si>
    <t xml:space="preserve">Home — Rugs &amp; Mats</t>
  </si>
  <si>
    <t xml:space="preserve">$2.89 - $14.99</t>
  </si>
  <si>
    <t xml:space="preserve">SOLID — doormats and bath mats year-round</t>
  </si>
  <si>
    <t xml:space="preserve">Home — Towels</t>
  </si>
  <si>
    <t xml:space="preserve">$2.29 - $9.99</t>
  </si>
  <si>
    <t xml:space="preserve">DECENT — beach towels spike summer</t>
  </si>
  <si>
    <t xml:space="preserve">Shoes — Slippers</t>
  </si>
  <si>
    <t xml:space="preserve">$7.49 - $13.09</t>
  </si>
  <si>
    <t xml:space="preserve">GIFT MARKET — AOP plush slippers are viral</t>
  </si>
  <si>
    <t xml:space="preserve">Shoes — Canvas/Sneakers</t>
  </si>
  <si>
    <t xml:space="preserve">$16.90 - $40.79</t>
  </si>
  <si>
    <t xml:space="preserve">HIGH AOV — AOP sneakers sell $64.99+</t>
  </si>
  <si>
    <t xml:space="preserve">Shoes — Clogs</t>
  </si>
  <si>
    <t xml:space="preserve">$13.09 - $13.30</t>
  </si>
  <si>
    <t xml:space="preserve">TRENDING — custom clogs viral on TikTok</t>
  </si>
  <si>
    <t xml:space="preserve">Bags — Tote Bags</t>
  </si>
  <si>
    <t xml:space="preserve">$4.26 - $8.79</t>
  </si>
  <si>
    <t xml:space="preserve">GREAT MARGIN — canvas tote $4.26, sells $24.99</t>
  </si>
  <si>
    <t xml:space="preserve">Bags — Backpacks</t>
  </si>
  <si>
    <t xml:space="preserve">$5.09 - $18.99</t>
  </si>
  <si>
    <t xml:space="preserve">GOOD — student/school backpacks</t>
  </si>
  <si>
    <t xml:space="preserve">Bags — Cosmetic/Misc</t>
  </si>
  <si>
    <t xml:space="preserve">$5.90 - $12.99</t>
  </si>
  <si>
    <t xml:space="preserve">SOLID — cosmetic bags good for bundles</t>
  </si>
  <si>
    <t xml:space="preserve">Bags — Crossbody/Fanny</t>
  </si>
  <si>
    <t xml:space="preserve">$6.19 - $12.99</t>
  </si>
  <si>
    <t xml:space="preserve">TRENDING — fanny packs for festivals</t>
  </si>
  <si>
    <t xml:space="preserve">Drinkware — Mugs</t>
  </si>
  <si>
    <t xml:space="preserve">$2.39 - $4.99</t>
  </si>
  <si>
    <t xml:space="preserve">CLASSIC POD — $2.39 mug sells $19.99. Proven.</t>
  </si>
  <si>
    <t xml:space="preserve">Drinkware — Tumblers</t>
  </si>
  <si>
    <t xml:space="preserve">$4.99 - $12.99</t>
  </si>
  <si>
    <t xml:space="preserve">STRONG — skinny tumblers are Etsy bestsellers</t>
  </si>
  <si>
    <t xml:space="preserve">Accessories — Hats/Caps</t>
  </si>
  <si>
    <t xml:space="preserve">$4.17 - $7.49</t>
  </si>
  <si>
    <t xml:space="preserve">GOOD — bucket hats and beanies for niche appeal</t>
  </si>
  <si>
    <t xml:space="preserve">Accessories — Socks</t>
  </si>
  <si>
    <t xml:space="preserve">$4.59 - $6.99</t>
  </si>
  <si>
    <t xml:space="preserve">ADD-ON — low price but great for bundles</t>
  </si>
  <si>
    <t xml:space="preserve">Accessories — Scarves/Bandanas</t>
  </si>
  <si>
    <t xml:space="preserve">$3.59 - $8.99</t>
  </si>
  <si>
    <t xml:space="preserve">NICHE — silk bandanas for boho aesthetic</t>
  </si>
  <si>
    <t xml:space="preserve">Kids Clothing</t>
  </si>
  <si>
    <t xml:space="preserve">$3.29 - $18.99</t>
  </si>
  <si>
    <t xml:space="preserve">UNTAPPED — kids AOP market growing fast</t>
  </si>
  <si>
    <t xml:space="preserve">Baby — Onesies &amp; Bibs</t>
  </si>
  <si>
    <t xml:space="preserve">$2.99 - $6.99</t>
  </si>
  <si>
    <t xml:space="preserve">GIFT MARKET — baby onesies &amp; bibs impulse buys</t>
  </si>
  <si>
    <t xml:space="preserve">Aprons</t>
  </si>
  <si>
    <t xml:space="preserve">$4.99 - $7.99</t>
  </si>
  <si>
    <t xml:space="preserve">NICHE — cottagecore aprons, baking gifts</t>
  </si>
  <si>
    <t xml:space="preserve">Phone Cases</t>
  </si>
  <si>
    <t xml:space="preserve">$1.99 - $4.99</t>
  </si>
  <si>
    <t xml:space="preserve">LOW MARGIN — saturated market, skip</t>
  </si>
  <si>
    <t xml:space="preserve">Pet Products</t>
  </si>
  <si>
    <t xml:space="preserve">$3.59 - $15.99</t>
  </si>
  <si>
    <t xml:space="preserve">GROWING — pet bandanas &amp; beds trending</t>
  </si>
  <si>
    <t xml:space="preserve">HIDDEN GEMS — Non-Clothing Products With Highest Margins</t>
  </si>
  <si>
    <t xml:space="preserve">Home decor, bags, drinkware, shoes, accessories — many have HIGHER margins than clothing</t>
  </si>
  <si>
    <t xml:space="preserve">★</t>
  </si>
  <si>
    <t xml:space="preserve">Product</t>
  </si>
  <si>
    <t xml:space="preserve">Base
Cost</t>
  </si>
  <si>
    <t xml:space="preserve">Est.
Ship</t>
  </si>
  <si>
    <t xml:space="preserve">Landed</t>
  </si>
  <si>
    <t xml:space="preserve">Etsy
Price</t>
  </si>
  <si>
    <t xml:space="preserve">Profit</t>
  </si>
  <si>
    <t xml:space="preserve">Margin</t>
  </si>
  <si>
    <t xml:space="preserve">Why It's a Gem</t>
  </si>
  <si>
    <t xml:space="preserve">Search Demand</t>
  </si>
  <si>
    <t xml:space="preserve">ICP Match</t>
  </si>
  <si>
    <t xml:space="preserve">★★★</t>
  </si>
  <si>
    <t xml:space="preserve">Home</t>
  </si>
  <si>
    <t xml:space="preserve">Canvas Without Frame (2:3)</t>
  </si>
  <si>
    <t xml:space="preserve">INSANE margin. $5.69 landed → $19.99. Wall art is Etsy's bread and butter.</t>
  </si>
  <si>
    <t xml:space="preserve">wall art 90K/mo</t>
  </si>
  <si>
    <t xml:space="preserve">PERFECT</t>
  </si>
  <si>
    <t xml:space="preserve">Canvas With Frame (2:3)</t>
  </si>
  <si>
    <t xml:space="preserve">Framed canvas at $8.19 landed. "Mushroom wall art" 1.3K/mo alone.</t>
  </si>
  <si>
    <t xml:space="preserve">canvas art 33K/mo</t>
  </si>
  <si>
    <t xml:space="preserve">Pillow Cover (Double-Side)</t>
  </si>
  <si>
    <t xml:space="preserve">$7.29 landed pillow cover. Gift market essential. Year-round seller.</t>
  </si>
  <si>
    <t xml:space="preserve">throw pillow 12K/mo</t>
  </si>
  <si>
    <t xml:space="preserve">STRONG</t>
  </si>
  <si>
    <t xml:space="preserve">Single-Side Print Tapestry</t>
  </si>
  <si>
    <t xml:space="preserve">$9.29 landed tapestry. "Cottagecore tapestry" 1.6K/mo searches.</t>
  </si>
  <si>
    <t xml:space="preserve">tapestry 22K/mo</t>
  </si>
  <si>
    <t xml:space="preserve">Felt Floor Mat (Rubber)</t>
  </si>
  <si>
    <t xml:space="preserve">Doormat at $10.19 landed. "Mushroom doormat" growing search.</t>
  </si>
  <si>
    <t xml:space="preserve">doormat 8.1K/mo</t>
  </si>
  <si>
    <t xml:space="preserve">Flax Pillowcase (AOP)</t>
  </si>
  <si>
    <t xml:space="preserve">Premium flax material. $8.79 landed. Boho/cottagecore perfect.</t>
  </si>
  <si>
    <t xml:space="preserve">boho pillow 2.9K/mo</t>
  </si>
  <si>
    <t xml:space="preserve">Garden Flag (AOP)</t>
  </si>
  <si>
    <t xml:space="preserve">$6.89 landed garden flag. Seasonal goldmine (spring/summer/fall).</t>
  </si>
  <si>
    <t xml:space="preserve">garden flag 14.8K/mo</t>
  </si>
  <si>
    <t xml:space="preserve">MODERATE</t>
  </si>
  <si>
    <t xml:space="preserve">Beach Towel (Rectangular)</t>
  </si>
  <si>
    <t xml:space="preserve">$8.29 landed. "Boho beach towel" summer essential.</t>
  </si>
  <si>
    <t xml:space="preserve">beach towel 6.6K/mo</t>
  </si>
  <si>
    <t xml:space="preserve">Short Plush Pillow</t>
  </si>
  <si>
    <t xml:space="preserve">Plush pillow at $9.69 landed. Comfort + design = gift gold.</t>
  </si>
  <si>
    <t xml:space="preserve">Bags</t>
  </si>
  <si>
    <t xml:space="preserve">Cloth Tote Bag</t>
  </si>
  <si>
    <t xml:space="preserve">$9.26 landed tote. "Cottagecore tote bag" growing search.</t>
  </si>
  <si>
    <t xml:space="preserve">tote bag 33K/mo</t>
  </si>
  <si>
    <t xml:space="preserve">Canvas Bag With Shoulder Strap</t>
  </si>
  <si>
    <t xml:space="preserve">$11.50 landed. Premium feel. Everyday carry for your ICP.</t>
  </si>
  <si>
    <t xml:space="preserve">canvas bag 8.1K/mo</t>
  </si>
  <si>
    <t xml:space="preserve">Cosmetic Bag With Handle</t>
  </si>
  <si>
    <t xml:space="preserve">$10.40 landed. Bundle with pajamas/robes for gift sets.</t>
  </si>
  <si>
    <t xml:space="preserve">makeup bag 5.4K/mo</t>
  </si>
  <si>
    <t xml:space="preserve">Fanny Pack (Large)</t>
  </si>
  <si>
    <t xml:space="preserve">$13.53 landed. Festival essential. "Festival fanny pack" 1.9K/mo.</t>
  </si>
  <si>
    <t xml:space="preserve">fanny pack 9.9K/mo</t>
  </si>
  <si>
    <t xml:space="preserve">Student Backpack</t>
  </si>
  <si>
    <t xml:space="preserve">$12.09 landed backpack. Back-to-school AOP is underserved.</t>
  </si>
  <si>
    <t xml:space="preserve">backpack 40K/mo</t>
  </si>
  <si>
    <t xml:space="preserve">Drinkware</t>
  </si>
  <si>
    <t xml:space="preserve">Ceramic Mug 11oz (AOP)</t>
  </si>
  <si>
    <t xml:space="preserve">$7.89 landed mug. The classic POD product. Proven seller forever.</t>
  </si>
  <si>
    <t xml:space="preserve">mug 49.5K/mo</t>
  </si>
  <si>
    <t xml:space="preserve">Skinny Tumbler 20oz (Stainless)</t>
  </si>
  <si>
    <t xml:space="preserve">$10.99 landed tumbler. "Celestial tumbler" growing fast.</t>
  </si>
  <si>
    <t xml:space="preserve">tumbler 22K/mo</t>
  </si>
  <si>
    <t xml:space="preserve">Egg Cup Wine Tumbler 12oz</t>
  </si>
  <si>
    <t xml:space="preserve">$10.49 landed wine tumbler. Wine mom + cottagecore crossover.</t>
  </si>
  <si>
    <t xml:space="preserve">wine tumbler 5.4K/mo</t>
  </si>
  <si>
    <t xml:space="preserve">Shoes</t>
  </si>
  <si>
    <t xml:space="preserve">Velcro Slippers (Women)</t>
  </si>
  <si>
    <t xml:space="preserve">$13.99 landed. AOP slippers are viral gift items.</t>
  </si>
  <si>
    <t xml:space="preserve">custom slippers 2.4K/mo</t>
  </si>
  <si>
    <t xml:space="preserve">Plush Slippers (Women)</t>
  </si>
  <si>
    <t xml:space="preserve">$16.70 landed plush slippers. Cozy gift for fall/winter.</t>
  </si>
  <si>
    <t xml:space="preserve">plush slippers 3.6K/mo</t>
  </si>
  <si>
    <t xml:space="preserve">Classic Clogs (Women, AOP)</t>
  </si>
  <si>
    <t xml:space="preserve">$21.30 landed. Custom clogs went viral on TikTok. High perceived value.</t>
  </si>
  <si>
    <t xml:space="preserve">custom clogs 1.9K/mo</t>
  </si>
  <si>
    <t xml:space="preserve">Canvas Shoes (Women)</t>
  </si>
  <si>
    <t xml:space="preserve">$25.50 landed. AOP sneakers = unique statement piece.</t>
  </si>
  <si>
    <t xml:space="preserve">custom sneakers 3.6K/mo</t>
  </si>
  <si>
    <t xml:space="preserve">Accessories</t>
  </si>
  <si>
    <t xml:space="preserve">Unisex Beanie Hat (AOP)</t>
  </si>
  <si>
    <t xml:space="preserve">$8.67 landed beanie. Fall/winter essential. "Mushroom beanie" growing.</t>
  </si>
  <si>
    <t xml:space="preserve">beanie 12K/mo</t>
  </si>
  <si>
    <t xml:space="preserve">Silk Bandana (Unisex)</t>
  </si>
  <si>
    <t xml:space="preserve">$8.39 landed. Festival + boho essential. Great bundle add-on.</t>
  </si>
  <si>
    <t xml:space="preserve">bandana 6.6K/mo</t>
  </si>
  <si>
    <t xml:space="preserve">Summer Scrunchie</t>
  </si>
  <si>
    <t xml:space="preserve">$6.49 landed. Impulse buy. Bundle 3-5 for $24.99 sets.</t>
  </si>
  <si>
    <t xml:space="preserve">scrunchie 5.4K/mo</t>
  </si>
  <si>
    <t xml:space="preserve">Unisex Gloves (AOP)</t>
  </si>
  <si>
    <t xml:space="preserve">$8.23 landed. Winter accessory. Matching with hoodie sets.</t>
  </si>
  <si>
    <t xml:space="preserve">custom gloves 1.3K/mo</t>
  </si>
  <si>
    <t xml:space="preserve">Kids</t>
  </si>
  <si>
    <t xml:space="preserve">Baby Onesie</t>
  </si>
  <si>
    <t xml:space="preserve">$8.99 landed. "Mushroom baby onesie" niche with zero competition.</t>
  </si>
  <si>
    <t xml:space="preserve">baby onesie 12K/mo</t>
  </si>
  <si>
    <t xml:space="preserve">Kids Clogs</t>
  </si>
  <si>
    <t xml:space="preserve">$17.79 landed. Parents LOVE matching family clogs.</t>
  </si>
  <si>
    <t xml:space="preserve">kids clogs 2.4K/mo</t>
  </si>
  <si>
    <t xml:space="preserve">NEW Clothing Products — Items Not In Previous Women's Catalog Analysis</t>
  </si>
  <si>
    <t xml:space="preserve">Men's clothing, unisex items, and NEW women's styles found in New Arrivals that weren't in the Women's catalog</t>
  </si>
  <si>
    <t xml:space="preserve">Gender</t>
  </si>
  <si>
    <t xml:space="preserve">Ship</t>
  </si>
  <si>
    <t xml:space="preserve">Why</t>
  </si>
  <si>
    <t xml:space="preserve">Target Niche</t>
  </si>
  <si>
    <t xml:space="preserve">Men</t>
  </si>
  <si>
    <t xml:space="preserve">Hoodie</t>
  </si>
  <si>
    <t xml:space="preserve">Men's AOP Pullover Hoodie</t>
  </si>
  <si>
    <t xml:space="preserve">Men's AOP hoodie market is HUGE. Same artwork reuse from women's line.</t>
  </si>
  <si>
    <t xml:space="preserve">Streetwear/Gaming/Anime</t>
  </si>
  <si>
    <t xml:space="preserve">T-shirt</t>
  </si>
  <si>
    <t xml:space="preserve">Men's AOP Round Neck T-shirt</t>
  </si>
  <si>
    <t xml:space="preserve">Cheapest men's entry point. Festival/streetwear. $11.79 landed.</t>
  </si>
  <si>
    <t xml:space="preserve">Festival/Streetwear</t>
  </si>
  <si>
    <t xml:space="preserve">Shorts</t>
  </si>
  <si>
    <t xml:space="preserve">Men's AOP Beach Shorts</t>
  </si>
  <si>
    <t xml:space="preserve">Summer essential. "Men's AOP shorts" underserved on Etsy.</t>
  </si>
  <si>
    <t xml:space="preserve">Beach/Festival/Streetwear</t>
  </si>
  <si>
    <t xml:space="preserve">Joggers</t>
  </si>
  <si>
    <t xml:space="preserve">Men's AOP Jogger Pants</t>
  </si>
  <si>
    <t xml:space="preserve">Matching hoodie + jogger sets. Streetwear gold.</t>
  </si>
  <si>
    <t xml:space="preserve">Streetwear/Matching Sets</t>
  </si>
  <si>
    <t xml:space="preserve">Bomber</t>
  </si>
  <si>
    <t xml:space="preserve">Men's AOP Bomber Jacket</t>
  </si>
  <si>
    <t xml:space="preserve">AOP bomber for men. High perceived value. Statement piece.</t>
  </si>
  <si>
    <t xml:space="preserve">Streetwear/Japanese Art</t>
  </si>
  <si>
    <t xml:space="preserve">Sweatshirt</t>
  </si>
  <si>
    <t xml:space="preserve">Men's AOP Crewneck Sweatshirt</t>
  </si>
  <si>
    <t xml:space="preserve">Year-round basics. Same designs work men's + women's.</t>
  </si>
  <si>
    <t xml:space="preserve">All Niches</t>
  </si>
  <si>
    <t xml:space="preserve">Unisex</t>
  </si>
  <si>
    <t xml:space="preserve">Unisex AOP Pullover Hoodie</t>
  </si>
  <si>
    <t xml:space="preserve">ONE listing serves both markets. Double the traffic.</t>
  </si>
  <si>
    <t xml:space="preserve">Flannel</t>
  </si>
  <si>
    <t xml:space="preserve">Unisex Flannel Hooded Bathrobe</t>
  </si>
  <si>
    <t xml:space="preserve">$34.49 landed. Premium gift item. Couples matching robes.</t>
  </si>
  <si>
    <t xml:space="preserve">Gift/Couples/Celestial</t>
  </si>
  <si>
    <t xml:space="preserve">Fleece</t>
  </si>
  <si>
    <t xml:space="preserve">Unisex Borg Fleece Coat</t>
  </si>
  <si>
    <t xml:space="preserve">Sherpa/borg fleece is TikTok viral. AOP version = unique.</t>
  </si>
  <si>
    <t xml:space="preserve">Streetwear/Cozy</t>
  </si>
  <si>
    <t xml:space="preserve">Women</t>
  </si>
  <si>
    <t xml:space="preserve">Dress</t>
  </si>
  <si>
    <t xml:space="preserve">V-neck Corset Dress (NEW)</t>
  </si>
  <si>
    <t xml:space="preserve">"Corset dress" 6.6K/mo. Witch/gothic essential. New arrival.</t>
  </si>
  <si>
    <t xml:space="preserve">Witch/Gothic/Dark Cottagecore</t>
  </si>
  <si>
    <t xml:space="preserve">Velvet Shine Maxi Dress (NEW)</t>
  </si>
  <si>
    <t xml:space="preserve">Velvet + AOP = luxury. Fall/winter statement piece. New arrival.</t>
  </si>
  <si>
    <t xml:space="preserve">Witch/Celestial/Gothic</t>
  </si>
  <si>
    <t xml:space="preserve">Hoodie Dress Long (NEW)</t>
  </si>
  <si>
    <t xml:space="preserve">Hoodie + dress combo. "Hoodie dress" 480/mo and growing.</t>
  </si>
  <si>
    <t xml:space="preserve">Cottagecore/Celestial/Cozy</t>
  </si>
  <si>
    <t xml:space="preserve">Crop Top Hoodie With Zipper (NEW)</t>
  </si>
  <si>
    <t xml:space="preserve">Crop hoodie = Gen Z essential. Not on most POD shops.</t>
  </si>
  <si>
    <t xml:space="preserve">Festival/Celestial/Witch</t>
  </si>
  <si>
    <t xml:space="preserve">Sherpa Fleece Hoodie (NEW)</t>
  </si>
  <si>
    <t xml:space="preserve">Premium sherpa at $28.44 landed. $59.99 sale. Winter luxury.</t>
  </si>
  <si>
    <t xml:space="preserve">Celestial/Cottagecore</t>
  </si>
  <si>
    <t xml:space="preserve">Outerwear</t>
  </si>
  <si>
    <t xml:space="preserve">Bomber Jacket (NEW)</t>
  </si>
  <si>
    <t xml:space="preserve">AOP bomber is a gap on Etsy. "Bomber jacket women" 6.6K/mo.</t>
  </si>
  <si>
    <t xml:space="preserve">Celestial/Boho/Japanese</t>
  </si>
  <si>
    <t xml:space="preserve">Windbreaker Jacket (NEW)</t>
  </si>
  <si>
    <t xml:space="preserve">Lightweight outerwear for spring. Unique AOP option.</t>
  </si>
  <si>
    <t xml:space="preserve">Celestial/Boho</t>
  </si>
  <si>
    <t xml:space="preserve">Swimwear</t>
  </si>
  <si>
    <t xml:space="preserve">String Bikini (NEW)</t>
  </si>
  <si>
    <t xml:space="preserve">$12.79 landed. "Bikini women" 165K/mo. Summer goldmine.</t>
  </si>
  <si>
    <t xml:space="preserve">Boho/Celestial/Floral</t>
  </si>
  <si>
    <t xml:space="preserve">Swimsuit Cover-Up Dress (NEW)</t>
  </si>
  <si>
    <t xml:space="preserve">Dual purpose swim + dress. "Beach cover up" 14.8K/mo.</t>
  </si>
  <si>
    <t xml:space="preserve">Boho/Beach/Celestial</t>
  </si>
  <si>
    <t xml:space="preserve">Kids AOP Pullover Hoodie</t>
  </si>
  <si>
    <t xml:space="preserve">Matching family hoodie sets. Parents spend big on kids.</t>
  </si>
  <si>
    <t xml:space="preserve">Family Matching/All Niches</t>
  </si>
  <si>
    <t xml:space="preserve">Clogs</t>
  </si>
  <si>
    <t xml:space="preserve">Kids Classic Clogs (AOP)</t>
  </si>
  <si>
    <t xml:space="preserve">Matching family clogs. Viral TikTok trend.</t>
  </si>
  <si>
    <t xml:space="preserve">Family Matching</t>
  </si>
  <si>
    <t xml:space="preserve">Multi-Shop Empire Strategy — Beyond Clothing</t>
  </si>
  <si>
    <t xml:space="preserve">Each product vertical = separate Etsy shop for SEO focus. Home decor has HIGHER margins than clothing.</t>
  </si>
  <si>
    <t xml:space="preserve">Shop Concept</t>
  </si>
  <si>
    <t xml:space="preserve">Product Focus</t>
  </si>
  <si>
    <t xml:space="preserve">Yoycol Products
Available</t>
  </si>
  <si>
    <t xml:space="preserve">Est. Search
Volume</t>
  </si>
  <si>
    <t xml:space="preserve">Investment
(First 20 listings)</t>
  </si>
  <si>
    <t xml:space="preserve">Priority</t>
  </si>
  <si>
    <t xml:space="preserve">LunarAura Home — Wall Art &amp; Tapestries</t>
  </si>
  <si>
    <t xml:space="preserve">Canvas prints, tapestries, posters, iron wall art</t>
  </si>
  <si>
    <t xml:space="preserve">25+ products</t>
  </si>
  <si>
    <t xml:space="preserve">90K+ /mo (wall art)</t>
  </si>
  <si>
    <t xml:space="preserve">55-65%</t>
  </si>
  <si>
    <t xml:space="preserve">$0.20 × 20 = $4</t>
  </si>
  <si>
    <t xml:space="preserve">P1 — LAUNCH NOW</t>
  </si>
  <si>
    <t xml:space="preserve">LunarAura Home — Pillows &amp; Throws</t>
  </si>
  <si>
    <t xml:space="preserve">Pillow covers, plush pillows, fleece blankets, rugs</t>
  </si>
  <si>
    <t xml:space="preserve">35+ products</t>
  </si>
  <si>
    <t xml:space="preserve">12K+ /mo (throw pillow)</t>
  </si>
  <si>
    <t xml:space="preserve">40-50%</t>
  </si>
  <si>
    <t xml:space="preserve">Boho Dress &amp; Skirt Shop (Women)</t>
  </si>
  <si>
    <t xml:space="preserve">Maxi dresses, slip dresses, tiered skirts</t>
  </si>
  <si>
    <t xml:space="preserve">120+ dresses, 30+ skirts</t>
  </si>
  <si>
    <t xml:space="preserve">75K+ /mo</t>
  </si>
  <si>
    <t xml:space="preserve">25-35%</t>
  </si>
  <si>
    <t xml:space="preserve">P1 — LAUNCH MAR</t>
  </si>
  <si>
    <t xml:space="preserve">Festival &amp; Swim Shop</t>
  </si>
  <si>
    <t xml:space="preserve">Bikinis, swimsuits, cover-ups, crop tops, mesh</t>
  </si>
  <si>
    <t xml:space="preserve">12 swim + 50+ tops</t>
  </si>
  <si>
    <t xml:space="preserve">200K+ /mo (bikini alone)</t>
  </si>
  <si>
    <t xml:space="preserve">28-35%</t>
  </si>
  <si>
    <t xml:space="preserve">LunarAura Drinkware</t>
  </si>
  <si>
    <t xml:space="preserve">Mugs, tumblers, wine tumblers, water bottles</t>
  </si>
  <si>
    <t xml:space="preserve">36 products</t>
  </si>
  <si>
    <t xml:space="preserve">70K+ /mo (mug + tumbler)</t>
  </si>
  <si>
    <t xml:space="preserve">45-55%</t>
  </si>
  <si>
    <t xml:space="preserve">P2 — LAUNCH APR</t>
  </si>
  <si>
    <t xml:space="preserve">LunarAura Bags &amp; Accessories</t>
  </si>
  <si>
    <t xml:space="preserve">Tote bags, fanny packs, backpacks, cosmetic bags</t>
  </si>
  <si>
    <t xml:space="preserve">30+ products</t>
  </si>
  <si>
    <t xml:space="preserve">40K+ /mo (tote bag alone)</t>
  </si>
  <si>
    <t xml:space="preserve">35-45%</t>
  </si>
  <si>
    <t xml:space="preserve">Matching Sets &amp; Loungewear (Women)</t>
  </si>
  <si>
    <t xml:space="preserve">Pajamas, loungewear, hoodie sets</t>
  </si>
  <si>
    <t xml:space="preserve">34+ products</t>
  </si>
  <si>
    <t xml:space="preserve">8K+ /mo</t>
  </si>
  <si>
    <t xml:space="preserve">25-30%</t>
  </si>
  <si>
    <t xml:space="preserve">Men's Streetwear Shop</t>
  </si>
  <si>
    <t xml:space="preserve">Hoodies, bombers, joggers, shorts, tees</t>
  </si>
  <si>
    <t xml:space="preserve">250+ men's products</t>
  </si>
  <si>
    <t xml:space="preserve">12K+ /mo (men's AOP)</t>
  </si>
  <si>
    <t xml:space="preserve">P2 — LAUNCH MAY</t>
  </si>
  <si>
    <t xml:space="preserve">LunarAura Shoes</t>
  </si>
  <si>
    <t xml:space="preserve">Slippers, clogs, canvas shoes, sneakers</t>
  </si>
  <si>
    <t xml:space="preserve">54 products</t>
  </si>
  <si>
    <t xml:space="preserve">40K+ /mo (custom shoes)</t>
  </si>
  <si>
    <t xml:space="preserve">30-40%</t>
  </si>
  <si>
    <t xml:space="preserve">P3 — LAUNCH JUN</t>
  </si>
  <si>
    <t xml:space="preserve">Gothic &amp; Witch Fashion (Women)</t>
  </si>
  <si>
    <t xml:space="preserve">Corset dresses, velvet, mesh, bodysuits</t>
  </si>
  <si>
    <t xml:space="preserve">40+ products</t>
  </si>
  <si>
    <t xml:space="preserve">15K+ /mo</t>
  </si>
  <si>
    <t xml:space="preserve">P3 — LAUNCH SEP</t>
  </si>
  <si>
    <t xml:space="preserve">LunarAura Kids &amp; Baby</t>
  </si>
  <si>
    <t xml:space="preserve">Kids hoodies, onesies, clogs, backpacks</t>
  </si>
  <si>
    <t xml:space="preserve">56+ products</t>
  </si>
  <si>
    <t xml:space="preserve">12K+ /mo</t>
  </si>
  <si>
    <t xml:space="preserve">LunarAuraDesignStore (EXISTING)</t>
  </si>
  <si>
    <t xml:space="preserve">AOP hoodies + sweatshirts + tees</t>
  </si>
  <si>
    <t xml:space="preserve">39 hoodies + 23 knit</t>
  </si>
  <si>
    <t xml:space="preserve">29-32%</t>
  </si>
  <si>
    <t xml:space="preserve">Already running</t>
  </si>
  <si>
    <t xml:space="preserve">ACTIVE</t>
  </si>
  <si>
    <t xml:space="preserve">Margin Comparison — Why Home Decor &amp; Drinkware Beat Clothing</t>
  </si>
  <si>
    <t xml:space="preserve">Product Type</t>
  </si>
  <si>
    <t xml:space="preserve">Yoycol
Cost</t>
  </si>
  <si>
    <t xml:space="preserve">Landed
Cost</t>
  </si>
  <si>
    <t xml:space="preserve">Canvas Print (No Frame)</t>
  </si>
  <si>
    <t xml:space="preserve">AOP Ceramic Mug 11oz</t>
  </si>
  <si>
    <t xml:space="preserve">Single-Side Tapestry</t>
  </si>
  <si>
    <t xml:space="preserve">AOP Scrunchie (3-pack bundle)</t>
  </si>
  <si>
    <t xml:space="preserve">Skinny Tumbler 20oz</t>
  </si>
  <si>
    <t xml:space="preserve">AOP Garden Flag</t>
  </si>
  <si>
    <t xml:space="preserve">Felt Doormat</t>
  </si>
  <si>
    <t xml:space="preserve">Beach Towel</t>
  </si>
  <si>
    <t xml:space="preserve">--- CLOTHING COMPARISON ---</t>
  </si>
  <si>
    <t xml:space="preserve">Mesh T-shirt (Women)</t>
  </si>
  <si>
    <t xml:space="preserve">Sleeveless Cami Dress</t>
  </si>
  <si>
    <t xml:space="preserve">Long Maxi Skirt</t>
  </si>
  <si>
    <t xml:space="preserve">Pullover Hoodie</t>
  </si>
  <si>
    <t xml:space="preserve">Sleeveless Maxi Dress</t>
  </si>
  <si>
    <t xml:space="preserve">Patchwork Hoodie 280GSM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</si>
</sst>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94A3B8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2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1E293B"/>
        <bgColor rgb="FF0F172A"/>
      </patternFill>
    </fill>
    <fill>
      <patternFill patternType="solid">
        <fgColor rgb="FFF8FAFC"/>
        <bgColor rgb="FFFFFFFF"/>
      </patternFill>
    </fill>
    <fill>
      <patternFill patternType="solid">
        <fgColor rgb="FFFEF9C3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DCFCE7"/>
        <bgColor rgb="FFF8FAFC"/>
      </patternFill>
    </fill>
    <fill>
      <patternFill patternType="solid">
        <fgColor rgb="FFFEE2E2"/>
        <bgColor rgb="FFF3E8FF"/>
      </patternFill>
    </fill>
    <fill>
      <patternFill patternType="solid">
        <fgColor rgb="FFFDE68A"/>
        <bgColor rgb="FFFEF9C3"/>
      </patternFill>
    </fill>
    <fill>
      <patternFill patternType="solid">
        <fgColor rgb="FFF3E8FF"/>
        <bgColor rgb="FFFE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C3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6D4"/>
      <rgbColor rgb="FFF8FAFC"/>
      <rgbColor rgb="FFF3E8FF"/>
      <rgbColor rgb="FFFDE68A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59E0B"/>
      <rgbColor rgb="FFEF4444"/>
      <rgbColor rgb="FF8B5CF6"/>
      <rgbColor rgb="FF94A3B8"/>
      <rgbColor rgb="FF003366"/>
      <rgbColor rgb="FF22C55E"/>
      <rgbColor rgb="FF0F172A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6B6D4"/>
    <pageSetUpPr fitToPage="false"/>
  </sheetPr>
  <dimension ref="A1:H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52"/>
  </cols>
  <sheetData>
    <row r="1" customFormat="false" ht="17.3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4" t="n">
        <v>0.245</v>
      </c>
    </row>
    <row r="5" customFormat="false" ht="26.8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</row>
    <row r="6" customFormat="false" ht="15" hidden="false" customHeight="false" outlineLevel="0" collapsed="false">
      <c r="A6" s="6" t="s">
        <v>11</v>
      </c>
      <c r="B6" s="6" t="n">
        <v>141</v>
      </c>
      <c r="C6" s="7" t="s">
        <v>12</v>
      </c>
      <c r="D6" s="8" t="n">
        <v>6.27</v>
      </c>
      <c r="E6" s="8" t="n">
        <v>25.99</v>
      </c>
      <c r="F6" s="9" t="n">
        <f aca="false">E6-D6-5.95-(E6*$B$3+0.2)</f>
        <v>7.20245</v>
      </c>
      <c r="G6" s="10" t="n">
        <f aca="false">IF(E6&gt;0,F6/E6,0)</f>
        <v>0.27712389380531</v>
      </c>
      <c r="H6" s="11" t="s">
        <v>13</v>
      </c>
    </row>
    <row r="7" customFormat="false" ht="15" hidden="false" customHeight="false" outlineLevel="0" collapsed="false">
      <c r="A7" s="12" t="s">
        <v>14</v>
      </c>
      <c r="B7" s="12" t="n">
        <v>124</v>
      </c>
      <c r="C7" s="13" t="s">
        <v>15</v>
      </c>
      <c r="D7" s="14" t="n">
        <v>10.86</v>
      </c>
      <c r="E7" s="14" t="n">
        <v>39.99</v>
      </c>
      <c r="F7" s="15" t="n">
        <f aca="false">E7-D7-8-(E7*$B$3+0.2)</f>
        <v>11.13245</v>
      </c>
      <c r="G7" s="16" t="n">
        <f aca="false">IF(E7&gt;0,F7/E7,0)</f>
        <v>0.278380845211303</v>
      </c>
      <c r="H7" s="17" t="s">
        <v>16</v>
      </c>
    </row>
    <row r="8" customFormat="false" ht="15" hidden="false" customHeight="false" outlineLevel="0" collapsed="false">
      <c r="A8" s="6" t="s">
        <v>17</v>
      </c>
      <c r="B8" s="6" t="n">
        <v>46</v>
      </c>
      <c r="C8" s="7" t="s">
        <v>18</v>
      </c>
      <c r="D8" s="8" t="n">
        <v>9.01</v>
      </c>
      <c r="E8" s="8" t="n">
        <v>32.99</v>
      </c>
      <c r="F8" s="9" t="n">
        <f aca="false">E8-D8-7-(E8*$B$3+0.2)</f>
        <v>8.69745000000001</v>
      </c>
      <c r="G8" s="10" t="n">
        <f aca="false">IF(E8&gt;0,F8/E8,0)</f>
        <v>0.263638981509549</v>
      </c>
      <c r="H8" s="7" t="s">
        <v>19</v>
      </c>
    </row>
    <row r="9" customFormat="false" ht="15" hidden="false" customHeight="false" outlineLevel="0" collapsed="false">
      <c r="A9" s="12" t="s">
        <v>20</v>
      </c>
      <c r="B9" s="12" t="n">
        <v>39</v>
      </c>
      <c r="C9" s="13" t="s">
        <v>21</v>
      </c>
      <c r="D9" s="14" t="n">
        <v>12.4</v>
      </c>
      <c r="E9" s="14" t="n">
        <v>44.99</v>
      </c>
      <c r="F9" s="15" t="n">
        <f aca="false">E9-D9-9-(E9*$B$3+0.2)</f>
        <v>12.36745</v>
      </c>
      <c r="G9" s="16" t="n">
        <f aca="false">IF(E9&gt;0,F9/E9,0)</f>
        <v>0.274893309624361</v>
      </c>
      <c r="H9" s="11" t="s">
        <v>22</v>
      </c>
    </row>
    <row r="10" customFormat="false" ht="15" hidden="false" customHeight="false" outlineLevel="0" collapsed="false">
      <c r="A10" s="6" t="s">
        <v>23</v>
      </c>
      <c r="B10" s="6" t="n">
        <v>31</v>
      </c>
      <c r="C10" s="7" t="s">
        <v>24</v>
      </c>
      <c r="D10" s="8" t="n">
        <v>9.64</v>
      </c>
      <c r="E10" s="8" t="n">
        <v>34.99</v>
      </c>
      <c r="F10" s="9" t="n">
        <f aca="false">E10-D10-7.5-(E10*$B$3+0.2)</f>
        <v>9.07745</v>
      </c>
      <c r="G10" s="10" t="n">
        <f aca="false">IF(E10&gt;0,F10/E10,0)</f>
        <v>0.259429837096313</v>
      </c>
      <c r="H10" s="7" t="s">
        <v>25</v>
      </c>
    </row>
    <row r="11" customFormat="false" ht="15" hidden="false" customHeight="false" outlineLevel="0" collapsed="false">
      <c r="A11" s="12" t="s">
        <v>26</v>
      </c>
      <c r="B11" s="12" t="n">
        <v>23</v>
      </c>
      <c r="C11" s="13" t="s">
        <v>27</v>
      </c>
      <c r="D11" s="14" t="n">
        <v>11.7</v>
      </c>
      <c r="E11" s="14" t="n">
        <v>39.99</v>
      </c>
      <c r="F11" s="15" t="n">
        <f aca="false">E11-D11-8.5-(E11*$B$3+0.2)</f>
        <v>9.79245</v>
      </c>
      <c r="G11" s="16" t="n">
        <f aca="false">IF(E11&gt;0,F11/E11,0)</f>
        <v>0.244872468117029</v>
      </c>
      <c r="H11" s="13" t="s">
        <v>28</v>
      </c>
    </row>
    <row r="12" customFormat="false" ht="15" hidden="false" customHeight="false" outlineLevel="0" collapsed="false">
      <c r="A12" s="6" t="s">
        <v>29</v>
      </c>
      <c r="B12" s="6" t="n">
        <v>22</v>
      </c>
      <c r="C12" s="7" t="s">
        <v>30</v>
      </c>
      <c r="D12" s="8" t="n">
        <v>13.63</v>
      </c>
      <c r="E12" s="8" t="n">
        <v>42.99</v>
      </c>
      <c r="F12" s="9" t="n">
        <f aca="false">E12-D12-8.5-(E12*$B$3+0.2)</f>
        <v>10.12745</v>
      </c>
      <c r="G12" s="10" t="n">
        <f aca="false">IF(E12&gt;0,F12/E12,0)</f>
        <v>0.235576878343801</v>
      </c>
      <c r="H12" s="11" t="s">
        <v>31</v>
      </c>
    </row>
    <row r="13" customFormat="false" ht="15" hidden="false" customHeight="false" outlineLevel="0" collapsed="false">
      <c r="A13" s="12" t="s">
        <v>32</v>
      </c>
      <c r="B13" s="12" t="n">
        <v>20</v>
      </c>
      <c r="C13" s="13" t="s">
        <v>33</v>
      </c>
      <c r="D13" s="14" t="n">
        <v>9.01</v>
      </c>
      <c r="E13" s="14" t="n">
        <v>35.99</v>
      </c>
      <c r="F13" s="15" t="n">
        <f aca="false">E13-D13-7.5-(E13*$B$3+0.2)</f>
        <v>10.46245</v>
      </c>
      <c r="G13" s="16" t="n">
        <f aca="false">IF(E13&gt;0,F13/E13,0)</f>
        <v>0.290704362322868</v>
      </c>
      <c r="H13" s="11" t="s">
        <v>34</v>
      </c>
    </row>
    <row r="14" customFormat="false" ht="15" hidden="false" customHeight="false" outlineLevel="0" collapsed="false">
      <c r="A14" s="6" t="s">
        <v>35</v>
      </c>
      <c r="B14" s="6" t="n">
        <v>12</v>
      </c>
      <c r="C14" s="7" t="s">
        <v>36</v>
      </c>
      <c r="D14" s="8" t="n">
        <v>8.71</v>
      </c>
      <c r="E14" s="8" t="n">
        <v>34.99</v>
      </c>
      <c r="F14" s="9" t="n">
        <f aca="false">E14-D14-5.75-(E14*$B$3+0.2)</f>
        <v>11.75745</v>
      </c>
      <c r="G14" s="10" t="n">
        <f aca="false">IF(E14&gt;0,F14/E14,0)</f>
        <v>0.336023149471278</v>
      </c>
      <c r="H14" s="17" t="s">
        <v>37</v>
      </c>
    </row>
    <row r="15" customFormat="false" ht="15" hidden="false" customHeight="false" outlineLevel="0" collapsed="false">
      <c r="A15" s="12" t="s">
        <v>38</v>
      </c>
      <c r="B15" s="12" t="n">
        <v>11</v>
      </c>
      <c r="C15" s="13" t="s">
        <v>39</v>
      </c>
      <c r="D15" s="14" t="n">
        <v>18.41</v>
      </c>
      <c r="E15" s="14" t="n">
        <v>44.99</v>
      </c>
      <c r="F15" s="15" t="n">
        <f aca="false">E15-D15-9-(E15*$B$3+0.2)</f>
        <v>6.35745</v>
      </c>
      <c r="G15" s="16" t="n">
        <f aca="false">IF(E15&gt;0,F15/E15,0)</f>
        <v>0.141308068459658</v>
      </c>
      <c r="H15" s="13" t="s">
        <v>40</v>
      </c>
    </row>
    <row r="16" customFormat="false" ht="15" hidden="false" customHeight="false" outlineLevel="0" collapsed="false">
      <c r="A16" s="6" t="s">
        <v>41</v>
      </c>
      <c r="B16" s="6" t="n">
        <v>12</v>
      </c>
      <c r="C16" s="7" t="s">
        <v>42</v>
      </c>
      <c r="D16" s="8" t="n">
        <v>11.89</v>
      </c>
      <c r="E16" s="8" t="n">
        <v>39.99</v>
      </c>
      <c r="F16" s="9" t="n">
        <f aca="false">E16-D16-8.5-(E16*$B$3+0.2)</f>
        <v>9.60245</v>
      </c>
      <c r="G16" s="10" t="n">
        <f aca="false">IF(E16&gt;0,F16/E16,0)</f>
        <v>0.24012128032008</v>
      </c>
      <c r="H16" s="11" t="s">
        <v>43</v>
      </c>
    </row>
    <row r="17" customFormat="false" ht="15" hidden="false" customHeight="false" outlineLevel="0" collapsed="false">
      <c r="A17" s="12" t="s">
        <v>44</v>
      </c>
      <c r="B17" s="12" t="n">
        <v>9</v>
      </c>
      <c r="C17" s="13" t="s">
        <v>45</v>
      </c>
      <c r="D17" s="14" t="n">
        <v>14.21</v>
      </c>
      <c r="E17" s="14" t="n">
        <v>49.99</v>
      </c>
      <c r="F17" s="15" t="n">
        <f aca="false">E17-D17-9-(E17*$B$3+0.2)</f>
        <v>14.33245</v>
      </c>
      <c r="G17" s="16" t="n">
        <f aca="false">IF(E17&gt;0,F17/E17,0)</f>
        <v>0.286706341268254</v>
      </c>
      <c r="H17" s="11" t="s">
        <v>46</v>
      </c>
    </row>
    <row r="18" customFormat="false" ht="15" hidden="false" customHeight="false" outlineLevel="0" collapsed="false">
      <c r="A18" s="6" t="s">
        <v>47</v>
      </c>
      <c r="B18" s="6" t="n">
        <v>50</v>
      </c>
      <c r="C18" s="7" t="s">
        <v>48</v>
      </c>
      <c r="D18" s="8" t="n">
        <v>12.8</v>
      </c>
      <c r="E18" s="8" t="n">
        <v>44.99</v>
      </c>
      <c r="F18" s="9" t="n">
        <f aca="false">E18-D18-9-(E18*$B$3+0.2)</f>
        <v>11.96745</v>
      </c>
      <c r="G18" s="10" t="n">
        <f aca="false">IF(E18&gt;0,F18/E18,0)</f>
        <v>0.266002444987775</v>
      </c>
      <c r="H18" s="11" t="s">
        <v>49</v>
      </c>
    </row>
    <row r="19" customFormat="false" ht="15" hidden="false" customHeight="false" outlineLevel="0" collapsed="false">
      <c r="A19" s="12" t="s">
        <v>50</v>
      </c>
      <c r="B19" s="12" t="n">
        <v>95</v>
      </c>
      <c r="C19" s="13" t="s">
        <v>51</v>
      </c>
      <c r="D19" s="14" t="n">
        <v>8.5</v>
      </c>
      <c r="E19" s="14" t="n">
        <v>29.99</v>
      </c>
      <c r="F19" s="15" t="n">
        <f aca="false">E19-D19-6.5-(E19*$B$3+0.2)</f>
        <v>7.44245</v>
      </c>
      <c r="G19" s="16" t="n">
        <f aca="false">IF(E19&gt;0,F19/E19,0)</f>
        <v>0.248164388129376</v>
      </c>
      <c r="H19" s="13" t="s">
        <v>52</v>
      </c>
    </row>
    <row r="20" customFormat="false" ht="15" hidden="false" customHeight="false" outlineLevel="0" collapsed="false">
      <c r="A20" s="6" t="s">
        <v>53</v>
      </c>
      <c r="B20" s="6" t="n">
        <v>60</v>
      </c>
      <c r="C20" s="7" t="s">
        <v>54</v>
      </c>
      <c r="D20" s="8" t="n">
        <v>10.5</v>
      </c>
      <c r="E20" s="8" t="n">
        <v>34.99</v>
      </c>
      <c r="F20" s="9" t="n">
        <f aca="false">E20-D20-7.5-(E20*$B$3+0.2)</f>
        <v>8.21745</v>
      </c>
      <c r="G20" s="10" t="n">
        <f aca="false">IF(E20&gt;0,F20/E20,0)</f>
        <v>0.234851386110317</v>
      </c>
      <c r="H20" s="11" t="s">
        <v>55</v>
      </c>
    </row>
    <row r="21" customFormat="false" ht="15" hidden="false" customHeight="false" outlineLevel="0" collapsed="false">
      <c r="A21" s="12" t="s">
        <v>56</v>
      </c>
      <c r="B21" s="12" t="n">
        <v>45</v>
      </c>
      <c r="C21" s="13" t="s">
        <v>57</v>
      </c>
      <c r="D21" s="14" t="n">
        <v>15.2</v>
      </c>
      <c r="E21" s="14" t="n">
        <v>44.99</v>
      </c>
      <c r="F21" s="15" t="n">
        <f aca="false">E21-D21-9-(E21*$B$3+0.2)</f>
        <v>9.56745</v>
      </c>
      <c r="G21" s="16" t="n">
        <f aca="false">IF(E21&gt;0,F21/E21,0)</f>
        <v>0.21265725716826</v>
      </c>
      <c r="H21" s="13" t="s">
        <v>58</v>
      </c>
    </row>
    <row r="22" customFormat="false" ht="15" hidden="false" customHeight="false" outlineLevel="0" collapsed="false">
      <c r="A22" s="6" t="s">
        <v>59</v>
      </c>
      <c r="B22" s="6" t="n">
        <v>25</v>
      </c>
      <c r="C22" s="7" t="s">
        <v>60</v>
      </c>
      <c r="D22" s="8" t="n">
        <v>4.5</v>
      </c>
      <c r="E22" s="8" t="n">
        <v>24.99</v>
      </c>
      <c r="F22" s="9" t="n">
        <f aca="false">E22-D22-6-(E22*$B$3+0.2)</f>
        <v>8.16745</v>
      </c>
      <c r="G22" s="10" t="n">
        <f aca="false">IF(E22&gt;0,F22/E22,0)</f>
        <v>0.326828731492597</v>
      </c>
      <c r="H22" s="17" t="s">
        <v>61</v>
      </c>
    </row>
    <row r="23" customFormat="false" ht="15" hidden="false" customHeight="false" outlineLevel="0" collapsed="false">
      <c r="A23" s="12" t="s">
        <v>62</v>
      </c>
      <c r="B23" s="12" t="n">
        <v>15</v>
      </c>
      <c r="C23" s="13" t="s">
        <v>63</v>
      </c>
      <c r="D23" s="14" t="n">
        <v>4.5</v>
      </c>
      <c r="E23" s="14" t="n">
        <v>19.99</v>
      </c>
      <c r="F23" s="15" t="n">
        <f aca="false">E23-D23-5.5-(E23*$B$3+0.2)</f>
        <v>4.89245</v>
      </c>
      <c r="G23" s="16" t="n">
        <f aca="false">IF(E23&gt;0,F23/E23,0)</f>
        <v>0.244744872436218</v>
      </c>
      <c r="H23" s="18" t="s">
        <v>64</v>
      </c>
    </row>
    <row r="24" customFormat="false" ht="15" hidden="false" customHeight="false" outlineLevel="0" collapsed="false">
      <c r="A24" s="6" t="s">
        <v>65</v>
      </c>
      <c r="B24" s="6" t="n">
        <v>12</v>
      </c>
      <c r="C24" s="7" t="s">
        <v>66</v>
      </c>
      <c r="D24" s="8" t="n">
        <v>18.5</v>
      </c>
      <c r="E24" s="8" t="n">
        <v>54.99</v>
      </c>
      <c r="F24" s="9" t="n">
        <f aca="false">E24-D24-10-(E24*$B$3+0.2)</f>
        <v>12.81745</v>
      </c>
      <c r="G24" s="10" t="n">
        <f aca="false">IF(E24&gt;0,F24/E24,0)</f>
        <v>0.233086924895436</v>
      </c>
      <c r="H24" s="11" t="s">
        <v>67</v>
      </c>
    </row>
    <row r="25" customFormat="false" ht="15" hidden="false" customHeight="false" outlineLevel="0" collapsed="false">
      <c r="A25" s="12" t="s">
        <v>68</v>
      </c>
      <c r="B25" s="12" t="n">
        <v>8</v>
      </c>
      <c r="C25" s="13" t="s">
        <v>69</v>
      </c>
      <c r="D25" s="14" t="n">
        <v>10</v>
      </c>
      <c r="E25" s="14" t="n">
        <v>34.99</v>
      </c>
      <c r="F25" s="15" t="n">
        <f aca="false">E25-D25-8-(E25*$B$3+0.2)</f>
        <v>8.21745</v>
      </c>
      <c r="G25" s="16" t="n">
        <f aca="false">IF(E25&gt;0,F25/E25,0)</f>
        <v>0.234851386110317</v>
      </c>
      <c r="H25" s="11" t="s">
        <v>70</v>
      </c>
    </row>
    <row r="26" customFormat="false" ht="15" hidden="false" customHeight="false" outlineLevel="0" collapsed="false">
      <c r="A26" s="6" t="s">
        <v>71</v>
      </c>
      <c r="B26" s="6" t="n">
        <v>10</v>
      </c>
      <c r="C26" s="7" t="s">
        <v>72</v>
      </c>
      <c r="D26" s="8" t="n">
        <v>6.5</v>
      </c>
      <c r="E26" s="8" t="n">
        <v>29.99</v>
      </c>
      <c r="F26" s="9" t="n">
        <f aca="false">E26-D26-7-(E26*$B$3+0.2)</f>
        <v>8.94245</v>
      </c>
      <c r="G26" s="10" t="n">
        <f aca="false">IF(E26&gt;0,F26/E26,0)</f>
        <v>0.298181060353451</v>
      </c>
      <c r="H26" s="7" t="s">
        <v>73</v>
      </c>
    </row>
    <row r="27" customFormat="false" ht="15" hidden="false" customHeight="false" outlineLevel="0" collapsed="false">
      <c r="A27" s="12" t="s">
        <v>74</v>
      </c>
      <c r="B27" s="12" t="n">
        <v>8</v>
      </c>
      <c r="C27" s="13" t="s">
        <v>75</v>
      </c>
      <c r="D27" s="14" t="n">
        <v>5.5</v>
      </c>
      <c r="E27" s="14" t="n">
        <v>24.99</v>
      </c>
      <c r="F27" s="15" t="n">
        <f aca="false">E27-D27-6.5-(E27*$B$3+0.2)</f>
        <v>6.66745</v>
      </c>
      <c r="G27" s="16" t="n">
        <f aca="false">IF(E27&gt;0,F27/E27,0)</f>
        <v>0.266804721888756</v>
      </c>
      <c r="H27" s="13" t="s">
        <v>76</v>
      </c>
    </row>
    <row r="28" customFormat="false" ht="15" hidden="false" customHeight="false" outlineLevel="0" collapsed="false">
      <c r="A28" s="6" t="s">
        <v>77</v>
      </c>
      <c r="B28" s="6" t="n">
        <v>12</v>
      </c>
      <c r="C28" s="7" t="s">
        <v>78</v>
      </c>
      <c r="D28" s="8" t="n">
        <v>10</v>
      </c>
      <c r="E28" s="8" t="n">
        <v>34.99</v>
      </c>
      <c r="F28" s="9" t="n">
        <f aca="false">E28-D28-7-(E28*$B$3+0.2)</f>
        <v>9.21745</v>
      </c>
      <c r="G28" s="10" t="n">
        <f aca="false">IF(E28&gt;0,F28/E28,0)</f>
        <v>0.26343098028008</v>
      </c>
      <c r="H28" s="7" t="s">
        <v>79</v>
      </c>
    </row>
    <row r="29" customFormat="false" ht="15" hidden="false" customHeight="false" outlineLevel="0" collapsed="false">
      <c r="A29" s="12" t="s">
        <v>80</v>
      </c>
      <c r="B29" s="12" t="n">
        <v>25</v>
      </c>
      <c r="C29" s="13" t="s">
        <v>81</v>
      </c>
      <c r="D29" s="14" t="n">
        <v>22</v>
      </c>
      <c r="E29" s="14" t="n">
        <v>64.99</v>
      </c>
      <c r="F29" s="15" t="n">
        <f aca="false">E29-D29-10-(E29*$B$3+0.2)</f>
        <v>16.86745</v>
      </c>
      <c r="G29" s="16" t="n">
        <f aca="false">IF(E29&gt;0,F29/E29,0)</f>
        <v>0.259539159870749</v>
      </c>
      <c r="H29" s="11" t="s">
        <v>82</v>
      </c>
    </row>
    <row r="30" customFormat="false" ht="15" hidden="false" customHeight="false" outlineLevel="0" collapsed="false">
      <c r="A30" s="6" t="s">
        <v>83</v>
      </c>
      <c r="B30" s="6" t="n">
        <v>8</v>
      </c>
      <c r="C30" s="7" t="s">
        <v>84</v>
      </c>
      <c r="D30" s="8" t="n">
        <v>13.2</v>
      </c>
      <c r="E30" s="8" t="n">
        <v>44.99</v>
      </c>
      <c r="F30" s="9" t="n">
        <f aca="false">E30-D30-8-(E30*$B$3+0.2)</f>
        <v>12.56745</v>
      </c>
      <c r="G30" s="10" t="n">
        <f aca="false">IF(E30&gt;0,F30/E30,0)</f>
        <v>0.279338741942654</v>
      </c>
      <c r="H30" s="11" t="s">
        <v>85</v>
      </c>
    </row>
    <row r="31" customFormat="false" ht="15" hidden="false" customHeight="false" outlineLevel="0" collapsed="false">
      <c r="A31" s="12" t="s">
        <v>86</v>
      </c>
      <c r="B31" s="12" t="n">
        <v>10</v>
      </c>
      <c r="C31" s="13" t="s">
        <v>87</v>
      </c>
      <c r="D31" s="14" t="n">
        <v>5.8</v>
      </c>
      <c r="E31" s="14" t="n">
        <v>24.99</v>
      </c>
      <c r="F31" s="15" t="n">
        <f aca="false">E31-D31-5.5-(E31*$B$3+0.2)</f>
        <v>7.36745</v>
      </c>
      <c r="G31" s="16" t="n">
        <f aca="false">IF(E31&gt;0,F31/E31,0)</f>
        <v>0.294815926370548</v>
      </c>
      <c r="H31" s="17" t="s">
        <v>88</v>
      </c>
    </row>
    <row r="32" customFormat="false" ht="15" hidden="false" customHeight="false" outlineLevel="0" collapsed="false">
      <c r="A32" s="6" t="s">
        <v>89</v>
      </c>
      <c r="B32" s="6" t="n">
        <v>8</v>
      </c>
      <c r="C32" s="7" t="s">
        <v>90</v>
      </c>
      <c r="D32" s="8" t="n">
        <v>12</v>
      </c>
      <c r="E32" s="8" t="n">
        <v>39.99</v>
      </c>
      <c r="F32" s="9" t="n">
        <f aca="false">E32-D32-8-(E32*$B$3+0.2)</f>
        <v>9.99245</v>
      </c>
      <c r="G32" s="10" t="n">
        <f aca="false">IF(E32&gt;0,F32/E32,0)</f>
        <v>0.249873718429607</v>
      </c>
      <c r="H32" s="7" t="s">
        <v>91</v>
      </c>
    </row>
    <row r="33" customFormat="false" ht="15" hidden="false" customHeight="false" outlineLevel="0" collapsed="false">
      <c r="A33" s="12" t="s">
        <v>92</v>
      </c>
      <c r="B33" s="12" t="n">
        <v>12</v>
      </c>
      <c r="C33" s="13" t="s">
        <v>93</v>
      </c>
      <c r="D33" s="14" t="n">
        <v>7.5</v>
      </c>
      <c r="E33" s="14" t="n">
        <v>24.99</v>
      </c>
      <c r="F33" s="15" t="n">
        <f aca="false">E33-D33-5.5-(E33*$B$3+0.2)</f>
        <v>5.66745</v>
      </c>
      <c r="G33" s="16" t="n">
        <f aca="false">IF(E33&gt;0,F33/E33,0)</f>
        <v>0.226788715486194</v>
      </c>
      <c r="H33" s="13" t="s">
        <v>94</v>
      </c>
    </row>
    <row r="34" customFormat="false" ht="15" hidden="false" customHeight="false" outlineLevel="0" collapsed="false">
      <c r="A34" s="6" t="s">
        <v>95</v>
      </c>
      <c r="B34" s="6" t="n">
        <v>8</v>
      </c>
      <c r="C34" s="7" t="s">
        <v>96</v>
      </c>
      <c r="D34" s="8" t="n">
        <v>8.5</v>
      </c>
      <c r="E34" s="8" t="n">
        <v>29.99</v>
      </c>
      <c r="F34" s="9" t="n">
        <f aca="false">E34-D34-6-(E34*$B$3+0.2)</f>
        <v>7.94245</v>
      </c>
      <c r="G34" s="10" t="n">
        <f aca="false">IF(E34&gt;0,F34/E34,0)</f>
        <v>0.264836612204068</v>
      </c>
      <c r="H34" s="11" t="s">
        <v>97</v>
      </c>
    </row>
    <row r="35" customFormat="false" ht="15" hidden="false" customHeight="false" outlineLevel="0" collapsed="false">
      <c r="A35" s="12" t="s">
        <v>98</v>
      </c>
      <c r="B35" s="12" t="n">
        <v>10</v>
      </c>
      <c r="C35" s="13" t="s">
        <v>99</v>
      </c>
      <c r="D35" s="14" t="n">
        <v>3.5</v>
      </c>
      <c r="E35" s="14" t="n">
        <v>19.99</v>
      </c>
      <c r="F35" s="15" t="n">
        <f aca="false">E35-D35-5-(E35*$B$3+0.2)</f>
        <v>6.39245</v>
      </c>
      <c r="G35" s="16" t="n">
        <f aca="false">IF(E35&gt;0,F35/E35,0)</f>
        <v>0.319782391195598</v>
      </c>
      <c r="H35" s="11" t="s">
        <v>100</v>
      </c>
    </row>
    <row r="36" customFormat="false" ht="15" hidden="false" customHeight="false" outlineLevel="0" collapsed="false">
      <c r="A36" s="6" t="s">
        <v>101</v>
      </c>
      <c r="B36" s="6" t="n">
        <v>15</v>
      </c>
      <c r="C36" s="7" t="s">
        <v>102</v>
      </c>
      <c r="D36" s="8" t="n">
        <v>7.5</v>
      </c>
      <c r="E36" s="8" t="n">
        <v>29.99</v>
      </c>
      <c r="F36" s="9" t="n">
        <f aca="false">E36-D36-6-(E36*$B$3+0.2)</f>
        <v>8.94245</v>
      </c>
      <c r="G36" s="10" t="n">
        <f aca="false">IF(E36&gt;0,F36/E36,0)</f>
        <v>0.298181060353451</v>
      </c>
      <c r="H36" s="11" t="s">
        <v>103</v>
      </c>
    </row>
    <row r="37" customFormat="false" ht="15" hidden="false" customHeight="false" outlineLevel="0" collapsed="false">
      <c r="A37" s="12" t="s">
        <v>104</v>
      </c>
      <c r="B37" s="12" t="n">
        <v>8</v>
      </c>
      <c r="C37" s="13" t="s">
        <v>105</v>
      </c>
      <c r="D37" s="14" t="n">
        <v>5.5</v>
      </c>
      <c r="E37" s="14" t="n">
        <v>24.99</v>
      </c>
      <c r="F37" s="15" t="n">
        <f aca="false">E37-D37-5-(E37*$B$3+0.2)</f>
        <v>8.16745</v>
      </c>
      <c r="G37" s="16" t="n">
        <f aca="false">IF(E37&gt;0,F37/E37,0)</f>
        <v>0.326828731492597</v>
      </c>
      <c r="H37" s="13" t="s">
        <v>106</v>
      </c>
    </row>
    <row r="38" customFormat="false" ht="15" hidden="false" customHeight="false" outlineLevel="0" collapsed="false">
      <c r="A38" s="6" t="s">
        <v>107</v>
      </c>
      <c r="B38" s="6" t="n">
        <v>5</v>
      </c>
      <c r="C38" s="7" t="s">
        <v>108</v>
      </c>
      <c r="D38" s="8" t="n">
        <v>5.5</v>
      </c>
      <c r="E38" s="8" t="n">
        <v>14.99</v>
      </c>
      <c r="F38" s="9" t="n">
        <f aca="false">E38-D38-4.5-(E38*$B$3+0.2)</f>
        <v>1.11745</v>
      </c>
      <c r="G38" s="10" t="n">
        <f aca="false">IF(E38&gt;0,F38/E38,0)</f>
        <v>0.0745463642428285</v>
      </c>
      <c r="H38" s="18" t="s">
        <v>109</v>
      </c>
    </row>
    <row r="39" customFormat="false" ht="23.85" hidden="false" customHeight="false" outlineLevel="0" collapsed="false">
      <c r="A39" s="12" t="s">
        <v>110</v>
      </c>
      <c r="B39" s="12" t="n">
        <v>5</v>
      </c>
      <c r="C39" s="13" t="s">
        <v>111</v>
      </c>
      <c r="D39" s="14" t="n">
        <v>5.5</v>
      </c>
      <c r="E39" s="14" t="n">
        <v>19.99</v>
      </c>
      <c r="F39" s="15" t="n">
        <f aca="false">E39-D39-5-(E39*$B$3+0.2)</f>
        <v>4.39245</v>
      </c>
      <c r="G39" s="16" t="n">
        <f aca="false">IF(E39&gt;0,F39/E39,0)</f>
        <v>0.219732366183091</v>
      </c>
      <c r="H39" s="13" t="s">
        <v>112</v>
      </c>
    </row>
    <row r="40" customFormat="false" ht="15" hidden="false" customHeight="false" outlineLevel="0" collapsed="false">
      <c r="A40" s="6" t="s">
        <v>113</v>
      </c>
      <c r="B40" s="6" t="n">
        <v>35</v>
      </c>
      <c r="C40" s="7" t="s">
        <v>114</v>
      </c>
      <c r="D40" s="8" t="n">
        <v>8</v>
      </c>
      <c r="E40" s="8" t="n">
        <v>29.99</v>
      </c>
      <c r="F40" s="9" t="n">
        <f aca="false">E40-D40-6.5-(E40*$B$3+0.2)</f>
        <v>7.94245</v>
      </c>
      <c r="G40" s="10" t="n">
        <f aca="false">IF(E40&gt;0,F40/E40,0)</f>
        <v>0.264836612204068</v>
      </c>
      <c r="H40" s="7" t="s">
        <v>115</v>
      </c>
    </row>
    <row r="41" customFormat="false" ht="15" hidden="false" customHeight="false" outlineLevel="0" collapsed="false">
      <c r="A41" s="12" t="s">
        <v>116</v>
      </c>
      <c r="B41" s="12" t="n">
        <v>12</v>
      </c>
      <c r="C41" s="13" t="s">
        <v>117</v>
      </c>
      <c r="D41" s="14" t="n">
        <v>4.5</v>
      </c>
      <c r="E41" s="14" t="n">
        <v>19.99</v>
      </c>
      <c r="F41" s="15" t="n">
        <f aca="false">E41-D41-5-(E41*$B$3+0.2)</f>
        <v>5.39245</v>
      </c>
      <c r="G41" s="16" t="n">
        <f aca="false">IF(E41&gt;0,F41/E41,0)</f>
        <v>0.269757378689345</v>
      </c>
      <c r="H41" s="13" t="s">
        <v>118</v>
      </c>
    </row>
    <row r="42" customFormat="false" ht="15" hidden="false" customHeight="false" outlineLevel="0" collapsed="false">
      <c r="A42" s="6" t="s">
        <v>119</v>
      </c>
      <c r="B42" s="6" t="n">
        <v>5</v>
      </c>
      <c r="C42" s="7" t="s">
        <v>120</v>
      </c>
      <c r="D42" s="8" t="n">
        <v>6</v>
      </c>
      <c r="E42" s="8" t="n">
        <v>24.99</v>
      </c>
      <c r="F42" s="9" t="n">
        <f aca="false">E42-D42-5.5-(E42*$B$3+0.2)</f>
        <v>7.16745</v>
      </c>
      <c r="G42" s="10" t="n">
        <f aca="false">IF(E42&gt;0,F42/E42,0)</f>
        <v>0.286812725090036</v>
      </c>
      <c r="H42" s="7" t="s">
        <v>121</v>
      </c>
    </row>
    <row r="43" customFormat="false" ht="15" hidden="false" customHeight="false" outlineLevel="0" collapsed="false">
      <c r="A43" s="12" t="s">
        <v>122</v>
      </c>
      <c r="B43" s="12" t="n">
        <v>8</v>
      </c>
      <c r="C43" s="13" t="s">
        <v>123</v>
      </c>
      <c r="D43" s="14" t="n">
        <v>3</v>
      </c>
      <c r="E43" s="14" t="n">
        <v>14.99</v>
      </c>
      <c r="F43" s="15" t="n">
        <f aca="false">E43-D43-3.5-(E43*$B$3+0.2)</f>
        <v>4.61745</v>
      </c>
      <c r="G43" s="16" t="n">
        <f aca="false">IF(E43&gt;0,F43/E43,0)</f>
        <v>0.308035356904603</v>
      </c>
      <c r="H43" s="18" t="s">
        <v>124</v>
      </c>
    </row>
    <row r="44" customFormat="false" ht="15" hidden="false" customHeight="false" outlineLevel="0" collapsed="false">
      <c r="A44" s="6" t="s">
        <v>125</v>
      </c>
      <c r="B44" s="6" t="n">
        <v>5</v>
      </c>
      <c r="C44" s="7" t="s">
        <v>126</v>
      </c>
      <c r="D44" s="8" t="n">
        <v>8</v>
      </c>
      <c r="E44" s="8" t="n">
        <v>29.99</v>
      </c>
      <c r="F44" s="9" t="n">
        <f aca="false">E44-D44-6-(E44*$B$3+0.2)</f>
        <v>8.44245</v>
      </c>
      <c r="G44" s="10" t="n">
        <f aca="false">IF(E44&gt;0,F44/E44,0)</f>
        <v>0.28150883627876</v>
      </c>
      <c r="H44" s="11" t="s">
        <v>127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36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8" min="6" style="0" width="10"/>
    <col collapsed="false" customWidth="true" hidden="false" outlineLevel="0" max="9" min="9" style="0" width="9"/>
    <col collapsed="false" customWidth="true" hidden="false" outlineLevel="0" max="10" min="10" style="0" width="52"/>
    <col collapsed="false" customWidth="true" hidden="false" outlineLevel="0" max="11" min="11" style="0" width="22"/>
    <col collapsed="false" customWidth="true" hidden="false" outlineLevel="0" max="12" min="12" style="0" width="12"/>
  </cols>
  <sheetData>
    <row r="1" customFormat="false" ht="17.35" hidden="false" customHeight="true" outlineLevel="0" collapsed="false">
      <c r="A1" s="1" t="s">
        <v>128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2" t="s">
        <v>129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6.85" hidden="false" customHeight="false" outlineLevel="0" collapsed="false">
      <c r="A4" s="5" t="s">
        <v>130</v>
      </c>
      <c r="B4" s="5" t="s">
        <v>3</v>
      </c>
      <c r="C4" s="5" t="s">
        <v>131</v>
      </c>
      <c r="D4" s="5" t="s">
        <v>132</v>
      </c>
      <c r="E4" s="5" t="s">
        <v>133</v>
      </c>
      <c r="F4" s="5" t="s">
        <v>134</v>
      </c>
      <c r="G4" s="5" t="s">
        <v>135</v>
      </c>
      <c r="H4" s="5" t="s">
        <v>136</v>
      </c>
      <c r="I4" s="5" t="s">
        <v>137</v>
      </c>
      <c r="J4" s="5" t="s">
        <v>138</v>
      </c>
      <c r="K4" s="5" t="s">
        <v>139</v>
      </c>
      <c r="L4" s="5" t="s">
        <v>140</v>
      </c>
    </row>
    <row r="5" customFormat="false" ht="26.85" hidden="false" customHeight="false" outlineLevel="0" collapsed="false">
      <c r="A5" s="19" t="s">
        <v>141</v>
      </c>
      <c r="B5" s="6" t="s">
        <v>142</v>
      </c>
      <c r="C5" s="7" t="s">
        <v>143</v>
      </c>
      <c r="D5" s="8" t="n">
        <v>1.19</v>
      </c>
      <c r="E5" s="8" t="n">
        <v>4.5</v>
      </c>
      <c r="F5" s="20" t="n">
        <f aca="false">D5+E5</f>
        <v>5.69</v>
      </c>
      <c r="G5" s="8" t="n">
        <v>19.99</v>
      </c>
      <c r="H5" s="9" t="n">
        <f aca="false">G5-F5-(G5*0.245+0.2)</f>
        <v>9.20245</v>
      </c>
      <c r="I5" s="10" t="n">
        <f aca="false">IF(G5&gt;0,H5/G5,0)</f>
        <v>0.460352676338169</v>
      </c>
      <c r="J5" s="7" t="s">
        <v>144</v>
      </c>
      <c r="K5" s="7" t="s">
        <v>145</v>
      </c>
      <c r="L5" s="7" t="s">
        <v>146</v>
      </c>
    </row>
    <row r="6" customFormat="false" ht="26.85" hidden="false" customHeight="false" outlineLevel="0" collapsed="false">
      <c r="A6" s="19" t="s">
        <v>141</v>
      </c>
      <c r="B6" s="12" t="s">
        <v>142</v>
      </c>
      <c r="C6" s="13" t="s">
        <v>147</v>
      </c>
      <c r="D6" s="14" t="n">
        <v>2.69</v>
      </c>
      <c r="E6" s="14" t="n">
        <v>5.5</v>
      </c>
      <c r="F6" s="21" t="n">
        <f aca="false">D6+E6</f>
        <v>8.19</v>
      </c>
      <c r="G6" s="14" t="n">
        <v>29.99</v>
      </c>
      <c r="H6" s="15" t="n">
        <f aca="false">G6-F6-(G6*0.245+0.2)</f>
        <v>14.25245</v>
      </c>
      <c r="I6" s="16" t="n">
        <f aca="false">IF(G6&gt;0,H6/G6,0)</f>
        <v>0.475240080026676</v>
      </c>
      <c r="J6" s="13" t="s">
        <v>148</v>
      </c>
      <c r="K6" s="13" t="s">
        <v>149</v>
      </c>
      <c r="L6" s="13" t="s">
        <v>146</v>
      </c>
    </row>
    <row r="7" customFormat="false" ht="26.85" hidden="false" customHeight="false" outlineLevel="0" collapsed="false">
      <c r="A7" s="19" t="s">
        <v>141</v>
      </c>
      <c r="B7" s="6" t="s">
        <v>142</v>
      </c>
      <c r="C7" s="7" t="s">
        <v>150</v>
      </c>
      <c r="D7" s="8" t="n">
        <v>2.29</v>
      </c>
      <c r="E7" s="8" t="n">
        <v>5</v>
      </c>
      <c r="F7" s="20" t="n">
        <f aca="false">D7+E7</f>
        <v>7.29</v>
      </c>
      <c r="G7" s="8" t="n">
        <v>19.99</v>
      </c>
      <c r="H7" s="9" t="n">
        <f aca="false">G7-F7-(G7*0.245+0.2)</f>
        <v>7.60245</v>
      </c>
      <c r="I7" s="10" t="n">
        <f aca="false">IF(G7&gt;0,H7/G7,0)</f>
        <v>0.380312656328164</v>
      </c>
      <c r="J7" s="7" t="s">
        <v>151</v>
      </c>
      <c r="K7" s="7" t="s">
        <v>152</v>
      </c>
      <c r="L7" s="7" t="s">
        <v>153</v>
      </c>
    </row>
    <row r="8" customFormat="false" ht="26.85" hidden="false" customHeight="false" outlineLevel="0" collapsed="false">
      <c r="A8" s="19" t="s">
        <v>141</v>
      </c>
      <c r="B8" s="12" t="s">
        <v>142</v>
      </c>
      <c r="C8" s="13" t="s">
        <v>154</v>
      </c>
      <c r="D8" s="14" t="n">
        <v>3.29</v>
      </c>
      <c r="E8" s="14" t="n">
        <v>6</v>
      </c>
      <c r="F8" s="21" t="n">
        <f aca="false">D8+E8</f>
        <v>9.29</v>
      </c>
      <c r="G8" s="14" t="n">
        <v>24.99</v>
      </c>
      <c r="H8" s="15" t="n">
        <f aca="false">G8-F8-(G8*0.245+0.2)</f>
        <v>9.37745</v>
      </c>
      <c r="I8" s="16" t="n">
        <f aca="false">IF(G8&gt;0,H8/G8,0)</f>
        <v>0.375248099239696</v>
      </c>
      <c r="J8" s="13" t="s">
        <v>155</v>
      </c>
      <c r="K8" s="13" t="s">
        <v>156</v>
      </c>
      <c r="L8" s="13" t="s">
        <v>146</v>
      </c>
    </row>
    <row r="9" customFormat="false" ht="26.85" hidden="false" customHeight="false" outlineLevel="0" collapsed="false">
      <c r="A9" s="19" t="s">
        <v>141</v>
      </c>
      <c r="B9" s="6" t="s">
        <v>142</v>
      </c>
      <c r="C9" s="7" t="s">
        <v>157</v>
      </c>
      <c r="D9" s="8" t="n">
        <v>3.69</v>
      </c>
      <c r="E9" s="8" t="n">
        <v>6.5</v>
      </c>
      <c r="F9" s="20" t="n">
        <f aca="false">D9+E9</f>
        <v>10.19</v>
      </c>
      <c r="G9" s="8" t="n">
        <v>24.99</v>
      </c>
      <c r="H9" s="9" t="n">
        <f aca="false">G9-F9-(G9*0.245+0.2)</f>
        <v>8.47745</v>
      </c>
      <c r="I9" s="10" t="n">
        <f aca="false">IF(G9&gt;0,H9/G9,0)</f>
        <v>0.339233693477391</v>
      </c>
      <c r="J9" s="7" t="s">
        <v>158</v>
      </c>
      <c r="K9" s="7" t="s">
        <v>159</v>
      </c>
      <c r="L9" s="7" t="s">
        <v>153</v>
      </c>
    </row>
    <row r="10" customFormat="false" ht="26.85" hidden="false" customHeight="false" outlineLevel="0" collapsed="false">
      <c r="A10" s="19" t="s">
        <v>141</v>
      </c>
      <c r="B10" s="12" t="s">
        <v>142</v>
      </c>
      <c r="C10" s="13" t="s">
        <v>160</v>
      </c>
      <c r="D10" s="14" t="n">
        <v>3.79</v>
      </c>
      <c r="E10" s="14" t="n">
        <v>5</v>
      </c>
      <c r="F10" s="21" t="n">
        <f aca="false">D10+E10</f>
        <v>8.79</v>
      </c>
      <c r="G10" s="14" t="n">
        <v>22.99</v>
      </c>
      <c r="H10" s="15" t="n">
        <f aca="false">G10-F10-(G10*0.245+0.2)</f>
        <v>8.36745</v>
      </c>
      <c r="I10" s="16" t="n">
        <f aca="false">IF(G10&gt;0,H10/G10,0)</f>
        <v>0.363960417572858</v>
      </c>
      <c r="J10" s="13" t="s">
        <v>161</v>
      </c>
      <c r="K10" s="13" t="s">
        <v>162</v>
      </c>
      <c r="L10" s="13" t="s">
        <v>146</v>
      </c>
    </row>
    <row r="11" customFormat="false" ht="26.85" hidden="false" customHeight="false" outlineLevel="0" collapsed="false">
      <c r="A11" s="19" t="s">
        <v>141</v>
      </c>
      <c r="B11" s="6" t="s">
        <v>142</v>
      </c>
      <c r="C11" s="7" t="s">
        <v>163</v>
      </c>
      <c r="D11" s="8" t="n">
        <v>2.39</v>
      </c>
      <c r="E11" s="8" t="n">
        <v>4.5</v>
      </c>
      <c r="F11" s="20" t="n">
        <f aca="false">D11+E11</f>
        <v>6.89</v>
      </c>
      <c r="G11" s="8" t="n">
        <v>14.99</v>
      </c>
      <c r="H11" s="9" t="n">
        <f aca="false">G11-F11-(G11*0.245+0.2)</f>
        <v>4.22745</v>
      </c>
      <c r="I11" s="10" t="n">
        <f aca="false">IF(G11&gt;0,H11/G11,0)</f>
        <v>0.282018012008005</v>
      </c>
      <c r="J11" s="7" t="s">
        <v>164</v>
      </c>
      <c r="K11" s="7" t="s">
        <v>165</v>
      </c>
      <c r="L11" s="7" t="s">
        <v>166</v>
      </c>
    </row>
    <row r="12" customFormat="false" ht="26.85" hidden="false" customHeight="false" outlineLevel="0" collapsed="false">
      <c r="A12" s="19" t="s">
        <v>141</v>
      </c>
      <c r="B12" s="12" t="s">
        <v>142</v>
      </c>
      <c r="C12" s="13" t="s">
        <v>167</v>
      </c>
      <c r="D12" s="14" t="n">
        <v>2.29</v>
      </c>
      <c r="E12" s="14" t="n">
        <v>6</v>
      </c>
      <c r="F12" s="21" t="n">
        <f aca="false">D12+E12</f>
        <v>8.29</v>
      </c>
      <c r="G12" s="14" t="n">
        <v>24.99</v>
      </c>
      <c r="H12" s="15" t="n">
        <f aca="false">G12-F12-(G12*0.245+0.2)</f>
        <v>10.37745</v>
      </c>
      <c r="I12" s="16" t="n">
        <f aca="false">IF(G12&gt;0,H12/G12,0)</f>
        <v>0.415264105642257</v>
      </c>
      <c r="J12" s="13" t="s">
        <v>168</v>
      </c>
      <c r="K12" s="13" t="s">
        <v>169</v>
      </c>
      <c r="L12" s="13" t="s">
        <v>153</v>
      </c>
    </row>
    <row r="13" customFormat="false" ht="26.85" hidden="false" customHeight="false" outlineLevel="0" collapsed="false">
      <c r="A13" s="19" t="s">
        <v>141</v>
      </c>
      <c r="B13" s="6" t="s">
        <v>142</v>
      </c>
      <c r="C13" s="7" t="s">
        <v>170</v>
      </c>
      <c r="D13" s="8" t="n">
        <v>4.19</v>
      </c>
      <c r="E13" s="8" t="n">
        <v>5.5</v>
      </c>
      <c r="F13" s="20" t="n">
        <f aca="false">D13+E13</f>
        <v>9.69</v>
      </c>
      <c r="G13" s="8" t="n">
        <v>24.99</v>
      </c>
      <c r="H13" s="9" t="n">
        <f aca="false">G13-F13-(G13*0.245+0.2)</f>
        <v>8.97745</v>
      </c>
      <c r="I13" s="10" t="n">
        <f aca="false">IF(G13&gt;0,H13/G13,0)</f>
        <v>0.359241696678671</v>
      </c>
      <c r="J13" s="7" t="s">
        <v>171</v>
      </c>
      <c r="K13" s="7" t="s">
        <v>152</v>
      </c>
      <c r="L13" s="7" t="s">
        <v>153</v>
      </c>
    </row>
    <row r="14" customFormat="false" ht="26.85" hidden="false" customHeight="false" outlineLevel="0" collapsed="false">
      <c r="A14" s="19" t="s">
        <v>141</v>
      </c>
      <c r="B14" s="12" t="s">
        <v>172</v>
      </c>
      <c r="C14" s="13" t="s">
        <v>173</v>
      </c>
      <c r="D14" s="14" t="n">
        <v>4.26</v>
      </c>
      <c r="E14" s="14" t="n">
        <v>5</v>
      </c>
      <c r="F14" s="21" t="n">
        <f aca="false">D14+E14</f>
        <v>9.26</v>
      </c>
      <c r="G14" s="14" t="n">
        <v>22.99</v>
      </c>
      <c r="H14" s="15" t="n">
        <f aca="false">G14-F14-(G14*0.245+0.2)</f>
        <v>7.89745</v>
      </c>
      <c r="I14" s="16" t="n">
        <f aca="false">IF(G14&gt;0,H14/G14,0)</f>
        <v>0.343516746411483</v>
      </c>
      <c r="J14" s="13" t="s">
        <v>174</v>
      </c>
      <c r="K14" s="13" t="s">
        <v>175</v>
      </c>
      <c r="L14" s="13" t="s">
        <v>146</v>
      </c>
    </row>
    <row r="15" customFormat="false" ht="26.85" hidden="false" customHeight="false" outlineLevel="0" collapsed="false">
      <c r="A15" s="19" t="s">
        <v>141</v>
      </c>
      <c r="B15" s="6" t="s">
        <v>172</v>
      </c>
      <c r="C15" s="7" t="s">
        <v>176</v>
      </c>
      <c r="D15" s="8" t="n">
        <v>6</v>
      </c>
      <c r="E15" s="8" t="n">
        <v>5.5</v>
      </c>
      <c r="F15" s="20" t="n">
        <f aca="false">D15+E15</f>
        <v>11.5</v>
      </c>
      <c r="G15" s="8" t="n">
        <v>24.99</v>
      </c>
      <c r="H15" s="9" t="n">
        <f aca="false">G15-F15-(G15*0.245+0.2)</f>
        <v>7.16745</v>
      </c>
      <c r="I15" s="10" t="n">
        <f aca="false">IF(G15&gt;0,H15/G15,0)</f>
        <v>0.286812725090036</v>
      </c>
      <c r="J15" s="7" t="s">
        <v>177</v>
      </c>
      <c r="K15" s="7" t="s">
        <v>178</v>
      </c>
      <c r="L15" s="7" t="s">
        <v>153</v>
      </c>
    </row>
    <row r="16" customFormat="false" ht="26.85" hidden="false" customHeight="false" outlineLevel="0" collapsed="false">
      <c r="A16" s="19" t="s">
        <v>141</v>
      </c>
      <c r="B16" s="12" t="s">
        <v>172</v>
      </c>
      <c r="C16" s="13" t="s">
        <v>179</v>
      </c>
      <c r="D16" s="14" t="n">
        <v>5.9</v>
      </c>
      <c r="E16" s="14" t="n">
        <v>4.5</v>
      </c>
      <c r="F16" s="21" t="n">
        <f aca="false">D16+E16</f>
        <v>10.4</v>
      </c>
      <c r="G16" s="14" t="n">
        <v>19.99</v>
      </c>
      <c r="H16" s="15" t="n">
        <f aca="false">G16-F16-(G16*0.245+0.2)</f>
        <v>4.49245</v>
      </c>
      <c r="I16" s="16" t="n">
        <f aca="false">IF(G16&gt;0,H16/G16,0)</f>
        <v>0.224734867433717</v>
      </c>
      <c r="J16" s="13" t="s">
        <v>180</v>
      </c>
      <c r="K16" s="13" t="s">
        <v>181</v>
      </c>
      <c r="L16" s="13" t="s">
        <v>153</v>
      </c>
    </row>
    <row r="17" customFormat="false" ht="26.85" hidden="false" customHeight="false" outlineLevel="0" collapsed="false">
      <c r="A17" s="19" t="s">
        <v>141</v>
      </c>
      <c r="B17" s="6" t="s">
        <v>172</v>
      </c>
      <c r="C17" s="7" t="s">
        <v>182</v>
      </c>
      <c r="D17" s="8" t="n">
        <v>8.03</v>
      </c>
      <c r="E17" s="8" t="n">
        <v>5.5</v>
      </c>
      <c r="F17" s="20" t="n">
        <f aca="false">D17+E17</f>
        <v>13.53</v>
      </c>
      <c r="G17" s="8" t="n">
        <v>29.99</v>
      </c>
      <c r="H17" s="9" t="n">
        <f aca="false">G17-F17-(G17*0.245+0.2)</f>
        <v>8.91245</v>
      </c>
      <c r="I17" s="10" t="n">
        <f aca="false">IF(G17&gt;0,H17/G17,0)</f>
        <v>0.29718072690897</v>
      </c>
      <c r="J17" s="7" t="s">
        <v>183</v>
      </c>
      <c r="K17" s="7" t="s">
        <v>184</v>
      </c>
      <c r="L17" s="7" t="s">
        <v>153</v>
      </c>
    </row>
    <row r="18" customFormat="false" ht="26.85" hidden="false" customHeight="false" outlineLevel="0" collapsed="false">
      <c r="A18" s="19" t="s">
        <v>141</v>
      </c>
      <c r="B18" s="12" t="s">
        <v>172</v>
      </c>
      <c r="C18" s="13" t="s">
        <v>185</v>
      </c>
      <c r="D18" s="14" t="n">
        <v>5.09</v>
      </c>
      <c r="E18" s="14" t="n">
        <v>7</v>
      </c>
      <c r="F18" s="21" t="n">
        <f aca="false">D18+E18</f>
        <v>12.09</v>
      </c>
      <c r="G18" s="14" t="n">
        <v>29.99</v>
      </c>
      <c r="H18" s="15" t="n">
        <f aca="false">G18-F18-(G18*0.245+0.2)</f>
        <v>10.35245</v>
      </c>
      <c r="I18" s="16" t="n">
        <f aca="false">IF(G18&gt;0,H18/G18,0)</f>
        <v>0.345196732244081</v>
      </c>
      <c r="J18" s="13" t="s">
        <v>186</v>
      </c>
      <c r="K18" s="13" t="s">
        <v>187</v>
      </c>
      <c r="L18" s="13" t="s">
        <v>166</v>
      </c>
    </row>
    <row r="19" customFormat="false" ht="26.85" hidden="false" customHeight="false" outlineLevel="0" collapsed="false">
      <c r="A19" s="19" t="s">
        <v>141</v>
      </c>
      <c r="B19" s="6" t="s">
        <v>188</v>
      </c>
      <c r="C19" s="7" t="s">
        <v>189</v>
      </c>
      <c r="D19" s="8" t="n">
        <v>2.39</v>
      </c>
      <c r="E19" s="8" t="n">
        <v>5.5</v>
      </c>
      <c r="F19" s="20" t="n">
        <f aca="false">D19+E19</f>
        <v>7.89</v>
      </c>
      <c r="G19" s="8" t="n">
        <v>19.99</v>
      </c>
      <c r="H19" s="9" t="n">
        <f aca="false">G19-F19-(G19*0.245+0.2)</f>
        <v>7.00245</v>
      </c>
      <c r="I19" s="10" t="n">
        <f aca="false">IF(G19&gt;0,H19/G19,0)</f>
        <v>0.350297648824412</v>
      </c>
      <c r="J19" s="7" t="s">
        <v>190</v>
      </c>
      <c r="K19" s="7" t="s">
        <v>191</v>
      </c>
      <c r="L19" s="7" t="s">
        <v>153</v>
      </c>
    </row>
    <row r="20" customFormat="false" ht="26.85" hidden="false" customHeight="false" outlineLevel="0" collapsed="false">
      <c r="A20" s="19" t="s">
        <v>141</v>
      </c>
      <c r="B20" s="12" t="s">
        <v>188</v>
      </c>
      <c r="C20" s="13" t="s">
        <v>192</v>
      </c>
      <c r="D20" s="14" t="n">
        <v>4.99</v>
      </c>
      <c r="E20" s="14" t="n">
        <v>6</v>
      </c>
      <c r="F20" s="21" t="n">
        <f aca="false">D20+E20</f>
        <v>10.99</v>
      </c>
      <c r="G20" s="14" t="n">
        <v>29.99</v>
      </c>
      <c r="H20" s="15" t="n">
        <f aca="false">G20-F20-(G20*0.245+0.2)</f>
        <v>11.45245</v>
      </c>
      <c r="I20" s="16" t="n">
        <f aca="false">IF(G20&gt;0,H20/G20,0)</f>
        <v>0.381875625208403</v>
      </c>
      <c r="J20" s="13" t="s">
        <v>193</v>
      </c>
      <c r="K20" s="13" t="s">
        <v>194</v>
      </c>
      <c r="L20" s="13" t="s">
        <v>146</v>
      </c>
    </row>
    <row r="21" customFormat="false" ht="26.85" hidden="false" customHeight="false" outlineLevel="0" collapsed="false">
      <c r="A21" s="19" t="s">
        <v>141</v>
      </c>
      <c r="B21" s="6" t="s">
        <v>188</v>
      </c>
      <c r="C21" s="7" t="s">
        <v>195</v>
      </c>
      <c r="D21" s="8" t="n">
        <v>4.99</v>
      </c>
      <c r="E21" s="8" t="n">
        <v>5.5</v>
      </c>
      <c r="F21" s="20" t="n">
        <f aca="false">D21+E21</f>
        <v>10.49</v>
      </c>
      <c r="G21" s="8" t="n">
        <v>24.99</v>
      </c>
      <c r="H21" s="9" t="n">
        <f aca="false">G21-F21-(G21*0.245+0.2)</f>
        <v>8.17745</v>
      </c>
      <c r="I21" s="10" t="n">
        <f aca="false">IF(G21&gt;0,H21/G21,0)</f>
        <v>0.327228891556623</v>
      </c>
      <c r="J21" s="7" t="s">
        <v>196</v>
      </c>
      <c r="K21" s="7" t="s">
        <v>197</v>
      </c>
      <c r="L21" s="7" t="s">
        <v>146</v>
      </c>
    </row>
    <row r="22" customFormat="false" ht="26.85" hidden="false" customHeight="false" outlineLevel="0" collapsed="false">
      <c r="A22" s="19" t="s">
        <v>141</v>
      </c>
      <c r="B22" s="12" t="s">
        <v>198</v>
      </c>
      <c r="C22" s="13" t="s">
        <v>199</v>
      </c>
      <c r="D22" s="14" t="n">
        <v>7.49</v>
      </c>
      <c r="E22" s="14" t="n">
        <v>6.5</v>
      </c>
      <c r="F22" s="21" t="n">
        <f aca="false">D22+E22</f>
        <v>13.99</v>
      </c>
      <c r="G22" s="14" t="n">
        <v>29.99</v>
      </c>
      <c r="H22" s="15" t="n">
        <f aca="false">G22-F22-(G22*0.245+0.2)</f>
        <v>8.45245</v>
      </c>
      <c r="I22" s="16" t="n">
        <f aca="false">IF(G22&gt;0,H22/G22,0)</f>
        <v>0.281842280760253</v>
      </c>
      <c r="J22" s="13" t="s">
        <v>200</v>
      </c>
      <c r="K22" s="13" t="s">
        <v>201</v>
      </c>
      <c r="L22" s="13" t="s">
        <v>153</v>
      </c>
    </row>
    <row r="23" customFormat="false" ht="26.85" hidden="false" customHeight="false" outlineLevel="0" collapsed="false">
      <c r="A23" s="19" t="s">
        <v>141</v>
      </c>
      <c r="B23" s="6" t="s">
        <v>198</v>
      </c>
      <c r="C23" s="7" t="s">
        <v>202</v>
      </c>
      <c r="D23" s="8" t="n">
        <v>9.7</v>
      </c>
      <c r="E23" s="8" t="n">
        <v>7</v>
      </c>
      <c r="F23" s="20" t="n">
        <f aca="false">D23+E23</f>
        <v>16.7</v>
      </c>
      <c r="G23" s="8" t="n">
        <v>34.99</v>
      </c>
      <c r="H23" s="9" t="n">
        <f aca="false">G23-F23-(G23*0.245+0.2)</f>
        <v>9.51745</v>
      </c>
      <c r="I23" s="10" t="n">
        <f aca="false">IF(G23&gt;0,H23/G23,0)</f>
        <v>0.272004858531009</v>
      </c>
      <c r="J23" s="7" t="s">
        <v>203</v>
      </c>
      <c r="K23" s="7" t="s">
        <v>204</v>
      </c>
      <c r="L23" s="7" t="s">
        <v>153</v>
      </c>
    </row>
    <row r="24" customFormat="false" ht="26.85" hidden="false" customHeight="false" outlineLevel="0" collapsed="false">
      <c r="A24" s="19" t="s">
        <v>141</v>
      </c>
      <c r="B24" s="12" t="s">
        <v>198</v>
      </c>
      <c r="C24" s="13" t="s">
        <v>205</v>
      </c>
      <c r="D24" s="14" t="n">
        <v>13.3</v>
      </c>
      <c r="E24" s="14" t="n">
        <v>8</v>
      </c>
      <c r="F24" s="21" t="n">
        <f aca="false">D24+E24</f>
        <v>21.3</v>
      </c>
      <c r="G24" s="14" t="n">
        <v>44.99</v>
      </c>
      <c r="H24" s="15" t="n">
        <f aca="false">G24-F24-(G24*0.245+0.2)</f>
        <v>12.46745</v>
      </c>
      <c r="I24" s="16" t="n">
        <f aca="false">IF(G24&gt;0,H24/G24,0)</f>
        <v>0.277116025783507</v>
      </c>
      <c r="J24" s="13" t="s">
        <v>206</v>
      </c>
      <c r="K24" s="13" t="s">
        <v>207</v>
      </c>
      <c r="L24" s="13" t="s">
        <v>153</v>
      </c>
    </row>
    <row r="25" customFormat="false" ht="26.85" hidden="false" customHeight="false" outlineLevel="0" collapsed="false">
      <c r="A25" s="19" t="s">
        <v>141</v>
      </c>
      <c r="B25" s="6" t="s">
        <v>198</v>
      </c>
      <c r="C25" s="7" t="s">
        <v>208</v>
      </c>
      <c r="D25" s="8" t="n">
        <v>17</v>
      </c>
      <c r="E25" s="8" t="n">
        <v>8.5</v>
      </c>
      <c r="F25" s="20" t="n">
        <f aca="false">D25+E25</f>
        <v>25.5</v>
      </c>
      <c r="G25" s="8" t="n">
        <v>54.99</v>
      </c>
      <c r="H25" s="9" t="n">
        <f aca="false">G25-F25-(G25*0.245+0.2)</f>
        <v>15.81745</v>
      </c>
      <c r="I25" s="10" t="n">
        <f aca="false">IF(G25&gt;0,H25/G25,0)</f>
        <v>0.287642298599745</v>
      </c>
      <c r="J25" s="7" t="s">
        <v>209</v>
      </c>
      <c r="K25" s="7" t="s">
        <v>210</v>
      </c>
      <c r="L25" s="7" t="s">
        <v>166</v>
      </c>
    </row>
    <row r="26" customFormat="false" ht="26.85" hidden="false" customHeight="false" outlineLevel="0" collapsed="false">
      <c r="A26" s="19" t="s">
        <v>141</v>
      </c>
      <c r="B26" s="12" t="s">
        <v>211</v>
      </c>
      <c r="C26" s="13" t="s">
        <v>212</v>
      </c>
      <c r="D26" s="14" t="n">
        <v>4.17</v>
      </c>
      <c r="E26" s="14" t="n">
        <v>4.5</v>
      </c>
      <c r="F26" s="21" t="n">
        <f aca="false">D26+E26</f>
        <v>8.67</v>
      </c>
      <c r="G26" s="14" t="n">
        <v>19.99</v>
      </c>
      <c r="H26" s="15" t="n">
        <f aca="false">G26-F26-(G26*0.245+0.2)</f>
        <v>6.22245</v>
      </c>
      <c r="I26" s="16" t="n">
        <f aca="false">IF(G26&gt;0,H26/G26,0)</f>
        <v>0.311278139069535</v>
      </c>
      <c r="J26" s="13" t="s">
        <v>213</v>
      </c>
      <c r="K26" s="13" t="s">
        <v>214</v>
      </c>
      <c r="L26" s="13" t="s">
        <v>153</v>
      </c>
    </row>
    <row r="27" customFormat="false" ht="26.85" hidden="false" customHeight="false" outlineLevel="0" collapsed="false">
      <c r="A27" s="19" t="s">
        <v>141</v>
      </c>
      <c r="B27" s="6" t="s">
        <v>211</v>
      </c>
      <c r="C27" s="7" t="s">
        <v>215</v>
      </c>
      <c r="D27" s="8" t="n">
        <v>4.39</v>
      </c>
      <c r="E27" s="8" t="n">
        <v>4</v>
      </c>
      <c r="F27" s="20" t="n">
        <f aca="false">D27+E27</f>
        <v>8.39</v>
      </c>
      <c r="G27" s="8" t="n">
        <v>14.99</v>
      </c>
      <c r="H27" s="9" t="n">
        <f aca="false">G27-F27-(G27*0.245+0.2)</f>
        <v>2.72745</v>
      </c>
      <c r="I27" s="10" t="n">
        <f aca="false">IF(G27&gt;0,H27/G27,0)</f>
        <v>0.181951300867245</v>
      </c>
      <c r="J27" s="7" t="s">
        <v>216</v>
      </c>
      <c r="K27" s="7" t="s">
        <v>217</v>
      </c>
      <c r="L27" s="7" t="s">
        <v>153</v>
      </c>
    </row>
    <row r="28" customFormat="false" ht="26.85" hidden="false" customHeight="false" outlineLevel="0" collapsed="false">
      <c r="A28" s="19" t="s">
        <v>141</v>
      </c>
      <c r="B28" s="12" t="s">
        <v>211</v>
      </c>
      <c r="C28" s="13" t="s">
        <v>218</v>
      </c>
      <c r="D28" s="14" t="n">
        <v>2.99</v>
      </c>
      <c r="E28" s="14" t="n">
        <v>3.5</v>
      </c>
      <c r="F28" s="21" t="n">
        <f aca="false">D28+E28</f>
        <v>6.49</v>
      </c>
      <c r="G28" s="14" t="n">
        <v>9.99</v>
      </c>
      <c r="H28" s="15" t="n">
        <f aca="false">G28-F28-(G28*0.245+0.2)</f>
        <v>0.85245</v>
      </c>
      <c r="I28" s="16" t="n">
        <f aca="false">IF(G28&gt;0,H28/G28,0)</f>
        <v>0.0853303303303303</v>
      </c>
      <c r="J28" s="13" t="s">
        <v>219</v>
      </c>
      <c r="K28" s="13" t="s">
        <v>220</v>
      </c>
      <c r="L28" s="13" t="s">
        <v>146</v>
      </c>
    </row>
    <row r="29" customFormat="false" ht="26.85" hidden="false" customHeight="false" outlineLevel="0" collapsed="false">
      <c r="A29" s="19" t="s">
        <v>141</v>
      </c>
      <c r="B29" s="6" t="s">
        <v>211</v>
      </c>
      <c r="C29" s="7" t="s">
        <v>221</v>
      </c>
      <c r="D29" s="8" t="n">
        <v>3.73</v>
      </c>
      <c r="E29" s="8" t="n">
        <v>4.5</v>
      </c>
      <c r="F29" s="20" t="n">
        <f aca="false">D29+E29</f>
        <v>8.23</v>
      </c>
      <c r="G29" s="8" t="n">
        <v>14.99</v>
      </c>
      <c r="H29" s="9" t="n">
        <f aca="false">G29-F29-(G29*0.245+0.2)</f>
        <v>2.88745</v>
      </c>
      <c r="I29" s="10" t="n">
        <f aca="false">IF(G29&gt;0,H29/G29,0)</f>
        <v>0.192625083388926</v>
      </c>
      <c r="J29" s="7" t="s">
        <v>222</v>
      </c>
      <c r="K29" s="7" t="s">
        <v>223</v>
      </c>
      <c r="L29" s="7" t="s">
        <v>166</v>
      </c>
    </row>
    <row r="30" customFormat="false" ht="26.85" hidden="false" customHeight="false" outlineLevel="0" collapsed="false">
      <c r="A30" s="19" t="s">
        <v>141</v>
      </c>
      <c r="B30" s="12" t="s">
        <v>224</v>
      </c>
      <c r="C30" s="13" t="s">
        <v>225</v>
      </c>
      <c r="D30" s="14" t="n">
        <v>3.99</v>
      </c>
      <c r="E30" s="14" t="n">
        <v>5</v>
      </c>
      <c r="F30" s="21" t="n">
        <f aca="false">D30+E30</f>
        <v>8.99</v>
      </c>
      <c r="G30" s="14" t="n">
        <v>19.99</v>
      </c>
      <c r="H30" s="15" t="n">
        <f aca="false">G30-F30-(G30*0.245+0.2)</f>
        <v>5.90245</v>
      </c>
      <c r="I30" s="16" t="n">
        <f aca="false">IF(G30&gt;0,H30/G30,0)</f>
        <v>0.295270135067534</v>
      </c>
      <c r="J30" s="13" t="s">
        <v>226</v>
      </c>
      <c r="K30" s="13" t="s">
        <v>227</v>
      </c>
      <c r="L30" s="13" t="s">
        <v>153</v>
      </c>
    </row>
    <row r="31" customFormat="false" ht="26.85" hidden="false" customHeight="false" outlineLevel="0" collapsed="false">
      <c r="A31" s="19" t="s">
        <v>141</v>
      </c>
      <c r="B31" s="6" t="s">
        <v>224</v>
      </c>
      <c r="C31" s="7" t="s">
        <v>228</v>
      </c>
      <c r="D31" s="8" t="n">
        <v>10.79</v>
      </c>
      <c r="E31" s="8" t="n">
        <v>7</v>
      </c>
      <c r="F31" s="20" t="n">
        <f aca="false">D31+E31</f>
        <v>17.79</v>
      </c>
      <c r="G31" s="8" t="n">
        <v>34.99</v>
      </c>
      <c r="H31" s="9" t="n">
        <f aca="false">G31-F31-(G31*0.245+0.2)</f>
        <v>8.42745</v>
      </c>
      <c r="I31" s="10" t="n">
        <f aca="false">IF(G31&gt;0,H31/G31,0)</f>
        <v>0.240853100885968</v>
      </c>
      <c r="J31" s="7" t="s">
        <v>229</v>
      </c>
      <c r="K31" s="7" t="s">
        <v>230</v>
      </c>
      <c r="L31" s="7" t="s">
        <v>153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36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9" min="7" style="0" width="10"/>
    <col collapsed="false" customWidth="true" hidden="false" outlineLevel="0" max="10" min="10" style="0" width="9"/>
    <col collapsed="false" customWidth="true" hidden="false" outlineLevel="0" max="11" min="11" style="0" width="52"/>
    <col collapsed="false" customWidth="true" hidden="false" outlineLevel="0" max="12" min="12" style="0" width="28"/>
  </cols>
  <sheetData>
    <row r="1" customFormat="false" ht="17.35" hidden="false" customHeight="true" outlineLevel="0" collapsed="false">
      <c r="A1" s="1" t="s">
        <v>231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2" t="s">
        <v>232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6.85" hidden="false" customHeight="false" outlineLevel="0" collapsed="false">
      <c r="A4" s="5" t="s">
        <v>130</v>
      </c>
      <c r="B4" s="5" t="s">
        <v>233</v>
      </c>
      <c r="C4" s="5" t="s">
        <v>3</v>
      </c>
      <c r="D4" s="5" t="s">
        <v>131</v>
      </c>
      <c r="E4" s="5" t="s">
        <v>132</v>
      </c>
      <c r="F4" s="5" t="s">
        <v>234</v>
      </c>
      <c r="G4" s="5" t="s">
        <v>134</v>
      </c>
      <c r="H4" s="5" t="s">
        <v>135</v>
      </c>
      <c r="I4" s="5" t="s">
        <v>136</v>
      </c>
      <c r="J4" s="5" t="s">
        <v>137</v>
      </c>
      <c r="K4" s="5" t="s">
        <v>235</v>
      </c>
      <c r="L4" s="5" t="s">
        <v>236</v>
      </c>
    </row>
    <row r="5" customFormat="false" ht="26.85" hidden="false" customHeight="false" outlineLevel="0" collapsed="false">
      <c r="A5" s="19" t="s">
        <v>141</v>
      </c>
      <c r="B5" s="6" t="s">
        <v>237</v>
      </c>
      <c r="C5" s="6" t="s">
        <v>238</v>
      </c>
      <c r="D5" s="7" t="s">
        <v>239</v>
      </c>
      <c r="E5" s="8" t="n">
        <v>8.59</v>
      </c>
      <c r="F5" s="8" t="n">
        <v>8.5</v>
      </c>
      <c r="G5" s="20" t="n">
        <f aca="false">E5+F5</f>
        <v>17.09</v>
      </c>
      <c r="H5" s="8" t="n">
        <v>44.99</v>
      </c>
      <c r="I5" s="9" t="n">
        <f aca="false">H5-G5-(H5*0.245+0.2)</f>
        <v>16.67745</v>
      </c>
      <c r="J5" s="10" t="n">
        <f aca="false">IF(H5&gt;0,I5/H5,0)</f>
        <v>0.370692376083574</v>
      </c>
      <c r="K5" s="7" t="s">
        <v>240</v>
      </c>
      <c r="L5" s="7" t="s">
        <v>241</v>
      </c>
    </row>
    <row r="6" customFormat="false" ht="26.85" hidden="false" customHeight="false" outlineLevel="0" collapsed="false">
      <c r="A6" s="19" t="s">
        <v>141</v>
      </c>
      <c r="B6" s="12" t="s">
        <v>237</v>
      </c>
      <c r="C6" s="12" t="s">
        <v>242</v>
      </c>
      <c r="D6" s="13" t="s">
        <v>243</v>
      </c>
      <c r="E6" s="14" t="n">
        <v>5.79</v>
      </c>
      <c r="F6" s="14" t="n">
        <v>6</v>
      </c>
      <c r="G6" s="21" t="n">
        <f aca="false">E6+F6</f>
        <v>11.79</v>
      </c>
      <c r="H6" s="14" t="n">
        <v>29.99</v>
      </c>
      <c r="I6" s="15" t="n">
        <f aca="false">H6-G6-(H6*0.245+0.2)</f>
        <v>10.65245</v>
      </c>
      <c r="J6" s="16" t="n">
        <f aca="false">IF(H6&gt;0,I6/H6,0)</f>
        <v>0.355200066688896</v>
      </c>
      <c r="K6" s="13" t="s">
        <v>244</v>
      </c>
      <c r="L6" s="13" t="s">
        <v>245</v>
      </c>
    </row>
    <row r="7" customFormat="false" ht="26.85" hidden="false" customHeight="false" outlineLevel="0" collapsed="false">
      <c r="A7" s="19" t="s">
        <v>141</v>
      </c>
      <c r="B7" s="6" t="s">
        <v>237</v>
      </c>
      <c r="C7" s="6" t="s">
        <v>246</v>
      </c>
      <c r="D7" s="7" t="s">
        <v>247</v>
      </c>
      <c r="E7" s="8" t="n">
        <v>5.39</v>
      </c>
      <c r="F7" s="8" t="n">
        <v>6.5</v>
      </c>
      <c r="G7" s="20" t="n">
        <f aca="false">E7+F7</f>
        <v>11.89</v>
      </c>
      <c r="H7" s="8" t="n">
        <v>24.99</v>
      </c>
      <c r="I7" s="9" t="n">
        <f aca="false">H7-G7-(H7*0.245+0.2)</f>
        <v>6.77745</v>
      </c>
      <c r="J7" s="10" t="n">
        <f aca="false">IF(H7&gt;0,I7/H7,0)</f>
        <v>0.271206482593037</v>
      </c>
      <c r="K7" s="7" t="s">
        <v>248</v>
      </c>
      <c r="L7" s="7" t="s">
        <v>249</v>
      </c>
    </row>
    <row r="8" customFormat="false" ht="26.85" hidden="false" customHeight="false" outlineLevel="0" collapsed="false">
      <c r="A8" s="19" t="s">
        <v>141</v>
      </c>
      <c r="B8" s="12" t="s">
        <v>237</v>
      </c>
      <c r="C8" s="12" t="s">
        <v>250</v>
      </c>
      <c r="D8" s="13" t="s">
        <v>251</v>
      </c>
      <c r="E8" s="14" t="n">
        <v>9.79</v>
      </c>
      <c r="F8" s="14" t="n">
        <v>7.5</v>
      </c>
      <c r="G8" s="21" t="n">
        <f aca="false">E8+F8</f>
        <v>17.29</v>
      </c>
      <c r="H8" s="14" t="n">
        <v>39.99</v>
      </c>
      <c r="I8" s="15" t="n">
        <f aca="false">H8-G8-(H8*0.245+0.2)</f>
        <v>12.70245</v>
      </c>
      <c r="J8" s="16" t="n">
        <f aca="false">IF(H8&gt;0,I8/H8,0)</f>
        <v>0.317640660165041</v>
      </c>
      <c r="K8" s="13" t="s">
        <v>252</v>
      </c>
      <c r="L8" s="13" t="s">
        <v>253</v>
      </c>
    </row>
    <row r="9" customFormat="false" ht="26.85" hidden="false" customHeight="false" outlineLevel="0" collapsed="false">
      <c r="A9" s="19" t="s">
        <v>141</v>
      </c>
      <c r="B9" s="6" t="s">
        <v>237</v>
      </c>
      <c r="C9" s="6" t="s">
        <v>254</v>
      </c>
      <c r="D9" s="7" t="s">
        <v>255</v>
      </c>
      <c r="E9" s="8" t="n">
        <v>13.89</v>
      </c>
      <c r="F9" s="8" t="n">
        <v>9</v>
      </c>
      <c r="G9" s="20" t="n">
        <f aca="false">E9+F9</f>
        <v>22.89</v>
      </c>
      <c r="H9" s="8" t="n">
        <v>54.99</v>
      </c>
      <c r="I9" s="9" t="n">
        <f aca="false">H9-G9-(H9*0.245+0.2)</f>
        <v>18.42745</v>
      </c>
      <c r="J9" s="10" t="n">
        <f aca="false">IF(H9&gt;0,I9/H9,0)</f>
        <v>0.335105473722495</v>
      </c>
      <c r="K9" s="7" t="s">
        <v>256</v>
      </c>
      <c r="L9" s="7" t="s">
        <v>257</v>
      </c>
    </row>
    <row r="10" customFormat="false" ht="26.85" hidden="false" customHeight="false" outlineLevel="0" collapsed="false">
      <c r="A10" s="19" t="s">
        <v>141</v>
      </c>
      <c r="B10" s="12" t="s">
        <v>237</v>
      </c>
      <c r="C10" s="12" t="s">
        <v>258</v>
      </c>
      <c r="D10" s="13" t="s">
        <v>259</v>
      </c>
      <c r="E10" s="14" t="n">
        <v>8.6</v>
      </c>
      <c r="F10" s="14" t="n">
        <v>8</v>
      </c>
      <c r="G10" s="21" t="n">
        <f aca="false">E10+F10</f>
        <v>16.6</v>
      </c>
      <c r="H10" s="14" t="n">
        <v>39.99</v>
      </c>
      <c r="I10" s="15" t="n">
        <f aca="false">H10-G10-(H10*0.245+0.2)</f>
        <v>13.39245</v>
      </c>
      <c r="J10" s="16" t="n">
        <f aca="false">IF(H10&gt;0,I10/H10,0)</f>
        <v>0.334894973743436</v>
      </c>
      <c r="K10" s="13" t="s">
        <v>260</v>
      </c>
      <c r="L10" s="13" t="s">
        <v>261</v>
      </c>
    </row>
    <row r="11" customFormat="false" ht="26.85" hidden="false" customHeight="false" outlineLevel="0" collapsed="false">
      <c r="A11" s="19" t="s">
        <v>141</v>
      </c>
      <c r="B11" s="6" t="s">
        <v>262</v>
      </c>
      <c r="C11" s="6" t="s">
        <v>238</v>
      </c>
      <c r="D11" s="7" t="s">
        <v>263</v>
      </c>
      <c r="E11" s="8" t="n">
        <v>8.59</v>
      </c>
      <c r="F11" s="8" t="n">
        <v>8.5</v>
      </c>
      <c r="G11" s="20" t="n">
        <f aca="false">E11+F11</f>
        <v>17.09</v>
      </c>
      <c r="H11" s="8" t="n">
        <v>44.99</v>
      </c>
      <c r="I11" s="9" t="n">
        <f aca="false">H11-G11-(H11*0.245+0.2)</f>
        <v>16.67745</v>
      </c>
      <c r="J11" s="10" t="n">
        <f aca="false">IF(H11&gt;0,I11/H11,0)</f>
        <v>0.370692376083574</v>
      </c>
      <c r="K11" s="7" t="s">
        <v>264</v>
      </c>
      <c r="L11" s="7" t="s">
        <v>261</v>
      </c>
    </row>
    <row r="12" customFormat="false" ht="26.85" hidden="false" customHeight="false" outlineLevel="0" collapsed="false">
      <c r="A12" s="19" t="s">
        <v>141</v>
      </c>
      <c r="B12" s="12" t="s">
        <v>262</v>
      </c>
      <c r="C12" s="12" t="s">
        <v>265</v>
      </c>
      <c r="D12" s="13" t="s">
        <v>266</v>
      </c>
      <c r="E12" s="14" t="n">
        <v>23.49</v>
      </c>
      <c r="F12" s="14" t="n">
        <v>11</v>
      </c>
      <c r="G12" s="21" t="n">
        <f aca="false">E12+F12</f>
        <v>34.49</v>
      </c>
      <c r="H12" s="14" t="n">
        <v>69.99</v>
      </c>
      <c r="I12" s="15" t="n">
        <f aca="false">H12-G12-(H12*0.245+0.2)</f>
        <v>18.15245</v>
      </c>
      <c r="J12" s="16" t="n">
        <f aca="false">IF(H12&gt;0,I12/H12,0)</f>
        <v>0.259357765395057</v>
      </c>
      <c r="K12" s="13" t="s">
        <v>267</v>
      </c>
      <c r="L12" s="13" t="s">
        <v>268</v>
      </c>
    </row>
    <row r="13" customFormat="false" ht="26.85" hidden="false" customHeight="false" outlineLevel="0" collapsed="false">
      <c r="A13" s="19" t="s">
        <v>141</v>
      </c>
      <c r="B13" s="6" t="s">
        <v>262</v>
      </c>
      <c r="C13" s="6" t="s">
        <v>269</v>
      </c>
      <c r="D13" s="7" t="s">
        <v>270</v>
      </c>
      <c r="E13" s="8" t="n">
        <v>13.19</v>
      </c>
      <c r="F13" s="8" t="n">
        <v>10</v>
      </c>
      <c r="G13" s="20" t="n">
        <f aca="false">E13+F13</f>
        <v>23.19</v>
      </c>
      <c r="H13" s="8" t="n">
        <v>54.99</v>
      </c>
      <c r="I13" s="9" t="n">
        <f aca="false">H13-G13-(H13*0.245+0.2)</f>
        <v>18.12745</v>
      </c>
      <c r="J13" s="10" t="n">
        <f aca="false">IF(H13&gt;0,I13/H13,0)</f>
        <v>0.329649936352064</v>
      </c>
      <c r="K13" s="7" t="s">
        <v>271</v>
      </c>
      <c r="L13" s="7" t="s">
        <v>272</v>
      </c>
    </row>
    <row r="14" customFormat="false" ht="26.85" hidden="false" customHeight="false" outlineLevel="0" collapsed="false">
      <c r="A14" s="19" t="s">
        <v>141</v>
      </c>
      <c r="B14" s="12" t="s">
        <v>273</v>
      </c>
      <c r="C14" s="12" t="s">
        <v>274</v>
      </c>
      <c r="D14" s="13" t="s">
        <v>275</v>
      </c>
      <c r="E14" s="14" t="n">
        <v>10.29</v>
      </c>
      <c r="F14" s="14" t="n">
        <v>8</v>
      </c>
      <c r="G14" s="21" t="n">
        <f aca="false">E14+F14</f>
        <v>18.29</v>
      </c>
      <c r="H14" s="14" t="n">
        <v>39.99</v>
      </c>
      <c r="I14" s="15" t="n">
        <f aca="false">H14-G14-(H14*0.245+0.2)</f>
        <v>11.70245</v>
      </c>
      <c r="J14" s="16" t="n">
        <f aca="false">IF(H14&gt;0,I14/H14,0)</f>
        <v>0.292634408602151</v>
      </c>
      <c r="K14" s="13" t="s">
        <v>276</v>
      </c>
      <c r="L14" s="13" t="s">
        <v>277</v>
      </c>
    </row>
    <row r="15" customFormat="false" ht="26.85" hidden="false" customHeight="false" outlineLevel="0" collapsed="false">
      <c r="A15" s="19" t="s">
        <v>141</v>
      </c>
      <c r="B15" s="6" t="s">
        <v>273</v>
      </c>
      <c r="C15" s="6" t="s">
        <v>274</v>
      </c>
      <c r="D15" s="7" t="s">
        <v>278</v>
      </c>
      <c r="E15" s="8" t="n">
        <v>13.29</v>
      </c>
      <c r="F15" s="8" t="n">
        <v>9</v>
      </c>
      <c r="G15" s="20" t="n">
        <f aca="false">E15+F15</f>
        <v>22.29</v>
      </c>
      <c r="H15" s="8" t="n">
        <v>54.99</v>
      </c>
      <c r="I15" s="9" t="n">
        <f aca="false">H15-G15-(H15*0.245+0.2)</f>
        <v>19.02745</v>
      </c>
      <c r="J15" s="10" t="n">
        <f aca="false">IF(H15&gt;0,I15/H15,0)</f>
        <v>0.346016548463357</v>
      </c>
      <c r="K15" s="7" t="s">
        <v>279</v>
      </c>
      <c r="L15" s="7" t="s">
        <v>280</v>
      </c>
    </row>
    <row r="16" customFormat="false" ht="26.85" hidden="false" customHeight="false" outlineLevel="0" collapsed="false">
      <c r="A16" s="19" t="s">
        <v>141</v>
      </c>
      <c r="B16" s="12" t="s">
        <v>273</v>
      </c>
      <c r="C16" s="12" t="s">
        <v>274</v>
      </c>
      <c r="D16" s="13" t="s">
        <v>281</v>
      </c>
      <c r="E16" s="14" t="n">
        <v>14.29</v>
      </c>
      <c r="F16" s="14" t="n">
        <v>9.5</v>
      </c>
      <c r="G16" s="21" t="n">
        <f aca="false">E16+F16</f>
        <v>23.79</v>
      </c>
      <c r="H16" s="14" t="n">
        <v>49.99</v>
      </c>
      <c r="I16" s="15" t="n">
        <f aca="false">H16-G16-(H16*0.245+0.2)</f>
        <v>13.75245</v>
      </c>
      <c r="J16" s="16" t="n">
        <f aca="false">IF(H16&gt;0,I16/H16,0)</f>
        <v>0.275104020804161</v>
      </c>
      <c r="K16" s="13" t="s">
        <v>282</v>
      </c>
      <c r="L16" s="13" t="s">
        <v>283</v>
      </c>
    </row>
    <row r="17" customFormat="false" ht="26.85" hidden="false" customHeight="false" outlineLevel="0" collapsed="false">
      <c r="A17" s="19" t="s">
        <v>141</v>
      </c>
      <c r="B17" s="6" t="s">
        <v>273</v>
      </c>
      <c r="C17" s="6" t="s">
        <v>238</v>
      </c>
      <c r="D17" s="7" t="s">
        <v>284</v>
      </c>
      <c r="E17" s="8" t="n">
        <v>10.77</v>
      </c>
      <c r="F17" s="8" t="n">
        <v>8.5</v>
      </c>
      <c r="G17" s="20" t="n">
        <f aca="false">E17+F17</f>
        <v>19.27</v>
      </c>
      <c r="H17" s="8" t="n">
        <v>39.99</v>
      </c>
      <c r="I17" s="9" t="n">
        <f aca="false">H17-G17-(H17*0.245+0.2)</f>
        <v>10.72245</v>
      </c>
      <c r="J17" s="10" t="n">
        <f aca="false">IF(H17&gt;0,I17/H17,0)</f>
        <v>0.268128282070518</v>
      </c>
      <c r="K17" s="7" t="s">
        <v>285</v>
      </c>
      <c r="L17" s="7" t="s">
        <v>286</v>
      </c>
    </row>
    <row r="18" customFormat="false" ht="26.85" hidden="false" customHeight="false" outlineLevel="0" collapsed="false">
      <c r="A18" s="19" t="s">
        <v>141</v>
      </c>
      <c r="B18" s="12" t="s">
        <v>273</v>
      </c>
      <c r="C18" s="12" t="s">
        <v>238</v>
      </c>
      <c r="D18" s="13" t="s">
        <v>287</v>
      </c>
      <c r="E18" s="14" t="n">
        <v>17.94</v>
      </c>
      <c r="F18" s="14" t="n">
        <v>10.5</v>
      </c>
      <c r="G18" s="21" t="n">
        <f aca="false">E18+F18</f>
        <v>28.44</v>
      </c>
      <c r="H18" s="14" t="n">
        <v>59.99</v>
      </c>
      <c r="I18" s="15" t="n">
        <f aca="false">H18-G18-(H18*0.245+0.2)</f>
        <v>16.65245</v>
      </c>
      <c r="J18" s="16" t="n">
        <f aca="false">IF(H18&gt;0,I18/H18,0)</f>
        <v>0.277587097849642</v>
      </c>
      <c r="K18" s="13" t="s">
        <v>288</v>
      </c>
      <c r="L18" s="13" t="s">
        <v>289</v>
      </c>
    </row>
    <row r="19" customFormat="false" ht="26.85" hidden="false" customHeight="false" outlineLevel="0" collapsed="false">
      <c r="A19" s="19" t="s">
        <v>141</v>
      </c>
      <c r="B19" s="6" t="s">
        <v>273</v>
      </c>
      <c r="C19" s="6" t="s">
        <v>290</v>
      </c>
      <c r="D19" s="7" t="s">
        <v>291</v>
      </c>
      <c r="E19" s="8" t="n">
        <v>12.89</v>
      </c>
      <c r="F19" s="8" t="n">
        <v>9</v>
      </c>
      <c r="G19" s="20" t="n">
        <f aca="false">E19+F19</f>
        <v>21.89</v>
      </c>
      <c r="H19" s="8" t="n">
        <v>49.99</v>
      </c>
      <c r="I19" s="9" t="n">
        <f aca="false">H19-G19-(H19*0.245+0.2)</f>
        <v>15.65245</v>
      </c>
      <c r="J19" s="10" t="n">
        <f aca="false">IF(H19&gt;0,I19/H19,0)</f>
        <v>0.313111622324465</v>
      </c>
      <c r="K19" s="7" t="s">
        <v>292</v>
      </c>
      <c r="L19" s="7" t="s">
        <v>293</v>
      </c>
    </row>
    <row r="20" customFormat="false" ht="26.85" hidden="false" customHeight="false" outlineLevel="0" collapsed="false">
      <c r="A20" s="19" t="s">
        <v>141</v>
      </c>
      <c r="B20" s="12" t="s">
        <v>273</v>
      </c>
      <c r="C20" s="12" t="s">
        <v>290</v>
      </c>
      <c r="D20" s="13" t="s">
        <v>294</v>
      </c>
      <c r="E20" s="14" t="n">
        <v>11.69</v>
      </c>
      <c r="F20" s="14" t="n">
        <v>9</v>
      </c>
      <c r="G20" s="21" t="n">
        <f aca="false">E20+F20</f>
        <v>20.69</v>
      </c>
      <c r="H20" s="14" t="n">
        <v>44.99</v>
      </c>
      <c r="I20" s="15" t="n">
        <f aca="false">H20-G20-(H20*0.245+0.2)</f>
        <v>13.07745</v>
      </c>
      <c r="J20" s="16" t="n">
        <f aca="false">IF(H20&gt;0,I20/H20,0)</f>
        <v>0.290674594354301</v>
      </c>
      <c r="K20" s="13" t="s">
        <v>295</v>
      </c>
      <c r="L20" s="13" t="s">
        <v>296</v>
      </c>
    </row>
    <row r="21" customFormat="false" ht="26.85" hidden="false" customHeight="false" outlineLevel="0" collapsed="false">
      <c r="A21" s="19" t="s">
        <v>141</v>
      </c>
      <c r="B21" s="6" t="s">
        <v>273</v>
      </c>
      <c r="C21" s="6" t="s">
        <v>297</v>
      </c>
      <c r="D21" s="7" t="s">
        <v>298</v>
      </c>
      <c r="E21" s="8" t="n">
        <v>7.29</v>
      </c>
      <c r="F21" s="8" t="n">
        <v>5.5</v>
      </c>
      <c r="G21" s="20" t="n">
        <f aca="false">E21+F21</f>
        <v>12.79</v>
      </c>
      <c r="H21" s="8" t="n">
        <v>29.99</v>
      </c>
      <c r="I21" s="9" t="n">
        <f aca="false">H21-G21-(H21*0.245+0.2)</f>
        <v>9.65245</v>
      </c>
      <c r="J21" s="10" t="n">
        <f aca="false">IF(H21&gt;0,I21/H21,0)</f>
        <v>0.321855618539513</v>
      </c>
      <c r="K21" s="7" t="s">
        <v>299</v>
      </c>
      <c r="L21" s="7" t="s">
        <v>300</v>
      </c>
    </row>
    <row r="22" customFormat="false" ht="26.85" hidden="false" customHeight="false" outlineLevel="0" collapsed="false">
      <c r="A22" s="19" t="s">
        <v>141</v>
      </c>
      <c r="B22" s="12" t="s">
        <v>273</v>
      </c>
      <c r="C22" s="12" t="s">
        <v>297</v>
      </c>
      <c r="D22" s="13" t="s">
        <v>301</v>
      </c>
      <c r="E22" s="14" t="n">
        <v>8.99</v>
      </c>
      <c r="F22" s="14" t="n">
        <v>7</v>
      </c>
      <c r="G22" s="21" t="n">
        <f aca="false">E22+F22</f>
        <v>15.99</v>
      </c>
      <c r="H22" s="14" t="n">
        <v>34.99</v>
      </c>
      <c r="I22" s="15" t="n">
        <f aca="false">H22-G22-(H22*0.245+0.2)</f>
        <v>10.22745</v>
      </c>
      <c r="J22" s="16" t="n">
        <f aca="false">IF(H22&gt;0,I22/H22,0)</f>
        <v>0.29229637039154</v>
      </c>
      <c r="K22" s="13" t="s">
        <v>302</v>
      </c>
      <c r="L22" s="13" t="s">
        <v>303</v>
      </c>
    </row>
    <row r="23" customFormat="false" ht="26.85" hidden="false" customHeight="false" outlineLevel="0" collapsed="false">
      <c r="A23" s="19" t="s">
        <v>141</v>
      </c>
      <c r="B23" s="6" t="s">
        <v>224</v>
      </c>
      <c r="C23" s="6" t="s">
        <v>238</v>
      </c>
      <c r="D23" s="7" t="s">
        <v>304</v>
      </c>
      <c r="E23" s="8" t="n">
        <v>7.49</v>
      </c>
      <c r="F23" s="8" t="n">
        <v>7.5</v>
      </c>
      <c r="G23" s="20" t="n">
        <f aca="false">E23+F23</f>
        <v>14.99</v>
      </c>
      <c r="H23" s="8" t="n">
        <v>34.99</v>
      </c>
      <c r="I23" s="9" t="n">
        <f aca="false">H23-G23-(H23*0.245+0.2)</f>
        <v>11.22745</v>
      </c>
      <c r="J23" s="10" t="n">
        <f aca="false">IF(H23&gt;0,I23/H23,0)</f>
        <v>0.320875964561303</v>
      </c>
      <c r="K23" s="7" t="s">
        <v>305</v>
      </c>
      <c r="L23" s="7" t="s">
        <v>306</v>
      </c>
    </row>
    <row r="24" customFormat="false" ht="26.85" hidden="false" customHeight="false" outlineLevel="0" collapsed="false">
      <c r="A24" s="19" t="s">
        <v>141</v>
      </c>
      <c r="B24" s="12" t="s">
        <v>224</v>
      </c>
      <c r="C24" s="12" t="s">
        <v>307</v>
      </c>
      <c r="D24" s="13" t="s">
        <v>308</v>
      </c>
      <c r="E24" s="14" t="n">
        <v>10.79</v>
      </c>
      <c r="F24" s="14" t="n">
        <v>7</v>
      </c>
      <c r="G24" s="21" t="n">
        <f aca="false">E24+F24</f>
        <v>17.79</v>
      </c>
      <c r="H24" s="14" t="n">
        <v>34.99</v>
      </c>
      <c r="I24" s="15" t="n">
        <f aca="false">H24-G24-(H24*0.245+0.2)</f>
        <v>8.42745</v>
      </c>
      <c r="J24" s="16" t="n">
        <f aca="false">IF(H24&gt;0,I24/H24,0)</f>
        <v>0.240853100885968</v>
      </c>
      <c r="K24" s="13" t="s">
        <v>309</v>
      </c>
      <c r="L24" s="13" t="s">
        <v>310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8"/>
    <col collapsed="false" customWidth="true" hidden="false" outlineLevel="0" max="4" min="3" style="0" width="18"/>
    <col collapsed="false" customWidth="true" hidden="false" outlineLevel="0" max="5" min="5" style="0" width="12"/>
    <col collapsed="false" customWidth="true" hidden="false" outlineLevel="0" max="7" min="6" style="0" width="20"/>
  </cols>
  <sheetData>
    <row r="1" customFormat="false" ht="17.35" hidden="false" customHeight="true" outlineLevel="0" collapsed="false">
      <c r="A1" s="1" t="s">
        <v>311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312</v>
      </c>
      <c r="B2" s="2"/>
      <c r="C2" s="2"/>
      <c r="D2" s="2"/>
      <c r="E2" s="2"/>
      <c r="F2" s="2"/>
      <c r="G2" s="2"/>
    </row>
    <row r="4" customFormat="false" ht="26.85" hidden="false" customHeight="false" outlineLevel="0" collapsed="false">
      <c r="A4" s="5" t="s">
        <v>313</v>
      </c>
      <c r="B4" s="5" t="s">
        <v>314</v>
      </c>
      <c r="C4" s="5" t="s">
        <v>315</v>
      </c>
      <c r="D4" s="5" t="s">
        <v>316</v>
      </c>
      <c r="E4" s="5" t="s">
        <v>9</v>
      </c>
      <c r="F4" s="5" t="s">
        <v>317</v>
      </c>
      <c r="G4" s="5" t="s">
        <v>318</v>
      </c>
    </row>
    <row r="5" customFormat="false" ht="15" hidden="false" customHeight="false" outlineLevel="0" collapsed="false">
      <c r="A5" s="6" t="s">
        <v>319</v>
      </c>
      <c r="B5" s="7" t="s">
        <v>320</v>
      </c>
      <c r="C5" s="7" t="s">
        <v>321</v>
      </c>
      <c r="D5" s="6" t="s">
        <v>322</v>
      </c>
      <c r="E5" s="22" t="s">
        <v>323</v>
      </c>
      <c r="F5" s="23" t="s">
        <v>324</v>
      </c>
      <c r="G5" s="17" t="s">
        <v>325</v>
      </c>
    </row>
    <row r="6" customFormat="false" ht="23.85" hidden="false" customHeight="false" outlineLevel="0" collapsed="false">
      <c r="A6" s="12" t="s">
        <v>326</v>
      </c>
      <c r="B6" s="13" t="s">
        <v>327</v>
      </c>
      <c r="C6" s="13" t="s">
        <v>328</v>
      </c>
      <c r="D6" s="12" t="s">
        <v>329</v>
      </c>
      <c r="E6" s="24" t="s">
        <v>330</v>
      </c>
      <c r="F6" s="25" t="s">
        <v>324</v>
      </c>
      <c r="G6" s="17" t="s">
        <v>325</v>
      </c>
    </row>
    <row r="7" customFormat="false" ht="23.85" hidden="false" customHeight="false" outlineLevel="0" collapsed="false">
      <c r="A7" s="6" t="s">
        <v>331</v>
      </c>
      <c r="B7" s="7" t="s">
        <v>332</v>
      </c>
      <c r="C7" s="7" t="s">
        <v>333</v>
      </c>
      <c r="D7" s="6" t="s">
        <v>334</v>
      </c>
      <c r="E7" s="26" t="s">
        <v>335</v>
      </c>
      <c r="F7" s="23" t="s">
        <v>324</v>
      </c>
      <c r="G7" s="17" t="s">
        <v>336</v>
      </c>
    </row>
    <row r="8" customFormat="false" ht="23.85" hidden="false" customHeight="false" outlineLevel="0" collapsed="false">
      <c r="A8" s="12" t="s">
        <v>337</v>
      </c>
      <c r="B8" s="13" t="s">
        <v>338</v>
      </c>
      <c r="C8" s="13" t="s">
        <v>339</v>
      </c>
      <c r="D8" s="12" t="s">
        <v>340</v>
      </c>
      <c r="E8" s="24" t="s">
        <v>341</v>
      </c>
      <c r="F8" s="25" t="s">
        <v>324</v>
      </c>
      <c r="G8" s="17" t="s">
        <v>336</v>
      </c>
    </row>
    <row r="9" customFormat="false" ht="23.85" hidden="false" customHeight="false" outlineLevel="0" collapsed="false">
      <c r="A9" s="6" t="s">
        <v>342</v>
      </c>
      <c r="B9" s="7" t="s">
        <v>343</v>
      </c>
      <c r="C9" s="7" t="s">
        <v>344</v>
      </c>
      <c r="D9" s="6" t="s">
        <v>345</v>
      </c>
      <c r="E9" s="22" t="s">
        <v>346</v>
      </c>
      <c r="F9" s="23" t="s">
        <v>324</v>
      </c>
      <c r="G9" s="11" t="s">
        <v>347</v>
      </c>
    </row>
    <row r="10" customFormat="false" ht="23.85" hidden="false" customHeight="false" outlineLevel="0" collapsed="false">
      <c r="A10" s="12" t="s">
        <v>348</v>
      </c>
      <c r="B10" s="13" t="s">
        <v>349</v>
      </c>
      <c r="C10" s="13" t="s">
        <v>350</v>
      </c>
      <c r="D10" s="12" t="s">
        <v>351</v>
      </c>
      <c r="E10" s="22" t="s">
        <v>352</v>
      </c>
      <c r="F10" s="25" t="s">
        <v>324</v>
      </c>
      <c r="G10" s="11" t="s">
        <v>347</v>
      </c>
    </row>
    <row r="11" customFormat="false" ht="15" hidden="false" customHeight="false" outlineLevel="0" collapsed="false">
      <c r="A11" s="6" t="s">
        <v>353</v>
      </c>
      <c r="B11" s="7" t="s">
        <v>354</v>
      </c>
      <c r="C11" s="7" t="s">
        <v>355</v>
      </c>
      <c r="D11" s="6" t="s">
        <v>356</v>
      </c>
      <c r="E11" s="26" t="s">
        <v>357</v>
      </c>
      <c r="F11" s="23" t="s">
        <v>324</v>
      </c>
      <c r="G11" s="11" t="s">
        <v>347</v>
      </c>
    </row>
    <row r="12" customFormat="false" ht="23.85" hidden="false" customHeight="false" outlineLevel="0" collapsed="false">
      <c r="A12" s="12" t="s">
        <v>358</v>
      </c>
      <c r="B12" s="13" t="s">
        <v>359</v>
      </c>
      <c r="C12" s="13" t="s">
        <v>360</v>
      </c>
      <c r="D12" s="12" t="s">
        <v>361</v>
      </c>
      <c r="E12" s="24" t="s">
        <v>335</v>
      </c>
      <c r="F12" s="25" t="s">
        <v>324</v>
      </c>
      <c r="G12" s="11" t="s">
        <v>362</v>
      </c>
    </row>
    <row r="13" customFormat="false" ht="23.85" hidden="false" customHeight="false" outlineLevel="0" collapsed="false">
      <c r="A13" s="6" t="s">
        <v>363</v>
      </c>
      <c r="B13" s="7" t="s">
        <v>364</v>
      </c>
      <c r="C13" s="7" t="s">
        <v>365</v>
      </c>
      <c r="D13" s="6" t="s">
        <v>366</v>
      </c>
      <c r="E13" s="26" t="s">
        <v>367</v>
      </c>
      <c r="F13" s="23" t="s">
        <v>324</v>
      </c>
      <c r="G13" s="27" t="s">
        <v>368</v>
      </c>
    </row>
    <row r="14" customFormat="false" ht="15" hidden="false" customHeight="false" outlineLevel="0" collapsed="false">
      <c r="A14" s="12" t="s">
        <v>369</v>
      </c>
      <c r="B14" s="13" t="s">
        <v>370</v>
      </c>
      <c r="C14" s="13" t="s">
        <v>371</v>
      </c>
      <c r="D14" s="12" t="s">
        <v>372</v>
      </c>
      <c r="E14" s="24" t="s">
        <v>335</v>
      </c>
      <c r="F14" s="25" t="s">
        <v>324</v>
      </c>
      <c r="G14" s="27" t="s">
        <v>373</v>
      </c>
    </row>
    <row r="15" customFormat="false" ht="15" hidden="false" customHeight="false" outlineLevel="0" collapsed="false">
      <c r="A15" s="6" t="s">
        <v>374</v>
      </c>
      <c r="B15" s="7" t="s">
        <v>375</v>
      </c>
      <c r="C15" s="7" t="s">
        <v>376</v>
      </c>
      <c r="D15" s="6" t="s">
        <v>377</v>
      </c>
      <c r="E15" s="26" t="s">
        <v>367</v>
      </c>
      <c r="F15" s="23" t="s">
        <v>324</v>
      </c>
      <c r="G15" s="27" t="s">
        <v>373</v>
      </c>
    </row>
    <row r="16" customFormat="false" ht="15" hidden="false" customHeight="false" outlineLevel="0" collapsed="false">
      <c r="A16" s="12" t="s">
        <v>378</v>
      </c>
      <c r="B16" s="13" t="s">
        <v>379</v>
      </c>
      <c r="C16" s="13" t="s">
        <v>380</v>
      </c>
      <c r="D16" s="12" t="s">
        <v>377</v>
      </c>
      <c r="E16" s="24" t="s">
        <v>381</v>
      </c>
      <c r="F16" s="25" t="s">
        <v>382</v>
      </c>
      <c r="G16" s="17" t="s">
        <v>383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7" min="2" style="0" width="10"/>
  </cols>
  <sheetData>
    <row r="1" customFormat="false" ht="17.35" hidden="false" customHeight="true" outlineLevel="0" collapsed="false">
      <c r="A1" s="1" t="s">
        <v>384</v>
      </c>
      <c r="B1" s="1"/>
      <c r="C1" s="1"/>
      <c r="D1" s="1"/>
      <c r="E1" s="1"/>
      <c r="F1" s="1"/>
      <c r="G1" s="1"/>
    </row>
    <row r="3" customFormat="false" ht="26.85" hidden="false" customHeight="false" outlineLevel="0" collapsed="false">
      <c r="A3" s="5" t="s">
        <v>385</v>
      </c>
      <c r="B3" s="5" t="s">
        <v>386</v>
      </c>
      <c r="C3" s="5" t="s">
        <v>133</v>
      </c>
      <c r="D3" s="5" t="s">
        <v>387</v>
      </c>
      <c r="E3" s="5" t="s">
        <v>135</v>
      </c>
      <c r="F3" s="5" t="s">
        <v>136</v>
      </c>
      <c r="G3" s="5" t="s">
        <v>137</v>
      </c>
    </row>
    <row r="4" customFormat="false" ht="15" hidden="false" customHeight="false" outlineLevel="0" collapsed="false">
      <c r="A4" s="6" t="s">
        <v>388</v>
      </c>
      <c r="B4" s="8" t="n">
        <v>1.19</v>
      </c>
      <c r="C4" s="8" t="n">
        <v>4.5</v>
      </c>
      <c r="D4" s="20" t="n">
        <f aca="false">B4+C4</f>
        <v>5.69</v>
      </c>
      <c r="E4" s="8" t="n">
        <v>19.99</v>
      </c>
      <c r="F4" s="9" t="n">
        <f aca="false">E4-D4-(E4*0.245+0.2)</f>
        <v>9.20245</v>
      </c>
      <c r="G4" s="10" t="n">
        <f aca="false">IF(E4&gt;0,F4/E4,0)</f>
        <v>0.460352676338169</v>
      </c>
    </row>
    <row r="5" customFormat="false" ht="15" hidden="false" customHeight="false" outlineLevel="0" collapsed="false">
      <c r="A5" s="12" t="s">
        <v>389</v>
      </c>
      <c r="B5" s="14" t="n">
        <v>2.39</v>
      </c>
      <c r="C5" s="14" t="n">
        <v>5.5</v>
      </c>
      <c r="D5" s="21" t="n">
        <f aca="false">B5+C5</f>
        <v>7.89</v>
      </c>
      <c r="E5" s="14" t="n">
        <v>19.99</v>
      </c>
      <c r="F5" s="15" t="n">
        <f aca="false">E5-D5-(E5*0.245+0.2)</f>
        <v>7.00245</v>
      </c>
      <c r="G5" s="16" t="n">
        <f aca="false">IF(E5&gt;0,F5/E5,0)</f>
        <v>0.350297648824412</v>
      </c>
    </row>
    <row r="6" customFormat="false" ht="15" hidden="false" customHeight="false" outlineLevel="0" collapsed="false">
      <c r="A6" s="6" t="s">
        <v>150</v>
      </c>
      <c r="B6" s="8" t="n">
        <v>2.29</v>
      </c>
      <c r="C6" s="8" t="n">
        <v>5</v>
      </c>
      <c r="D6" s="20" t="n">
        <f aca="false">B6+C6</f>
        <v>7.29</v>
      </c>
      <c r="E6" s="8" t="n">
        <v>19.99</v>
      </c>
      <c r="F6" s="9" t="n">
        <f aca="false">E6-D6-(E6*0.245+0.2)</f>
        <v>7.60245</v>
      </c>
      <c r="G6" s="10" t="n">
        <f aca="false">IF(E6&gt;0,F6/E6,0)</f>
        <v>0.380312656328164</v>
      </c>
    </row>
    <row r="7" customFormat="false" ht="15" hidden="false" customHeight="false" outlineLevel="0" collapsed="false">
      <c r="A7" s="12" t="s">
        <v>390</v>
      </c>
      <c r="B7" s="14" t="n">
        <v>3.29</v>
      </c>
      <c r="C7" s="14" t="n">
        <v>6</v>
      </c>
      <c r="D7" s="21" t="n">
        <f aca="false">B7+C7</f>
        <v>9.29</v>
      </c>
      <c r="E7" s="14" t="n">
        <v>24.99</v>
      </c>
      <c r="F7" s="15" t="n">
        <f aca="false">E7-D7-(E7*0.245+0.2)</f>
        <v>9.37745</v>
      </c>
      <c r="G7" s="16" t="n">
        <f aca="false">IF(E7&gt;0,F7/E7,0)</f>
        <v>0.375248099239696</v>
      </c>
    </row>
    <row r="8" customFormat="false" ht="15" hidden="false" customHeight="false" outlineLevel="0" collapsed="false">
      <c r="A8" s="6" t="s">
        <v>173</v>
      </c>
      <c r="B8" s="8" t="n">
        <v>4.26</v>
      </c>
      <c r="C8" s="8" t="n">
        <v>5</v>
      </c>
      <c r="D8" s="20" t="n">
        <f aca="false">B8+C8</f>
        <v>9.26</v>
      </c>
      <c r="E8" s="8" t="n">
        <v>22.99</v>
      </c>
      <c r="F8" s="9" t="n">
        <f aca="false">E8-D8-(E8*0.245+0.2)</f>
        <v>7.89745</v>
      </c>
      <c r="G8" s="10" t="n">
        <f aca="false">IF(E8&gt;0,F8/E8,0)</f>
        <v>0.343516746411483</v>
      </c>
    </row>
    <row r="9" customFormat="false" ht="15" hidden="false" customHeight="false" outlineLevel="0" collapsed="false">
      <c r="A9" s="12" t="s">
        <v>391</v>
      </c>
      <c r="B9" s="14" t="n">
        <v>2.99</v>
      </c>
      <c r="C9" s="14" t="n">
        <v>3.5</v>
      </c>
      <c r="D9" s="21" t="n">
        <f aca="false">B9+C9</f>
        <v>6.49</v>
      </c>
      <c r="E9" s="14" t="n">
        <v>14.99</v>
      </c>
      <c r="F9" s="15" t="n">
        <f aca="false">E9-D9-(E9*0.245+0.2)</f>
        <v>4.62745</v>
      </c>
      <c r="G9" s="16" t="n">
        <f aca="false">IF(E9&gt;0,F9/E9,0)</f>
        <v>0.308702468312208</v>
      </c>
    </row>
    <row r="10" customFormat="false" ht="15" hidden="false" customHeight="false" outlineLevel="0" collapsed="false">
      <c r="A10" s="6" t="s">
        <v>392</v>
      </c>
      <c r="B10" s="8" t="n">
        <v>4.99</v>
      </c>
      <c r="C10" s="8" t="n">
        <v>6</v>
      </c>
      <c r="D10" s="20" t="n">
        <f aca="false">B10+C10</f>
        <v>10.99</v>
      </c>
      <c r="E10" s="8" t="n">
        <v>29.99</v>
      </c>
      <c r="F10" s="9" t="n">
        <f aca="false">E10-D10-(E10*0.245+0.2)</f>
        <v>11.45245</v>
      </c>
      <c r="G10" s="10" t="n">
        <f aca="false">IF(E10&gt;0,F10/E10,0)</f>
        <v>0.381875625208403</v>
      </c>
    </row>
    <row r="11" customFormat="false" ht="15" hidden="false" customHeight="false" outlineLevel="0" collapsed="false">
      <c r="A11" s="12" t="s">
        <v>393</v>
      </c>
      <c r="B11" s="14" t="n">
        <v>2.39</v>
      </c>
      <c r="C11" s="14" t="n">
        <v>4.5</v>
      </c>
      <c r="D11" s="21" t="n">
        <f aca="false">B11+C11</f>
        <v>6.89</v>
      </c>
      <c r="E11" s="14" t="n">
        <v>14.99</v>
      </c>
      <c r="F11" s="15" t="n">
        <f aca="false">E11-D11-(E11*0.245+0.2)</f>
        <v>4.22745</v>
      </c>
      <c r="G11" s="16" t="n">
        <f aca="false">IF(E11&gt;0,F11/E11,0)</f>
        <v>0.282018012008005</v>
      </c>
    </row>
    <row r="12" customFormat="false" ht="15" hidden="false" customHeight="false" outlineLevel="0" collapsed="false">
      <c r="A12" s="6" t="s">
        <v>394</v>
      </c>
      <c r="B12" s="8" t="n">
        <v>3.69</v>
      </c>
      <c r="C12" s="8" t="n">
        <v>6.5</v>
      </c>
      <c r="D12" s="20" t="n">
        <f aca="false">B12+C12</f>
        <v>10.19</v>
      </c>
      <c r="E12" s="8" t="n">
        <v>24.99</v>
      </c>
      <c r="F12" s="9" t="n">
        <f aca="false">E12-D12-(E12*0.245+0.2)</f>
        <v>8.47745</v>
      </c>
      <c r="G12" s="10" t="n">
        <f aca="false">IF(E12&gt;0,F12/E12,0)</f>
        <v>0.339233693477391</v>
      </c>
    </row>
    <row r="13" customFormat="false" ht="15" hidden="false" customHeight="false" outlineLevel="0" collapsed="false">
      <c r="A13" s="12" t="s">
        <v>395</v>
      </c>
      <c r="B13" s="14" t="n">
        <v>2.29</v>
      </c>
      <c r="C13" s="14" t="n">
        <v>6</v>
      </c>
      <c r="D13" s="21" t="n">
        <f aca="false">B13+C13</f>
        <v>8.29</v>
      </c>
      <c r="E13" s="14" t="n">
        <v>24.99</v>
      </c>
      <c r="F13" s="15" t="n">
        <f aca="false">E13-D13-(E13*0.245+0.2)</f>
        <v>10.37745</v>
      </c>
      <c r="G13" s="16" t="n">
        <f aca="false">IF(E13&gt;0,F13/E13,0)</f>
        <v>0.415264105642257</v>
      </c>
    </row>
    <row r="14" customFormat="false" ht="15" hidden="false" customHeight="true" outlineLevel="0" collapsed="false">
      <c r="A14" s="28" t="s">
        <v>396</v>
      </c>
      <c r="B14" s="28"/>
      <c r="C14" s="28"/>
      <c r="D14" s="28"/>
      <c r="E14" s="28"/>
      <c r="F14" s="28"/>
      <c r="G14" s="28"/>
    </row>
    <row r="15" customFormat="false" ht="15" hidden="false" customHeight="false" outlineLevel="0" collapsed="false">
      <c r="A15" s="12" t="s">
        <v>397</v>
      </c>
      <c r="B15" s="14" t="n">
        <v>5.19</v>
      </c>
      <c r="C15" s="14" t="n">
        <v>6</v>
      </c>
      <c r="D15" s="21" t="n">
        <f aca="false">B15+C15</f>
        <v>11.19</v>
      </c>
      <c r="E15" s="14" t="n">
        <v>24.99</v>
      </c>
      <c r="F15" s="15" t="n">
        <f aca="false">E15-D15-(E15*0.245+0.2)</f>
        <v>7.47745</v>
      </c>
      <c r="G15" s="16" t="n">
        <f aca="false">IF(E15&gt;0,F15/E15,0)</f>
        <v>0.29921768707483</v>
      </c>
    </row>
    <row r="16" customFormat="false" ht="15" hidden="false" customHeight="false" outlineLevel="0" collapsed="false">
      <c r="A16" s="6" t="s">
        <v>398</v>
      </c>
      <c r="B16" s="8" t="n">
        <v>6.4</v>
      </c>
      <c r="C16" s="8" t="n">
        <v>7.5</v>
      </c>
      <c r="D16" s="20" t="n">
        <f aca="false">B16+C16</f>
        <v>13.9</v>
      </c>
      <c r="E16" s="8" t="n">
        <v>29.99</v>
      </c>
      <c r="F16" s="9" t="n">
        <f aca="false">E16-D16-(E16*0.245+0.2)</f>
        <v>8.54245</v>
      </c>
      <c r="G16" s="10" t="n">
        <f aca="false">IF(E16&gt;0,F16/E16,0)</f>
        <v>0.284843281093698</v>
      </c>
    </row>
    <row r="17" customFormat="false" ht="15" hidden="false" customHeight="false" outlineLevel="0" collapsed="false">
      <c r="A17" s="12" t="s">
        <v>399</v>
      </c>
      <c r="B17" s="14" t="n">
        <v>8.49</v>
      </c>
      <c r="C17" s="14" t="n">
        <v>8</v>
      </c>
      <c r="D17" s="21" t="n">
        <f aca="false">B17+C17</f>
        <v>16.49</v>
      </c>
      <c r="E17" s="14" t="n">
        <v>34.99</v>
      </c>
      <c r="F17" s="15" t="n">
        <f aca="false">E17-D17-(E17*0.245+0.2)</f>
        <v>9.72745</v>
      </c>
      <c r="G17" s="16" t="n">
        <f aca="false">IF(E17&gt;0,F17/E17,0)</f>
        <v>0.278006573306659</v>
      </c>
    </row>
    <row r="18" customFormat="false" ht="15" hidden="false" customHeight="false" outlineLevel="0" collapsed="false">
      <c r="A18" s="6" t="s">
        <v>400</v>
      </c>
      <c r="B18" s="8" t="n">
        <v>8.59</v>
      </c>
      <c r="C18" s="8" t="n">
        <v>8.5</v>
      </c>
      <c r="D18" s="20" t="n">
        <f aca="false">B18+C18</f>
        <v>17.09</v>
      </c>
      <c r="E18" s="8" t="n">
        <v>39.99</v>
      </c>
      <c r="F18" s="9" t="n">
        <f aca="false">E18-D18-(E18*0.245+0.2)</f>
        <v>12.90245</v>
      </c>
      <c r="G18" s="10" t="n">
        <f aca="false">IF(E18&gt;0,F18/E18,0)</f>
        <v>0.322641910477619</v>
      </c>
    </row>
    <row r="19" customFormat="false" ht="15" hidden="false" customHeight="false" outlineLevel="0" collapsed="false">
      <c r="A19" s="12" t="s">
        <v>401</v>
      </c>
      <c r="B19" s="14" t="n">
        <v>11.59</v>
      </c>
      <c r="C19" s="14" t="n">
        <v>8.5</v>
      </c>
      <c r="D19" s="21" t="n">
        <f aca="false">B19+C19</f>
        <v>20.09</v>
      </c>
      <c r="E19" s="14" t="n">
        <v>44.99</v>
      </c>
      <c r="F19" s="15" t="n">
        <f aca="false">E19-D19-(E19*0.245+0.2)</f>
        <v>13.67745</v>
      </c>
      <c r="G19" s="16" t="n">
        <f aca="false">IF(E19&gt;0,F19/E19,0)</f>
        <v>0.30401089130918</v>
      </c>
    </row>
    <row r="20" customFormat="false" ht="15" hidden="false" customHeight="false" outlineLevel="0" collapsed="false">
      <c r="A20" s="6" t="s">
        <v>402</v>
      </c>
      <c r="B20" s="8" t="n">
        <v>15.39</v>
      </c>
      <c r="C20" s="8" t="n">
        <v>10.95</v>
      </c>
      <c r="D20" s="20" t="n">
        <f aca="false">B20+C20</f>
        <v>26.34</v>
      </c>
      <c r="E20" s="8" t="n">
        <v>54.99</v>
      </c>
      <c r="F20" s="9" t="n">
        <f aca="false">E20-D20-(E20*0.245+0.2)</f>
        <v>14.97745</v>
      </c>
      <c r="G20" s="10" t="n">
        <f aca="false">IF(E20&gt;0,F20/E20,0)</f>
        <v>0.272366793962539</v>
      </c>
    </row>
  </sheetData>
  <mergeCells count="2">
    <mergeCell ref="A1:G1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2026-02-24T05:08:28Z</dcterms:created>
  <dc:creator>openpyxl</dc:creator>
  <dc:description/>
  <dc:language>en-US</dc:language>
  <cp:lastModifiedBy/>
  <dcterms:modified xsi:type="dcterms:W3CDTF">2026-02-24T05:08:28Z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