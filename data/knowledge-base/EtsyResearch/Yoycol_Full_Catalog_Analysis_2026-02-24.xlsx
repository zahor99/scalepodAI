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Catalog (493)" sheetId="1" state="visible" r:id="rId3"/>
    <sheet name="Hidden Gems" sheetId="2" state="visible" r:id="rId4"/>
    <sheet name="Category Analysis" sheetId="3" state="visible" r:id="rId5"/>
    <sheet name="Launch Plan" sheetId="4" state="visible" r:id="rId6"/>
    <sheet name="Keyword Demand" sheetId="5" state="visible" r:id="rId7"/>
    <sheet name="New Sho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<sst xmlns="http://schemas.openxmlformats.org/spreadsheetml/2006/main" count="1302" uniqueCount="576">
  <si>
    <t xml:space="preserve">Yoycol Complete Women's AOP Product Catalog — 493 Products</t>
  </si>
  <si>
    <t xml:space="preserve">Source: yoycol.com/spu_list/Women's Clothes | Feb 2026 | All prices USD | Ship estimates by weight tier</t>
  </si>
  <si>
    <t xml:space="preserve">Etsy Fee Rate:</t>
  </si>
  <si>
    <t xml:space="preserve">Shipping Estimate:</t>
  </si>
  <si>
    <t xml:space="preserve">See column D (weight-based)</t>
  </si>
  <si>
    <t xml:space="preserve">Category</t>
  </si>
  <si>
    <t xml:space="preserve">Product Name</t>
  </si>
  <si>
    <t xml:space="preserve">Yoycol
Base Cost</t>
  </si>
  <si>
    <t xml:space="preserve">Est.
Shipping</t>
  </si>
  <si>
    <t xml:space="preserve">Landed
Cost</t>
  </si>
  <si>
    <t xml:space="preserve">Etsy Sale
Price</t>
  </si>
  <si>
    <t xml:space="preserve">Etsy
Fees</t>
  </si>
  <si>
    <t xml:space="preserve">Net
Profit</t>
  </si>
  <si>
    <t xml:space="preserve">Margin</t>
  </si>
  <si>
    <t xml:space="preserve">Season</t>
  </si>
  <si>
    <t xml:space="preserve">Tops</t>
  </si>
  <si>
    <t xml:space="preserve">Triangle Tube Top</t>
  </si>
  <si>
    <t xml:space="preserve">Summer</t>
  </si>
  <si>
    <t xml:space="preserve">Tube Top</t>
  </si>
  <si>
    <t xml:space="preserve">Raglan Cropped T-shirt</t>
  </si>
  <si>
    <t xml:space="preserve">Short Sleeves Mesh Crop Top</t>
  </si>
  <si>
    <t xml:space="preserve">Sleeveless Cropped Top</t>
  </si>
  <si>
    <t xml:space="preserve">Cami Tube Top</t>
  </si>
  <si>
    <t xml:space="preserve">Cropped T-Shirt</t>
  </si>
  <si>
    <t xml:space="preserve">One-Shoulder Cropped Top</t>
  </si>
  <si>
    <t xml:space="preserve">Sleeveless V-Neck Tank Top</t>
  </si>
  <si>
    <t xml:space="preserve">Racerback Tank Top</t>
  </si>
  <si>
    <t xml:space="preserve">Lace Camisole</t>
  </si>
  <si>
    <t xml:space="preserve">Spring/Summer</t>
  </si>
  <si>
    <t xml:space="preserve">Tank Top</t>
  </si>
  <si>
    <t xml:space="preserve">Sports Tank Top</t>
  </si>
  <si>
    <t xml:space="preserve">Raglan Drawstring Front Crop Tee</t>
  </si>
  <si>
    <t xml:space="preserve">Sport Crop Tank Top</t>
  </si>
  <si>
    <t xml:space="preserve">Mesh Long Sleeves T-shirt</t>
  </si>
  <si>
    <t xml:space="preserve">Crop-Tank Top</t>
  </si>
  <si>
    <t xml:space="preserve">Round Neck T-shirt With Raglan Sleeve</t>
  </si>
  <si>
    <t xml:space="preserve">Year-round</t>
  </si>
  <si>
    <t xml:space="preserve">Loose Tank Top</t>
  </si>
  <si>
    <t xml:space="preserve">Short Sleeve Mesh Blouse</t>
  </si>
  <si>
    <t xml:space="preserve">Sleeveless V-Neck Top</t>
  </si>
  <si>
    <t xml:space="preserve">Mesh T-shirt (BESTSELLER)</t>
  </si>
  <si>
    <t xml:space="preserve">Spaghetti Strap Tank Top</t>
  </si>
  <si>
    <t xml:space="preserve">Off-shoulder One-Sleeve Top</t>
  </si>
  <si>
    <t xml:space="preserve">V-Neck Tank Top</t>
  </si>
  <si>
    <t xml:space="preserve">Long Sleeve Crewneck Crop Top</t>
  </si>
  <si>
    <t xml:space="preserve">Spring/Fall</t>
  </si>
  <si>
    <t xml:space="preserve">Mesh V-neck Long Sleeve Shirt</t>
  </si>
  <si>
    <t xml:space="preserve">Raglan T-shirt</t>
  </si>
  <si>
    <t xml:space="preserve">V-neck Button T-shirt</t>
  </si>
  <si>
    <t xml:space="preserve">Short Sleeve V-neck Crop Top</t>
  </si>
  <si>
    <t xml:space="preserve">Spaghetti Strap Cami</t>
  </si>
  <si>
    <t xml:space="preserve">Polo Crop Top</t>
  </si>
  <si>
    <t xml:space="preserve">V-neck Long Sleeve T-shirt</t>
  </si>
  <si>
    <t xml:space="preserve">Cami Top With Knot</t>
  </si>
  <si>
    <t xml:space="preserve">Button Up Short Sleeve Shirt</t>
  </si>
  <si>
    <t xml:space="preserve">O-Neck T-shirt</t>
  </si>
  <si>
    <t xml:space="preserve">Round Neck T-shirt With Short Sleeve</t>
  </si>
  <si>
    <t xml:space="preserve">Ruffle Short Sleeve Peplum Top</t>
  </si>
  <si>
    <t xml:space="preserve">Long Sleeve Top With 1/4 Zipper</t>
  </si>
  <si>
    <t xml:space="preserve">One-shoulder Short Sleeve T-shirt</t>
  </si>
  <si>
    <t xml:space="preserve">Round Neck T-shirt (150GSM)</t>
  </si>
  <si>
    <t xml:space="preserve">T-shirt With Short Sleeve</t>
  </si>
  <si>
    <t xml:space="preserve">V-Neck Short Sleeve Lace Trim Blouse</t>
  </si>
  <si>
    <t xml:space="preserve">Double-Layer Strapless Top</t>
  </si>
  <si>
    <t xml:space="preserve">Raglan Sleeve T-shirt</t>
  </si>
  <si>
    <t xml:space="preserve">Round Neck Raglan Sleeve T-shirt</t>
  </si>
  <si>
    <t xml:space="preserve">Off-Shoulder Ruffle-Hem Cropped Top</t>
  </si>
  <si>
    <t xml:space="preserve">Cold Shoulder Tank Top</t>
  </si>
  <si>
    <t xml:space="preserve">Chiffon Blouse (Bow Collar)</t>
  </si>
  <si>
    <t xml:space="preserve">Tie-waist Wrapped Top</t>
  </si>
  <si>
    <t xml:space="preserve">Button-through Crop Top</t>
  </si>
  <si>
    <t xml:space="preserve">Short-Sleeved V-Neck T-shirt</t>
  </si>
  <si>
    <t xml:space="preserve">Round Neck Pullover Vest</t>
  </si>
  <si>
    <t xml:space="preserve">V-Neck Blouse (Ruffle Edge)</t>
  </si>
  <si>
    <t xml:space="preserve">Round Neck T-shirt With Waist Drawstring</t>
  </si>
  <si>
    <t xml:space="preserve">Round Neck T-Shirt Short Sleeve (300GSM)</t>
  </si>
  <si>
    <t xml:space="preserve">Drop-Shoulder T-shirt (Plus Size)</t>
  </si>
  <si>
    <t xml:space="preserve">Sleeveless V-neck Chiffon Blouse</t>
  </si>
  <si>
    <t xml:space="preserve">Round Neck T-shirt 250GSM</t>
  </si>
  <si>
    <t xml:space="preserve">Off Shoulder Waist T-shirt</t>
  </si>
  <si>
    <t xml:space="preserve">Turtleneck Vest</t>
  </si>
  <si>
    <t xml:space="preserve">Fall/Winter</t>
  </si>
  <si>
    <t xml:space="preserve">Women Off-Shoulder Long Sleeve Top</t>
  </si>
  <si>
    <t xml:space="preserve">Button Vest</t>
  </si>
  <si>
    <t xml:space="preserve">Blouse With Ruffle Collar And Sleeve</t>
  </si>
  <si>
    <t xml:space="preserve">V-neck T-shirt With Curved Hem</t>
  </si>
  <si>
    <t xml:space="preserve">Drop-shoulder Short Sleeve T-shirt (Plus Size)</t>
  </si>
  <si>
    <t xml:space="preserve">Bat Sleeve Light V-neck Buttoned Top</t>
  </si>
  <si>
    <t xml:space="preserve">Bat Sleeves V-Neck Blouse</t>
  </si>
  <si>
    <t xml:space="preserve">Cropped Shirt</t>
  </si>
  <si>
    <t xml:space="preserve">Lace-Trimmed Tie-Back Top</t>
  </si>
  <si>
    <t xml:space="preserve">V-neck T-Shirt</t>
  </si>
  <si>
    <t xml:space="preserve">Round Sleeveless T-Shirt</t>
  </si>
  <si>
    <t xml:space="preserve">O-neck T-shirt With Ruffle Sleeves</t>
  </si>
  <si>
    <t xml:space="preserve">Loose Fit T-Shirt</t>
  </si>
  <si>
    <t xml:space="preserve">Eco-friendly Tank Top</t>
  </si>
  <si>
    <t xml:space="preserve">Halter Lace-up Top</t>
  </si>
  <si>
    <t xml:space="preserve">Polo Shirt</t>
  </si>
  <si>
    <t xml:space="preserve">Turtleneck T-shirt With Sloping Hem</t>
  </si>
  <si>
    <t xml:space="preserve">Round Neck T-Shirt 190GSM Cotton</t>
  </si>
  <si>
    <t xml:space="preserve">Round Neck T-shirt With Short Sleeve (190GSM)</t>
  </si>
  <si>
    <t xml:space="preserve">Racer Vest 190GSM Cotton</t>
  </si>
  <si>
    <t xml:space="preserve">Shirt (AOP)</t>
  </si>
  <si>
    <t xml:space="preserve">V-Neck Long Sleeves T-Shirt</t>
  </si>
  <si>
    <t xml:space="preserve">All-over Print Shirt</t>
  </si>
  <si>
    <t xml:space="preserve">Draped Long Sleeve Top</t>
  </si>
  <si>
    <t xml:space="preserve">V-neck Blouse With Flared Sleeves</t>
  </si>
  <si>
    <t xml:space="preserve">Formal Vest 245GSM</t>
  </si>
  <si>
    <t xml:space="preserve">Long Sleeve Shirt</t>
  </si>
  <si>
    <t xml:space="preserve">Satin Shirt</t>
  </si>
  <si>
    <t xml:space="preserve">Long-Sleeve Casual Top With Tie Collar</t>
  </si>
  <si>
    <t xml:space="preserve">T-shirt With 3/4 Sleeve</t>
  </si>
  <si>
    <t xml:space="preserve">Hawaii Shirt (Rayon)</t>
  </si>
  <si>
    <t xml:space="preserve">Dresses</t>
  </si>
  <si>
    <t xml:space="preserve">Dress With Lace Edge</t>
  </si>
  <si>
    <t xml:space="preserve">O-neck Cami Dress</t>
  </si>
  <si>
    <t xml:space="preserve">Slip Dress</t>
  </si>
  <si>
    <t xml:space="preserve">Short Sleeve O-neck Dress</t>
  </si>
  <si>
    <t xml:space="preserve">Cami Dress With Lace Edge</t>
  </si>
  <si>
    <t xml:space="preserve">V-neck Dress With Strap</t>
  </si>
  <si>
    <t xml:space="preserve">Sheer Mesh Backless Maxi Dress</t>
  </si>
  <si>
    <t xml:space="preserve">Cami Mini Dress</t>
  </si>
  <si>
    <t xml:space="preserve">Cami Dress With Split</t>
  </si>
  <si>
    <t xml:space="preserve">Cami Mini Dress With Split</t>
  </si>
  <si>
    <t xml:space="preserve">Cami Dress (Short)</t>
  </si>
  <si>
    <t xml:space="preserve">Halter Neck Dress</t>
  </si>
  <si>
    <t xml:space="preserve">Sleeveless Apron Dress</t>
  </si>
  <si>
    <t xml:space="preserve">Suspender Dress</t>
  </si>
  <si>
    <t xml:space="preserve">A-Line Strap Dress</t>
  </si>
  <si>
    <t xml:space="preserve">Dress With Pockets (Short)</t>
  </si>
  <si>
    <t xml:space="preserve">Long Dress with Slit</t>
  </si>
  <si>
    <t xml:space="preserve">Beach Tie Dress</t>
  </si>
  <si>
    <t xml:space="preserve">Short Sleeve Waist Dress</t>
  </si>
  <si>
    <t xml:space="preserve">Long Dress</t>
  </si>
  <si>
    <t xml:space="preserve">Oblique-Shoulder Dress (Plus Size)</t>
  </si>
  <si>
    <t xml:space="preserve">Sleeveless Suspender Dress</t>
  </si>
  <si>
    <t xml:space="preserve">T-shirt Dress</t>
  </si>
  <si>
    <t xml:space="preserve">Mini Dress</t>
  </si>
  <si>
    <t xml:space="preserve">Flowy Strap Sundress</t>
  </si>
  <si>
    <t xml:space="preserve">Tank Dress (Mid Length)</t>
  </si>
  <si>
    <t xml:space="preserve">Tank Vest Dress</t>
  </si>
  <si>
    <t xml:space="preserve">Sling Dress</t>
  </si>
  <si>
    <t xml:space="preserve">Sexy Hollow Cami Dress</t>
  </si>
  <si>
    <t xml:space="preserve">Loose V-Neck Summer Dress</t>
  </si>
  <si>
    <t xml:space="preserve">Tank Top Long Dress</t>
  </si>
  <si>
    <t xml:space="preserve">Vest Dress (Ankle Length)</t>
  </si>
  <si>
    <t xml:space="preserve">Cami Dress (Full Length)</t>
  </si>
  <si>
    <t xml:space="preserve">Sleeveless Dress</t>
  </si>
  <si>
    <t xml:space="preserve">Off-shoulder Back Lace-up Dress</t>
  </si>
  <si>
    <t xml:space="preserve">Cross Cami Dress</t>
  </si>
  <si>
    <t xml:space="preserve">Spaghetti Strap Dress</t>
  </si>
  <si>
    <t xml:space="preserve">Crew Neck Dress</t>
  </si>
  <si>
    <t xml:space="preserve">Sleeveless Dress (Mid)</t>
  </si>
  <si>
    <t xml:space="preserve">Hip Dress</t>
  </si>
  <si>
    <t xml:space="preserve">Elastic Waist Dress</t>
  </si>
  <si>
    <t xml:space="preserve">V-Neck Long Dress</t>
  </si>
  <si>
    <t xml:space="preserve">V-neck pleated dress</t>
  </si>
  <si>
    <t xml:space="preserve">V-neck Dress With Side Slit</t>
  </si>
  <si>
    <t xml:space="preserve">Stacked Ruffle Sleeve Dress</t>
  </si>
  <si>
    <t xml:space="preserve">Floral V-Neck Short Sleeve Dress</t>
  </si>
  <si>
    <t xml:space="preserve">Sleeveless Maxi Dress</t>
  </si>
  <si>
    <t xml:space="preserve">Sleeveless Cami Dress</t>
  </si>
  <si>
    <t xml:space="preserve">Maxi Dress (Plus Size)</t>
  </si>
  <si>
    <t xml:space="preserve">Elegant Mesh Lace Evening Dress</t>
  </si>
  <si>
    <t xml:space="preserve">V-neck Corset Dress</t>
  </si>
  <si>
    <t xml:space="preserve">Short Sleeve Belted Midi Dress</t>
  </si>
  <si>
    <t xml:space="preserve">Cold Shoulder Dress 190GSM Cotton</t>
  </si>
  <si>
    <t xml:space="preserve">O-neck Cami Dress 190GSM Cotton</t>
  </si>
  <si>
    <t xml:space="preserve">V-neck Dress With Waistband (Plus Size)</t>
  </si>
  <si>
    <t xml:space="preserve">Midi Dress</t>
  </si>
  <si>
    <t xml:space="preserve">Waist Tight Dress 190GSM Cotton</t>
  </si>
  <si>
    <t xml:space="preserve">Velvet Shine Maxi Dress</t>
  </si>
  <si>
    <t xml:space="preserve">Velvet Halter Top Dress</t>
  </si>
  <si>
    <t xml:space="preserve">Tank Top Dress</t>
  </si>
  <si>
    <t xml:space="preserve">Lantern Sleeve Dress</t>
  </si>
  <si>
    <t xml:space="preserve">Short Sleeve Shirt Dress</t>
  </si>
  <si>
    <t xml:space="preserve">Lace-up Front Cami Dress (Heavy)</t>
  </si>
  <si>
    <t xml:space="preserve">Long Sleeve Shirt Dress</t>
  </si>
  <si>
    <t xml:space="preserve">Wrapped Maxi Dress</t>
  </si>
  <si>
    <t xml:space="preserve">Sports Dress Set</t>
  </si>
  <si>
    <t xml:space="preserve">Bodycon Dress</t>
  </si>
  <si>
    <t xml:space="preserve">Evening Gown (Long)</t>
  </si>
  <si>
    <t xml:space="preserve">Faux Wrap Dress</t>
  </si>
  <si>
    <t xml:space="preserve">Bottoms</t>
  </si>
  <si>
    <t xml:space="preserve">Shorts</t>
  </si>
  <si>
    <t xml:space="preserve">Casual Shorts</t>
  </si>
  <si>
    <t xml:space="preserve">Side Split Running Pants</t>
  </si>
  <si>
    <t xml:space="preserve">High-Stretch Shorts</t>
  </si>
  <si>
    <t xml:space="preserve">Yoga Shorts</t>
  </si>
  <si>
    <t xml:space="preserve">Biker Shorts</t>
  </si>
  <si>
    <t xml:space="preserve">Beach Shorts</t>
  </si>
  <si>
    <t xml:space="preserve">Sport Leggings</t>
  </si>
  <si>
    <t xml:space="preserve">Full Length Leggings</t>
  </si>
  <si>
    <t xml:space="preserve">Flared Pants</t>
  </si>
  <si>
    <t xml:space="preserve">High Waist Wide Leg Trousers</t>
  </si>
  <si>
    <t xml:space="preserve">Loose Straight-leg Pants</t>
  </si>
  <si>
    <t xml:space="preserve">Waist Edge Wide-leg Pants</t>
  </si>
  <si>
    <t xml:space="preserve">Cargo Pants</t>
  </si>
  <si>
    <t xml:space="preserve">Bell Bottom Pants</t>
  </si>
  <si>
    <t xml:space="preserve">Wide Leg Palazzo Pants</t>
  </si>
  <si>
    <t xml:space="preserve">Harem Pants</t>
  </si>
  <si>
    <t xml:space="preserve">Skirts</t>
  </si>
  <si>
    <t xml:space="preserve">Slinky Micro Mini Skirt</t>
  </si>
  <si>
    <t xml:space="preserve">Side Split Hip Skirt</t>
  </si>
  <si>
    <t xml:space="preserve">Mini Skirt</t>
  </si>
  <si>
    <t xml:space="preserve">Side Slit Skirt</t>
  </si>
  <si>
    <t xml:space="preserve">High Slit Long Skirt</t>
  </si>
  <si>
    <t xml:space="preserve">Short Skirt</t>
  </si>
  <si>
    <t xml:space="preserve">Stitched Pleated Chiffon Skirt</t>
  </si>
  <si>
    <t xml:space="preserve">Long Maxi Skirt With Pockets (BESTSELLER)</t>
  </si>
  <si>
    <t xml:space="preserve">Package Hip Skirt</t>
  </si>
  <si>
    <t xml:space="preserve">Short Pencil Skirt</t>
  </si>
  <si>
    <t xml:space="preserve">Hip Wrap Pencil Skirt</t>
  </si>
  <si>
    <t xml:space="preserve">Maxi Chiffon Skirt With Lining</t>
  </si>
  <si>
    <t xml:space="preserve">Tiered Maxi Skirt</t>
  </si>
  <si>
    <t xml:space="preserve">A-Line Midi Skirt</t>
  </si>
  <si>
    <t xml:space="preserve">Pleated Midi Skirt</t>
  </si>
  <si>
    <t xml:space="preserve">Hoodies</t>
  </si>
  <si>
    <t xml:space="preserve">Raglan Sleeve Hooded Bodysuit</t>
  </si>
  <si>
    <t xml:space="preserve">Pullover Hoodie</t>
  </si>
  <si>
    <t xml:space="preserve">Long Hoodie</t>
  </si>
  <si>
    <t xml:space="preserve">Fleece Hoodie With Decorative Trim</t>
  </si>
  <si>
    <t xml:space="preserve">Raglan Pullover Hoodie</t>
  </si>
  <si>
    <t xml:space="preserve">Crop Top Hoodie With Zipper</t>
  </si>
  <si>
    <t xml:space="preserve">Crop Top Hoodie (Velvet)</t>
  </si>
  <si>
    <t xml:space="preserve">Long Sleeve Neckline Tie Sweatshirt</t>
  </si>
  <si>
    <t xml:space="preserve">Long Sleeve Thumbhole Jacket</t>
  </si>
  <si>
    <t xml:space="preserve">Hoodie With Decorative Ears</t>
  </si>
  <si>
    <t xml:space="preserve">Asymmetric Hem Hoodie</t>
  </si>
  <si>
    <t xml:space="preserve">Hoodie with Half Zipper</t>
  </si>
  <si>
    <t xml:space="preserve">Long Hoodie With Zipper</t>
  </si>
  <si>
    <t xml:space="preserve">Heavy Fleece Zip-on-the-Side Hoodie</t>
  </si>
  <si>
    <t xml:space="preserve">Patchwork Hoodie (280 GSM)</t>
  </si>
  <si>
    <t xml:space="preserve">Oversized Hoodie</t>
  </si>
  <si>
    <t xml:space="preserve">Hoodie Dress (Long)</t>
  </si>
  <si>
    <t xml:space="preserve">Sherpa Fleece Hoodie</t>
  </si>
  <si>
    <t xml:space="preserve">Swimwear</t>
  </si>
  <si>
    <t xml:space="preserve">Bikini Set</t>
  </si>
  <si>
    <t xml:space="preserve">One-Piece Swimsuit</t>
  </si>
  <si>
    <t xml:space="preserve">High-Waist Bikini Set</t>
  </si>
  <si>
    <t xml:space="preserve">String Bikini</t>
  </si>
  <si>
    <t xml:space="preserve">Tankini Set</t>
  </si>
  <si>
    <t xml:space="preserve">Swimsuit Cover-Up Dress</t>
  </si>
  <si>
    <t xml:space="preserve">Halter Bikini Top + Bottom</t>
  </si>
  <si>
    <t xml:space="preserve">Racerback One-Piece</t>
  </si>
  <si>
    <t xml:space="preserve">Sleepwear</t>
  </si>
  <si>
    <t xml:space="preserve">Sleep Shorts Set</t>
  </si>
  <si>
    <t xml:space="preserve">Loungewear Set</t>
  </si>
  <si>
    <t xml:space="preserve">Imitation Silk Pajama Set (Short)</t>
  </si>
  <si>
    <t xml:space="preserve">One-Piece Pajamas</t>
  </si>
  <si>
    <t xml:space="preserve">T-shirt Set With Short Sleeve</t>
  </si>
  <si>
    <t xml:space="preserve">Trousers Pajamas Set</t>
  </si>
  <si>
    <t xml:space="preserve">Satin Pajama Set</t>
  </si>
  <si>
    <t xml:space="preserve">Sleep Pajamas (Onesie)</t>
  </si>
  <si>
    <t xml:space="preserve">Pajama T-shirt 180GSM</t>
  </si>
  <si>
    <t xml:space="preserve">Pajama Pants 180GSM</t>
  </si>
  <si>
    <t xml:space="preserve">Flannel Pajama Set</t>
  </si>
  <si>
    <t xml:space="preserve">Robes</t>
  </si>
  <si>
    <t xml:space="preserve">Boho Patchwork Kimono Sleeve Top</t>
  </si>
  <si>
    <t xml:space="preserve">Imitation Silk V-neck Kaftan Robe</t>
  </si>
  <si>
    <t xml:space="preserve">Long Kimono Robe</t>
  </si>
  <si>
    <t xml:space="preserve">Flannel Hooded Bathrobe (Unisex)</t>
  </si>
  <si>
    <t xml:space="preserve">Beach Long Coat (Kimono Style)</t>
  </si>
  <si>
    <t xml:space="preserve">Silk Robe (Short)</t>
  </si>
  <si>
    <t xml:space="preserve">Outerwear</t>
  </si>
  <si>
    <t xml:space="preserve">Ribbed Stand-up Collar Jacket</t>
  </si>
  <si>
    <t xml:space="preserve">Cardigan With Long Sleeve</t>
  </si>
  <si>
    <t xml:space="preserve">Long Sleeve Outwear</t>
  </si>
  <si>
    <t xml:space="preserve">Quarter Zip Sport Shirt 210GSM</t>
  </si>
  <si>
    <t xml:space="preserve">Zip Jacket</t>
  </si>
  <si>
    <t xml:space="preserve">Knitted Hooded Jacket</t>
  </si>
  <si>
    <t xml:space="preserve">Borg Fleece Stand-up Collar Coat (Plus Size)</t>
  </si>
  <si>
    <t xml:space="preserve">Bomber Jacket</t>
  </si>
  <si>
    <t xml:space="preserve">Windbreaker Jacket</t>
  </si>
  <si>
    <t xml:space="preserve">Faux Leather Jacket</t>
  </si>
  <si>
    <t xml:space="preserve">Knitwear</t>
  </si>
  <si>
    <t xml:space="preserve">Raglan Sleeve Sweatshirt</t>
  </si>
  <si>
    <t xml:space="preserve">Oversized Off-Shoulder Sweatshirt</t>
  </si>
  <si>
    <t xml:space="preserve">Loose Sweatshirt</t>
  </si>
  <si>
    <t xml:space="preserve">Sweatshirt</t>
  </si>
  <si>
    <t xml:space="preserve">Sweater</t>
  </si>
  <si>
    <t xml:space="preserve">Thicken Sweater</t>
  </si>
  <si>
    <t xml:space="preserve">V-neck Imitation Knitted Sweater</t>
  </si>
  <si>
    <t xml:space="preserve">Round Neck Raglan Sleeve Sweater</t>
  </si>
  <si>
    <t xml:space="preserve">Fleece Pullover Crewneck</t>
  </si>
  <si>
    <t xml:space="preserve">Bodysuits</t>
  </si>
  <si>
    <t xml:space="preserve">Black Cami Tube Top Bodysuit</t>
  </si>
  <si>
    <t xml:space="preserve">Long Sleeve Bodysuit</t>
  </si>
  <si>
    <t xml:space="preserve">Tube Top Bodysuit With Side Slit</t>
  </si>
  <si>
    <t xml:space="preserve">Turtleneck Long Sleeve Bodysuit</t>
  </si>
  <si>
    <t xml:space="preserve">Jumpsuit</t>
  </si>
  <si>
    <t xml:space="preserve">Plunging Neck Jumpsuit</t>
  </si>
  <si>
    <t xml:space="preserve">Long-sleeved Jumpsuit With Zipper</t>
  </si>
  <si>
    <t xml:space="preserve">Romper (Short)</t>
  </si>
  <si>
    <t xml:space="preserve">Wide Leg Jumpsuit</t>
  </si>
  <si>
    <t xml:space="preserve">Halter Jumpsuit</t>
  </si>
  <si>
    <t xml:space="preserve">Sleeveless Bodysuit Dress</t>
  </si>
  <si>
    <t xml:space="preserve">Sets</t>
  </si>
  <si>
    <t xml:space="preserve">Breast Wrap Shorts Suit</t>
  </si>
  <si>
    <t xml:space="preserve">T-shirt Shorts Suit</t>
  </si>
  <si>
    <t xml:space="preserve">O-neck T-shirt Shorts Suit</t>
  </si>
  <si>
    <t xml:space="preserve">Sport Sleeveless Tank And Shorts Set</t>
  </si>
  <si>
    <t xml:space="preserve">Stretch Hoodie Set</t>
  </si>
  <si>
    <t xml:space="preserve">Matching Crop Top + Skirt Set</t>
  </si>
  <si>
    <t xml:space="preserve">Wrap Top + Wide Leg Pants Set</t>
  </si>
  <si>
    <t xml:space="preserve">Underwear</t>
  </si>
  <si>
    <t xml:space="preserve">Sexy Thong</t>
  </si>
  <si>
    <t xml:space="preserve">Thong 210GSM</t>
  </si>
  <si>
    <t xml:space="preserve">Stretch Underwear 210GSM</t>
  </si>
  <si>
    <t xml:space="preserve">Thong Underwear</t>
  </si>
  <si>
    <t xml:space="preserve">Bralette Set</t>
  </si>
  <si>
    <t xml:space="preserve">Sports Bra + Shorts Set</t>
  </si>
  <si>
    <t xml:space="preserve">CATALOG SUMMARY</t>
  </si>
  <si>
    <t xml:space="preserve">Total products: 279</t>
  </si>
  <si>
    <t xml:space="preserve">Avg Cost:</t>
  </si>
  <si>
    <t xml:space="preserve">Avg Price:</t>
  </si>
  <si>
    <t xml:space="preserve">HIDDEN GEMS — Products You Missed With Highest Profit Margins</t>
  </si>
  <si>
    <t xml:space="preserve">Products NOT in original 37-item report that have excellent margin-to-demand ratios. Sorted by estimated profit.</t>
  </si>
  <si>
    <t xml:space="preserve">★</t>
  </si>
  <si>
    <t xml:space="preserve">Base
Cost</t>
  </si>
  <si>
    <t xml:space="preserve">Ship</t>
  </si>
  <si>
    <t xml:space="preserve">Landed</t>
  </si>
  <si>
    <t xml:space="preserve">Etsy
Price</t>
  </si>
  <si>
    <t xml:space="preserve">Profit</t>
  </si>
  <si>
    <t xml:space="preserve">Why It's a Gem</t>
  </si>
  <si>
    <t xml:space="preserve">Target Niche</t>
  </si>
  <si>
    <t xml:space="preserve">★★★</t>
  </si>
  <si>
    <t xml:space="preserve">Lowest cost swimwear. Bikini search 165K/mo. Insane summer demand.</t>
  </si>
  <si>
    <t xml:space="preserve">Boho/Celestial/Floral</t>
  </si>
  <si>
    <t xml:space="preserve">AOP bikini at $14.19 landed, sells $34.99. Summer gold mine.</t>
  </si>
  <si>
    <t xml:space="preserve">Celestial/Butterfly/Floral</t>
  </si>
  <si>
    <t xml:space="preserve">$14.49 landed. "Floral one piece swimsuit" 2.4K/mo searches.</t>
  </si>
  <si>
    <t xml:space="preserve">Cottagecore/Floral/Boho</t>
  </si>
  <si>
    <t xml:space="preserve">Double duty: swimwear + dress. Beach cover up 14.8K/mo.</t>
  </si>
  <si>
    <t xml:space="preserve">Boho/Beach/Celestial</t>
  </si>
  <si>
    <t xml:space="preserve">$9.89 landed, $24.99 sale = 39% margin. Lace + AOP = premium feel.</t>
  </si>
  <si>
    <t xml:space="preserve">Cottagecore/Dark Cottagecore</t>
  </si>
  <si>
    <t xml:space="preserve">Mesh T-shirt (Bestseller)</t>
  </si>
  <si>
    <t xml:space="preserve">Yoycol bestseller. $11.19 landed. Festival/summer must-have.</t>
  </si>
  <si>
    <t xml:space="preserve">Festival/Boho/Celestial</t>
  </si>
  <si>
    <t xml:space="preserve">$10.39 landed bodysuit. "AOP bodysuit" growing trend on Etsy.</t>
  </si>
  <si>
    <t xml:space="preserve">Celestial/Witch/Gothic</t>
  </si>
  <si>
    <t xml:space="preserve">$14.25 landed slip dress. Huge cottagecore/boho crossover potential.</t>
  </si>
  <si>
    <t xml:space="preserve">Cottagecore/Boho/Celestial</t>
  </si>
  <si>
    <t xml:space="preserve">Lace edge = premium aesthetic. Perfect for mushroom/cottagecore.</t>
  </si>
  <si>
    <t xml:space="preserve">Mushroom/Cottagecore</t>
  </si>
  <si>
    <t xml:space="preserve">Same lace premium at even lower cost. Stunning with AOP florals.</t>
  </si>
  <si>
    <t xml:space="preserve">Floral/Cottagecore</t>
  </si>
  <si>
    <t xml:space="preserve">Simple silhouette lets the AOP design shine. Ultra low cost.</t>
  </si>
  <si>
    <t xml:space="preserve">All Niches</t>
  </si>
  <si>
    <t xml:space="preserve">Sundress = peak summer demand. "Boho sundress" 1.3K/mo.</t>
  </si>
  <si>
    <t xml:space="preserve">Boho/Floral/Butterfly</t>
  </si>
  <si>
    <t xml:space="preserve">$15.39 landed. Halter = statement piece for AOP designs.</t>
  </si>
  <si>
    <t xml:space="preserve">Celestial/Floral/Boho</t>
  </si>
  <si>
    <t xml:space="preserve">Apron dress = cottagecore PERFECT fit. Unique silhouette.</t>
  </si>
  <si>
    <t xml:space="preserve">Cottagecore/Mushroom</t>
  </si>
  <si>
    <t xml:space="preserve">Corset = witch/gothic aesthetic gold. "Corset dress" 6.6K/mo.</t>
  </si>
  <si>
    <t xml:space="preserve">Witch/Gothic/Dark Cottagecore</t>
  </si>
  <si>
    <t xml:space="preserve">Velvet + AOP = luxury feel. Fall/winter premium pricing.</t>
  </si>
  <si>
    <t xml:space="preserve">Witch/Celestial/Gothic</t>
  </si>
  <si>
    <t xml:space="preserve">$10.69 landed. Festival/summer essential at crazy margin.</t>
  </si>
  <si>
    <t xml:space="preserve">Festival/Boho</t>
  </si>
  <si>
    <t xml:space="preserve">Dramatic slit + AOP = show-stopping piece. Great for celestial.</t>
  </si>
  <si>
    <t xml:space="preserve">Celestial/Boho/Witch</t>
  </si>
  <si>
    <t xml:space="preserve">Tiered = cottagecore DNA. "Cottagecore skirt" growing search.</t>
  </si>
  <si>
    <t xml:space="preserve">Cottagecore/Boho/Floral</t>
  </si>
  <si>
    <t xml:space="preserve">"Floral romper" 2.9K/mo. Festival + beach crossover.</t>
  </si>
  <si>
    <t xml:space="preserve">Boho/Floral/Festival</t>
  </si>
  <si>
    <t xml:space="preserve">Statement piece. "Boho jumpsuit" 1.6K/mo. High perceived value.</t>
  </si>
  <si>
    <t xml:space="preserve">Kimono + patchwork = boho must-have. "Kimono robe" 2.9K/mo.</t>
  </si>
  <si>
    <t xml:space="preserve">Boho/Celestial</t>
  </si>
  <si>
    <t xml:space="preserve">Beach kimono = summer cover-up gold. Dual-purpose product.</t>
  </si>
  <si>
    <t xml:space="preserve">$14.25 landed matching set. "Matching set" 5.4K/mo searches.</t>
  </si>
  <si>
    <t xml:space="preserve">Festival/Boho/Beach</t>
  </si>
  <si>
    <t xml:space="preserve">Matching activewear set. Activewear AOP is underserved on Etsy.</t>
  </si>
  <si>
    <t xml:space="preserve">$14.89 landed sweatshirt. Year-round demand. 45% margin.</t>
  </si>
  <si>
    <t xml:space="preserve">Windbreaker + AOP = unique statement. Light outerwear gap on Etsy.</t>
  </si>
  <si>
    <t xml:space="preserve">Celestial/Japanese Art</t>
  </si>
  <si>
    <t xml:space="preserve">AOP bomber = fashion-forward. "Bomber jacket women" 6.6K/mo.</t>
  </si>
  <si>
    <t xml:space="preserve">Celestial/Boho/Art</t>
  </si>
  <si>
    <t xml:space="preserve">Crop hoodie = Gen Z trend. Unique product not on most POD shops.</t>
  </si>
  <si>
    <t xml:space="preserve">Festival/Celestial/Witch</t>
  </si>
  <si>
    <t xml:space="preserve">Hoodie + dress = comfort luxury. Unique product, high perceived value.</t>
  </si>
  <si>
    <t xml:space="preserve">Cottagecore/Celestial/Witch</t>
  </si>
  <si>
    <t xml:space="preserve">$14.39 landed. "Matching pajama set" 1.3K/mo. Gift market gold.</t>
  </si>
  <si>
    <t xml:space="preserve">Cottagecore/Celestial/Mushroom</t>
  </si>
  <si>
    <t xml:space="preserve">Profit by Category — Which Product Types Make the Most Money?</t>
  </si>
  <si>
    <t xml:space="preserve">Products
Count</t>
  </si>
  <si>
    <t xml:space="preserve">Avg Base
Cost</t>
  </si>
  <si>
    <t xml:space="preserve">Avg
Landed</t>
  </si>
  <si>
    <t xml:space="preserve">Avg Sale
Price</t>
  </si>
  <si>
    <t xml:space="preserve">Avg
Profit</t>
  </si>
  <si>
    <t xml:space="preserve">Avg
Margin</t>
  </si>
  <si>
    <t xml:space="preserve">Verdict</t>
  </si>
  <si>
    <t xml:space="preserve">HIGH VOLUME — cheap to test, strong summer demand</t>
  </si>
  <si>
    <t xml:space="preserve">HIGHEST REVENUE — spring/summer peak, 33K+ monthly searches</t>
  </si>
  <si>
    <t xml:space="preserve">SOLID — leggings &amp; wide-leg pants year-round demand</t>
  </si>
  <si>
    <t xml:space="preserve">GOOD — maxi skirts are cottagecore/boho staple</t>
  </si>
  <si>
    <t xml:space="preserve">PREMIUM — highest per-unit profit, fall/winter peak</t>
  </si>
  <si>
    <t xml:space="preserve">HIDDEN GEM — lowest landed cost, massive summer demand</t>
  </si>
  <si>
    <t xml:space="preserve">GIFT MARKET — year-round gifting, matching sets trending</t>
  </si>
  <si>
    <t xml:space="preserve">TRENDING — bodysuits &amp; jumpsuits growing on Etsy</t>
  </si>
  <si>
    <t xml:space="preserve">PREMIUM — kimono robes are celestial/boho must-have</t>
  </si>
  <si>
    <t xml:space="preserve">NICHE — bomber jackets &amp; windbreakers underserved</t>
  </si>
  <si>
    <t xml:space="preserve">SEASONAL — fall/winter demand, good sweatshirt margin</t>
  </si>
  <si>
    <t xml:space="preserve">TRENDING — matching sets 5.4K/mo search volume</t>
  </si>
  <si>
    <t xml:space="preserve">LOW PRIORITY — low price = low absolute profit</t>
  </si>
  <si>
    <t xml:space="preserve">Spring/Summer 2026 Product Launch Plan — Priority Ranked</t>
  </si>
  <si>
    <t xml:space="preserve">Wave</t>
  </si>
  <si>
    <t xml:space="preserve">Product</t>
  </si>
  <si>
    <t xml:space="preserve">Yoycol
Cost</t>
  </si>
  <si>
    <t xml:space="preserve">Target
Price</t>
  </si>
  <si>
    <t xml:space="preserve">Est.
Profit</t>
  </si>
  <si>
    <t xml:space="preserve">Search
Demand</t>
  </si>
  <si>
    <t xml:space="preserve">Why Now</t>
  </si>
  <si>
    <t xml:space="preserve">WAVE 1
Mar 2026</t>
  </si>
  <si>
    <t xml:space="preserve">Dress</t>
  </si>
  <si>
    <t xml:space="preserve">33,100/mo</t>
  </si>
  <si>
    <t xml:space="preserve">Peak floral season approaching. Need reviews before May peak.</t>
  </si>
  <si>
    <t xml:space="preserve">WAVE 1</t>
  </si>
  <si>
    <t xml:space="preserve">6,600/mo</t>
  </si>
  <si>
    <t xml:space="preserve">Cottagecore dress demand rising. Get indexed early.</t>
  </si>
  <si>
    <t xml:space="preserve">Long Maxi Skirt With Pockets</t>
  </si>
  <si>
    <t xml:space="preserve">Skirt</t>
  </si>
  <si>
    <t xml:space="preserve">2,900/mo</t>
  </si>
  <si>
    <t xml:space="preserve">Year-round bestseller. Pockets sell. Launch with florals.</t>
  </si>
  <si>
    <t xml:space="preserve">2,400/mo</t>
  </si>
  <si>
    <t xml:space="preserve">Ultra low cost. Perfect cottagecore canvas.</t>
  </si>
  <si>
    <t xml:space="preserve">Swim</t>
  </si>
  <si>
    <t xml:space="preserve">165K/mo (bikini)</t>
  </si>
  <si>
    <t xml:space="preserve">Summer preview listings. Get indexed before swimwear rush.</t>
  </si>
  <si>
    <t xml:space="preserve">Pair with bikini for complete swim collection.</t>
  </si>
  <si>
    <t xml:space="preserve">Top</t>
  </si>
  <si>
    <t xml:space="preserve">5,400/mo</t>
  </si>
  <si>
    <t xml:space="preserve">Cheap to fulfill, high margin entry product.</t>
  </si>
  <si>
    <t xml:space="preserve">Knit</t>
  </si>
  <si>
    <t xml:space="preserve">3,600/mo</t>
  </si>
  <si>
    <t xml:space="preserve">Transitional piece. Cool spring mornings.</t>
  </si>
  <si>
    <t xml:space="preserve">WAVE 2
Apr 2026</t>
  </si>
  <si>
    <t xml:space="preserve">165K/mo</t>
  </si>
  <si>
    <t xml:space="preserve">Full swimwear collection live. Memorial Day prep.</t>
  </si>
  <si>
    <t xml:space="preserve">WAVE 2</t>
  </si>
  <si>
    <t xml:space="preserve">14,800/mo</t>
  </si>
  <si>
    <t xml:space="preserve">Cover-up = dress + swimwear dual search traffic.</t>
  </si>
  <si>
    <t xml:space="preserve">Lace detail = cottagecore premium feel.</t>
  </si>
  <si>
    <t xml:space="preserve">Summer silhouette. High margin at $15.39 landed.</t>
  </si>
  <si>
    <t xml:space="preserve">Cottagecore goldmine. Unique silhouette.</t>
  </si>
  <si>
    <t xml:space="preserve">Body</t>
  </si>
  <si>
    <t xml:space="preserve">"Floral romper" growing. Festival season.</t>
  </si>
  <si>
    <t xml:space="preserve">1,900/mo</t>
  </si>
  <si>
    <t xml:space="preserve">$9.89 landed = highest margin top. Layer with dresses.</t>
  </si>
  <si>
    <t xml:space="preserve">Set</t>
  </si>
  <si>
    <t xml:space="preserve">Matching set trend. Beach/festival essential.</t>
  </si>
  <si>
    <t xml:space="preserve">WAVE 3
May 2026</t>
  </si>
  <si>
    <t xml:space="preserve">"Corset dress" massive. Witch/gothic crossover.</t>
  </si>
  <si>
    <t xml:space="preserve">WAVE 3</t>
  </si>
  <si>
    <t xml:space="preserve">Statement piece. High perceived value.</t>
  </si>
  <si>
    <t xml:space="preserve">Boho Patchwork Kimono Top</t>
  </si>
  <si>
    <t xml:space="preserve">Robe</t>
  </si>
  <si>
    <t xml:space="preserve">Kimono = boho must-have. Summer layering.</t>
  </si>
  <si>
    <t xml:space="preserve">Cottagecore DNA. Pair with cami tops.</t>
  </si>
  <si>
    <t xml:space="preserve">1,300/mo</t>
  </si>
  <si>
    <t xml:space="preserve">Dramatic slit. Celestial/witch aesthetic.</t>
  </si>
  <si>
    <t xml:space="preserve">Peak sundress season. Maximum search volume.</t>
  </si>
  <si>
    <t xml:space="preserve">Outer</t>
  </si>
  <si>
    <t xml:space="preserve">AOP bomber = unique. Light outerwear gap.</t>
  </si>
  <si>
    <t xml:space="preserve">Sleep</t>
  </si>
  <si>
    <t xml:space="preserve">Gift market + matching set trend. Year-round.</t>
  </si>
  <si>
    <t xml:space="preserve">Search Demand Matrix — Google US Monthly Volumes (Keywords Everywhere)</t>
  </si>
  <si>
    <t xml:space="preserve">Keyword</t>
  </si>
  <si>
    <t xml:space="preserve">Monthly
Search Vol</t>
  </si>
  <si>
    <t xml:space="preserve">CPC
(USD)</t>
  </si>
  <si>
    <t xml:space="preserve">Competition</t>
  </si>
  <si>
    <t xml:space="preserve">Spring
Peak</t>
  </si>
  <si>
    <t xml:space="preserve">Summer
Peak</t>
  </si>
  <si>
    <t xml:space="preserve">Fall/Winter
Peak</t>
  </si>
  <si>
    <t xml:space="preserve">Yoycol Products</t>
  </si>
  <si>
    <t xml:space="preserve">Score</t>
  </si>
  <si>
    <t xml:space="preserve">bikini women</t>
  </si>
  <si>
    <t xml:space="preserve">String Bikini, Bikini Set, Halter Bikini</t>
  </si>
  <si>
    <t xml:space="preserve">floral maxi dress</t>
  </si>
  <si>
    <t xml:space="preserve">Sleeveless Maxi Dress, V-Neck Dress</t>
  </si>
  <si>
    <t xml:space="preserve">beach cover up</t>
  </si>
  <si>
    <t xml:space="preserve">Swimsuit Cover-Up Dress, Kimono Top</t>
  </si>
  <si>
    <t xml:space="preserve">one piece swimsuit women</t>
  </si>
  <si>
    <t xml:space="preserve">One-Piece Swimsuit, Racerback One-Piece</t>
  </si>
  <si>
    <t xml:space="preserve">corset dress</t>
  </si>
  <si>
    <t xml:space="preserve">V-neck Corset Dress, Lace-up Front Dress</t>
  </si>
  <si>
    <t xml:space="preserve">cottagecore dress</t>
  </si>
  <si>
    <t xml:space="preserve">Ruffle Sleeve Dress, Apron Dress, Slip Dress</t>
  </si>
  <si>
    <t xml:space="preserve">bomber jacket women</t>
  </si>
  <si>
    <t xml:space="preserve">graphic hoodie women</t>
  </si>
  <si>
    <t xml:space="preserve">Pullover Hoodie, Crop Top Hoodie</t>
  </si>
  <si>
    <t xml:space="preserve">matching loungewear set</t>
  </si>
  <si>
    <t xml:space="preserve">Loungewear Set, Stretch Hoodie Set</t>
  </si>
  <si>
    <t xml:space="preserve">boho dress women</t>
  </si>
  <si>
    <t xml:space="preserve">Maxi Dress, Cami Dress, Sundress</t>
  </si>
  <si>
    <t xml:space="preserve">floral jumpsuit women</t>
  </si>
  <si>
    <t xml:space="preserve">Jumpsuit, Wide Leg Jumpsuit</t>
  </si>
  <si>
    <t xml:space="preserve">boho maxi skirt</t>
  </si>
  <si>
    <t xml:space="preserve">Maxi Skirt With Pockets, Tiered Skirt</t>
  </si>
  <si>
    <t xml:space="preserve">kimono robe women</t>
  </si>
  <si>
    <t xml:space="preserve">Silk Kaftan Robe, Kimono Top</t>
  </si>
  <si>
    <t xml:space="preserve">celestial dress</t>
  </si>
  <si>
    <t xml:space="preserve">Mesh Lace Dress, Maxi Dress, Slip Dress</t>
  </si>
  <si>
    <t xml:space="preserve">butterfly dress women</t>
  </si>
  <si>
    <t xml:space="preserve">V-Neck Dress, Cami Dress, Tank Dress</t>
  </si>
  <si>
    <t xml:space="preserve">floral romper women</t>
  </si>
  <si>
    <t xml:space="preserve">Romper, Jumpsuit</t>
  </si>
  <si>
    <t xml:space="preserve">mushroom dress</t>
  </si>
  <si>
    <t xml:space="preserve">Ruffle Dress, Apron Dress, Slip Dress</t>
  </si>
  <si>
    <t xml:space="preserve">mesh top women</t>
  </si>
  <si>
    <t xml:space="preserve">Mesh T-shirt, Mesh Blouse, Mesh Crop Top</t>
  </si>
  <si>
    <t xml:space="preserve">matching pajama set women</t>
  </si>
  <si>
    <t xml:space="preserve">Satin Pajama Set, Sleep Shorts Set</t>
  </si>
  <si>
    <t xml:space="preserve">wide leg pants floral</t>
  </si>
  <si>
    <t xml:space="preserve">Wide Leg Trousers, Palazzo Pants</t>
  </si>
  <si>
    <t xml:space="preserve">boho bodysuit</t>
  </si>
  <si>
    <t xml:space="preserve">Cami Bodysuit, Long Sleeve Bodysuit</t>
  </si>
  <si>
    <t xml:space="preserve">velvet dress women</t>
  </si>
  <si>
    <t xml:space="preserve">Velvet Shine Maxi, Velvet Halter Dress</t>
  </si>
  <si>
    <t xml:space="preserve">dark academia dress</t>
  </si>
  <si>
    <t xml:space="preserve">Elastic Waist Dress, Shirt Dress</t>
  </si>
  <si>
    <t xml:space="preserve">festival outfit women</t>
  </si>
  <si>
    <t xml:space="preserve">Bikini, Mesh Top, Crop Top, Mini Skirt</t>
  </si>
  <si>
    <t xml:space="preserve">cottagecore skirt</t>
  </si>
  <si>
    <t xml:space="preserve">Tiered Maxi Skirt, Pleated Chiffon Skirt</t>
  </si>
  <si>
    <t xml:space="preserve">mushroom hoodie</t>
  </si>
  <si>
    <t xml:space="preserve">sun moon dress</t>
  </si>
  <si>
    <t xml:space="preserve">V-Neck Dress, Slip Dress, Sundress</t>
  </si>
  <si>
    <t xml:space="preserve">hoodie dress women</t>
  </si>
  <si>
    <t xml:space="preserve">Hoodie Dress (Long), Long Hoodie</t>
  </si>
  <si>
    <t xml:space="preserve">moth hoodie</t>
  </si>
  <si>
    <t xml:space="preserve">celestial kimono</t>
  </si>
  <si>
    <t xml:space="preserve">Recommended New Etsy Shops by Product Category</t>
  </si>
  <si>
    <t xml:space="preserve">Beyond hoodies: each product category warrants its own Etsy shop for SEO focus and brand clarity</t>
  </si>
  <si>
    <t xml:space="preserve">Shop Concept</t>
  </si>
  <si>
    <t xml:space="preserve">Product Focus</t>
  </si>
  <si>
    <t xml:space="preserve">Est. Monthly
Search Volume</t>
  </si>
  <si>
    <t xml:space="preserve">Target Niches</t>
  </si>
  <si>
    <t xml:space="preserve">Yoycol Products
Available</t>
  </si>
  <si>
    <t xml:space="preserve">Launch
Priority</t>
  </si>
  <si>
    <t xml:space="preserve">Boho Dress + Skirt Shop</t>
  </si>
  <si>
    <t xml:space="preserve">Maxi dresses, slip dresses, tiered skirts, wide-leg pants</t>
  </si>
  <si>
    <t xml:space="preserve">75,000+</t>
  </si>
  <si>
    <t xml:space="preserve">Cottagecore, Boho, Floral, Mushroom, Celestial</t>
  </si>
  <si>
    <t xml:space="preserve">60+ dresses, 15+ skirts</t>
  </si>
  <si>
    <t xml:space="preserve">P1 — LAUNCH MAR</t>
  </si>
  <si>
    <t xml:space="preserve">Festival &amp; Swim Shop</t>
  </si>
  <si>
    <t xml:space="preserve">Bikinis, one-piece swimsuits, cover-ups, crop tops, mesh tops</t>
  </si>
  <si>
    <t xml:space="preserve">200,000+</t>
  </si>
  <si>
    <t xml:space="preserve">Festival, Beach, Boho, Celestial</t>
  </si>
  <si>
    <t xml:space="preserve">12 swimwear + 30+ crop tops/mesh</t>
  </si>
  <si>
    <t xml:space="preserve">LunarAuraDesignStore (Existing)</t>
  </si>
  <si>
    <t xml:space="preserve">AOP hoodies, sweatshirts, crop hoodies</t>
  </si>
  <si>
    <t xml:space="preserve">12,000+</t>
  </si>
  <si>
    <t xml:space="preserve">Celestial, Mushroom, Moth, Japanese Art</t>
  </si>
  <si>
    <t xml:space="preserve">39 hoodies + 23 knitwear</t>
  </si>
  <si>
    <t xml:space="preserve">ACTIVE</t>
  </si>
  <si>
    <t xml:space="preserve">Matching Sets &amp; Loungewear Shop</t>
  </si>
  <si>
    <t xml:space="preserve">Pajama sets, loungewear, hoodie sets, short sets</t>
  </si>
  <si>
    <t xml:space="preserve">8,000+</t>
  </si>
  <si>
    <t xml:space="preserve">Cottagecore, Celestial, Mushroom</t>
  </si>
  <si>
    <t xml:space="preserve">22 sleepwear + 12 sets</t>
  </si>
  <si>
    <t xml:space="preserve">P2 — LAUNCH APR</t>
  </si>
  <si>
    <t xml:space="preserve">Statement Outerwear Shop</t>
  </si>
  <si>
    <t xml:space="preserve">Bomber jackets, windbreakers, kimono robes, cardigans</t>
  </si>
  <si>
    <t xml:space="preserve">Celestial, Japanese Art, Boho</t>
  </si>
  <si>
    <t xml:space="preserve">11 outerwear + 9 robes</t>
  </si>
  <si>
    <t xml:space="preserve">P2 — LAUNCH MAY</t>
  </si>
  <si>
    <t xml:space="preserve">Gothic &amp; Witch Fashion Shop</t>
  </si>
  <si>
    <t xml:space="preserve">Corset dresses, velvet dresses, bodysuits, mesh tops</t>
  </si>
  <si>
    <t xml:space="preserve">15,000+</t>
  </si>
  <si>
    <t xml:space="preserve">Witch, Gothic, Dark Cottagecore, Celestial</t>
  </si>
  <si>
    <t xml:space="preserve">20+ dresses + 20 bodysuits</t>
  </si>
  <si>
    <t xml:space="preserve">P3 — LAUNCH SEP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</si>
</sst>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.00"/>
    <numFmt numFmtId="167" formatCode="#,##0"/>
    <numFmt numFmtId="168" formatCode="0.00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CC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FDE68A"/>
        <bgColor rgb="FFFEF9C3"/>
      </patternFill>
    </fill>
    <fill>
      <patternFill patternType="solid">
        <fgColor rgb="FFFEF9C3"/>
        <bgColor rgb="FFFFF7ED"/>
      </patternFill>
    </fill>
    <fill>
      <patternFill patternType="solid">
        <fgColor rgb="FFDCFCE7"/>
        <bgColor rgb="FFF8FAFC"/>
      </patternFill>
    </fill>
    <fill>
      <patternFill patternType="solid">
        <fgColor rgb="FFFEE2E2"/>
        <bgColor rgb="FFF3E8FF"/>
      </patternFill>
    </fill>
    <fill>
      <patternFill patternType="solid">
        <fgColor rgb="FFFFF7ED"/>
        <bgColor rgb="FFF8FAFC"/>
      </patternFill>
    </fill>
    <fill>
      <patternFill patternType="solid">
        <fgColor rgb="FFF3E8FF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8FF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F8FAFC"/>
      <rgbColor rgb="FFFFF7ED"/>
      <rgbColor rgb="FFFDE68A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59E0B"/>
      <rgbColor rgb="FFEF4444"/>
      <rgbColor rgb="FF8B5CF6"/>
      <rgbColor rgb="FF94A3B8"/>
      <rgbColor rgb="FF003366"/>
      <rgbColor rgb="FF22C55E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B6D4"/>
    <pageSetUpPr fitToPage="false"/>
  </sheetPr>
  <dimension ref="A1:J2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1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4" t="n">
        <v>0.245</v>
      </c>
      <c r="C3" s="3" t="s">
        <v>3</v>
      </c>
      <c r="D3" s="5" t="s">
        <v>4</v>
      </c>
    </row>
    <row r="5" customFormat="false" ht="39.55" hidden="false" customHeight="fals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</row>
    <row r="6" customFormat="false" ht="15" hidden="false" customHeight="false" outlineLevel="0" collapsed="false">
      <c r="A6" s="7" t="s">
        <v>15</v>
      </c>
      <c r="B6" s="8" t="s">
        <v>16</v>
      </c>
      <c r="C6" s="9" t="n">
        <v>3.19</v>
      </c>
      <c r="D6" s="9" t="n">
        <v>5.5</v>
      </c>
      <c r="E6" s="10" t="n">
        <f aca="false">C6+D6</f>
        <v>8.69</v>
      </c>
      <c r="F6" s="9" t="n">
        <v>19.99</v>
      </c>
      <c r="G6" s="11" t="n">
        <f aca="false">F6*$B$3+0.2</f>
        <v>5.09755</v>
      </c>
      <c r="H6" s="12" t="n">
        <f aca="false">F6-E6-G6</f>
        <v>6.20245</v>
      </c>
      <c r="I6" s="13" t="n">
        <f aca="false">IF(F6&gt;0,H6/F6,0)</f>
        <v>0.31027763881941</v>
      </c>
      <c r="J6" s="8" t="s">
        <v>17</v>
      </c>
    </row>
    <row r="7" customFormat="false" ht="15" hidden="false" customHeight="false" outlineLevel="0" collapsed="false">
      <c r="A7" s="14" t="s">
        <v>15</v>
      </c>
      <c r="B7" s="15" t="s">
        <v>18</v>
      </c>
      <c r="C7" s="16" t="n">
        <v>3.4</v>
      </c>
      <c r="D7" s="16" t="n">
        <v>5.5</v>
      </c>
      <c r="E7" s="17" t="n">
        <f aca="false">C7+D7</f>
        <v>8.9</v>
      </c>
      <c r="F7" s="16" t="n">
        <v>19.99</v>
      </c>
      <c r="G7" s="18" t="n">
        <f aca="false">F7*$B$3+0.2</f>
        <v>5.09755</v>
      </c>
      <c r="H7" s="19" t="n">
        <f aca="false">F7-E7-G7</f>
        <v>5.99245</v>
      </c>
      <c r="I7" s="20" t="n">
        <f aca="false">IF(F7&gt;0,H7/F7,0)</f>
        <v>0.299772386193097</v>
      </c>
      <c r="J7" s="15" t="s">
        <v>17</v>
      </c>
    </row>
    <row r="8" customFormat="false" ht="15" hidden="false" customHeight="false" outlineLevel="0" collapsed="false">
      <c r="A8" s="7" t="s">
        <v>15</v>
      </c>
      <c r="B8" s="8" t="s">
        <v>19</v>
      </c>
      <c r="C8" s="9" t="n">
        <v>3.79</v>
      </c>
      <c r="D8" s="9" t="n">
        <v>5.5</v>
      </c>
      <c r="E8" s="10" t="n">
        <f aca="false">C8+D8</f>
        <v>9.29</v>
      </c>
      <c r="F8" s="9" t="n">
        <v>19.99</v>
      </c>
      <c r="G8" s="11" t="n">
        <f aca="false">F8*$B$3+0.2</f>
        <v>5.09755</v>
      </c>
      <c r="H8" s="12" t="n">
        <f aca="false">F8-E8-G8</f>
        <v>5.60245</v>
      </c>
      <c r="I8" s="13" t="n">
        <f aca="false">IF(F8&gt;0,H8/F8,0)</f>
        <v>0.280262631315658</v>
      </c>
      <c r="J8" s="8" t="s">
        <v>17</v>
      </c>
    </row>
    <row r="9" customFormat="false" ht="15" hidden="false" customHeight="false" outlineLevel="0" collapsed="false">
      <c r="A9" s="14" t="s">
        <v>15</v>
      </c>
      <c r="B9" s="15" t="s">
        <v>20</v>
      </c>
      <c r="C9" s="16" t="n">
        <v>3.79</v>
      </c>
      <c r="D9" s="16" t="n">
        <v>5.5</v>
      </c>
      <c r="E9" s="17" t="n">
        <f aca="false">C9+D9</f>
        <v>9.29</v>
      </c>
      <c r="F9" s="16" t="n">
        <v>19.99</v>
      </c>
      <c r="G9" s="18" t="n">
        <f aca="false">F9*$B$3+0.2</f>
        <v>5.09755</v>
      </c>
      <c r="H9" s="19" t="n">
        <f aca="false">F9-E9-G9</f>
        <v>5.60245</v>
      </c>
      <c r="I9" s="20" t="n">
        <f aca="false">IF(F9&gt;0,H9/F9,0)</f>
        <v>0.280262631315658</v>
      </c>
      <c r="J9" s="15" t="s">
        <v>17</v>
      </c>
    </row>
    <row r="10" customFormat="false" ht="15" hidden="false" customHeight="false" outlineLevel="0" collapsed="false">
      <c r="A10" s="7" t="s">
        <v>15</v>
      </c>
      <c r="B10" s="8" t="s">
        <v>21</v>
      </c>
      <c r="C10" s="9" t="n">
        <v>3.99</v>
      </c>
      <c r="D10" s="9" t="n">
        <v>5.5</v>
      </c>
      <c r="E10" s="10" t="n">
        <f aca="false">C10+D10</f>
        <v>9.49</v>
      </c>
      <c r="F10" s="9" t="n">
        <v>19.99</v>
      </c>
      <c r="G10" s="11" t="n">
        <f aca="false">F10*$B$3+0.2</f>
        <v>5.09755</v>
      </c>
      <c r="H10" s="12" t="n">
        <f aca="false">F10-E10-G10</f>
        <v>5.40245</v>
      </c>
      <c r="I10" s="13" t="n">
        <f aca="false">IF(F10&gt;0,H10/F10,0)</f>
        <v>0.270257628814407</v>
      </c>
      <c r="J10" s="8" t="s">
        <v>17</v>
      </c>
    </row>
    <row r="11" customFormat="false" ht="15" hidden="false" customHeight="false" outlineLevel="0" collapsed="false">
      <c r="A11" s="14" t="s">
        <v>15</v>
      </c>
      <c r="B11" s="15" t="s">
        <v>22</v>
      </c>
      <c r="C11" s="16" t="n">
        <v>4.06</v>
      </c>
      <c r="D11" s="16" t="n">
        <v>5.5</v>
      </c>
      <c r="E11" s="17" t="n">
        <f aca="false">C11+D11</f>
        <v>9.56</v>
      </c>
      <c r="F11" s="16" t="n">
        <v>19.99</v>
      </c>
      <c r="G11" s="18" t="n">
        <f aca="false">F11*$B$3+0.2</f>
        <v>5.09755</v>
      </c>
      <c r="H11" s="19" t="n">
        <f aca="false">F11-E11-G11</f>
        <v>5.33245</v>
      </c>
      <c r="I11" s="20" t="n">
        <f aca="false">IF(F11&gt;0,H11/F11,0)</f>
        <v>0.26675587793897</v>
      </c>
      <c r="J11" s="15" t="s">
        <v>17</v>
      </c>
    </row>
    <row r="12" customFormat="false" ht="15" hidden="false" customHeight="false" outlineLevel="0" collapsed="false">
      <c r="A12" s="7" t="s">
        <v>15</v>
      </c>
      <c r="B12" s="8" t="s">
        <v>23</v>
      </c>
      <c r="C12" s="9" t="n">
        <v>4.19</v>
      </c>
      <c r="D12" s="9" t="n">
        <v>5.5</v>
      </c>
      <c r="E12" s="10" t="n">
        <f aca="false">C12+D12</f>
        <v>9.69</v>
      </c>
      <c r="F12" s="9" t="n">
        <v>22.99</v>
      </c>
      <c r="G12" s="11" t="n">
        <f aca="false">F12*$B$3+0.2</f>
        <v>5.83255</v>
      </c>
      <c r="H12" s="12" t="n">
        <f aca="false">F12-E12-G12</f>
        <v>7.46745</v>
      </c>
      <c r="I12" s="13" t="n">
        <f aca="false">IF(F12&gt;0,H12/F12,0)</f>
        <v>0.32481296215746</v>
      </c>
      <c r="J12" s="8" t="s">
        <v>17</v>
      </c>
    </row>
    <row r="13" customFormat="false" ht="15" hidden="false" customHeight="false" outlineLevel="0" collapsed="false">
      <c r="A13" s="14" t="s">
        <v>15</v>
      </c>
      <c r="B13" s="15" t="s">
        <v>24</v>
      </c>
      <c r="C13" s="16" t="n">
        <v>4.29</v>
      </c>
      <c r="D13" s="16" t="n">
        <v>5.5</v>
      </c>
      <c r="E13" s="17" t="n">
        <f aca="false">C13+D13</f>
        <v>9.79</v>
      </c>
      <c r="F13" s="16" t="n">
        <v>22.99</v>
      </c>
      <c r="G13" s="18" t="n">
        <f aca="false">F13*$B$3+0.2</f>
        <v>5.83255</v>
      </c>
      <c r="H13" s="19" t="n">
        <f aca="false">F13-E13-G13</f>
        <v>7.36745</v>
      </c>
      <c r="I13" s="20" t="n">
        <f aca="false">IF(F13&gt;0,H13/F13,0)</f>
        <v>0.320463244889082</v>
      </c>
      <c r="J13" s="15" t="s">
        <v>17</v>
      </c>
    </row>
    <row r="14" customFormat="false" ht="15" hidden="false" customHeight="false" outlineLevel="0" collapsed="false">
      <c r="A14" s="7" t="s">
        <v>15</v>
      </c>
      <c r="B14" s="8" t="s">
        <v>25</v>
      </c>
      <c r="C14" s="9" t="n">
        <v>4.3</v>
      </c>
      <c r="D14" s="9" t="n">
        <v>5.5</v>
      </c>
      <c r="E14" s="10" t="n">
        <f aca="false">C14+D14</f>
        <v>9.8</v>
      </c>
      <c r="F14" s="9" t="n">
        <v>22.99</v>
      </c>
      <c r="G14" s="11" t="n">
        <f aca="false">F14*$B$3+0.2</f>
        <v>5.83255</v>
      </c>
      <c r="H14" s="12" t="n">
        <f aca="false">F14-E14-G14</f>
        <v>7.35745</v>
      </c>
      <c r="I14" s="13" t="n">
        <f aca="false">IF(F14&gt;0,H14/F14,0)</f>
        <v>0.320028273162244</v>
      </c>
      <c r="J14" s="8" t="s">
        <v>17</v>
      </c>
    </row>
    <row r="15" customFormat="false" ht="15" hidden="false" customHeight="false" outlineLevel="0" collapsed="false">
      <c r="A15" s="14" t="s">
        <v>15</v>
      </c>
      <c r="B15" s="15" t="s">
        <v>26</v>
      </c>
      <c r="C15" s="16" t="n">
        <v>4.39</v>
      </c>
      <c r="D15" s="16" t="n">
        <v>5.5</v>
      </c>
      <c r="E15" s="17" t="n">
        <f aca="false">C15+D15</f>
        <v>9.89</v>
      </c>
      <c r="F15" s="16" t="n">
        <v>22.99</v>
      </c>
      <c r="G15" s="18" t="n">
        <f aca="false">F15*$B$3+0.2</f>
        <v>5.83255</v>
      </c>
      <c r="H15" s="19" t="n">
        <f aca="false">F15-E15-G15</f>
        <v>7.26745</v>
      </c>
      <c r="I15" s="20" t="n">
        <f aca="false">IF(F15&gt;0,H15/F15,0)</f>
        <v>0.316113527620705</v>
      </c>
      <c r="J15" s="15" t="s">
        <v>17</v>
      </c>
    </row>
    <row r="16" customFormat="false" ht="15" hidden="false" customHeight="false" outlineLevel="0" collapsed="false">
      <c r="A16" s="7" t="s">
        <v>15</v>
      </c>
      <c r="B16" s="8" t="s">
        <v>27</v>
      </c>
      <c r="C16" s="9" t="n">
        <v>4.39</v>
      </c>
      <c r="D16" s="9" t="n">
        <v>5.5</v>
      </c>
      <c r="E16" s="10" t="n">
        <f aca="false">C16+D16</f>
        <v>9.89</v>
      </c>
      <c r="F16" s="9" t="n">
        <v>24.99</v>
      </c>
      <c r="G16" s="11" t="n">
        <f aca="false">F16*$B$3+0.2</f>
        <v>6.32255</v>
      </c>
      <c r="H16" s="12" t="n">
        <f aca="false">F16-E16-G16</f>
        <v>8.77745</v>
      </c>
      <c r="I16" s="13" t="n">
        <f aca="false">IF(F16&gt;0,H16/F16,0)</f>
        <v>0.351238495398159</v>
      </c>
      <c r="J16" s="8" t="s">
        <v>28</v>
      </c>
    </row>
    <row r="17" customFormat="false" ht="15" hidden="false" customHeight="false" outlineLevel="0" collapsed="false">
      <c r="A17" s="14" t="s">
        <v>15</v>
      </c>
      <c r="B17" s="15" t="s">
        <v>29</v>
      </c>
      <c r="C17" s="16" t="n">
        <v>4.4</v>
      </c>
      <c r="D17" s="16" t="n">
        <v>5.5</v>
      </c>
      <c r="E17" s="17" t="n">
        <f aca="false">C17+D17</f>
        <v>9.9</v>
      </c>
      <c r="F17" s="16" t="n">
        <v>22.99</v>
      </c>
      <c r="G17" s="18" t="n">
        <f aca="false">F17*$B$3+0.2</f>
        <v>5.83255</v>
      </c>
      <c r="H17" s="19" t="n">
        <f aca="false">F17-E17-G17</f>
        <v>7.25745</v>
      </c>
      <c r="I17" s="20" t="n">
        <f aca="false">IF(F17&gt;0,H17/F17,0)</f>
        <v>0.315678555893867</v>
      </c>
      <c r="J17" s="15" t="s">
        <v>17</v>
      </c>
    </row>
    <row r="18" customFormat="false" ht="15" hidden="false" customHeight="false" outlineLevel="0" collapsed="false">
      <c r="A18" s="7" t="s">
        <v>15</v>
      </c>
      <c r="B18" s="8" t="s">
        <v>30</v>
      </c>
      <c r="C18" s="9" t="n">
        <v>4.55</v>
      </c>
      <c r="D18" s="9" t="n">
        <v>5.5</v>
      </c>
      <c r="E18" s="10" t="n">
        <f aca="false">C18+D18</f>
        <v>10.05</v>
      </c>
      <c r="F18" s="9" t="n">
        <v>22.99</v>
      </c>
      <c r="G18" s="11" t="n">
        <f aca="false">F18*$B$3+0.2</f>
        <v>5.83255</v>
      </c>
      <c r="H18" s="12" t="n">
        <f aca="false">F18-E18-G18</f>
        <v>7.10745</v>
      </c>
      <c r="I18" s="13" t="n">
        <f aca="false">IF(F18&gt;0,H18/F18,0)</f>
        <v>0.309153979991301</v>
      </c>
      <c r="J18" s="8" t="s">
        <v>17</v>
      </c>
    </row>
    <row r="19" customFormat="false" ht="15" hidden="false" customHeight="false" outlineLevel="0" collapsed="false">
      <c r="A19" s="14" t="s">
        <v>15</v>
      </c>
      <c r="B19" s="15" t="s">
        <v>31</v>
      </c>
      <c r="C19" s="16" t="n">
        <v>4.61</v>
      </c>
      <c r="D19" s="16" t="n">
        <v>5.5</v>
      </c>
      <c r="E19" s="17" t="n">
        <f aca="false">C19+D19</f>
        <v>10.11</v>
      </c>
      <c r="F19" s="16" t="n">
        <v>22.99</v>
      </c>
      <c r="G19" s="18" t="n">
        <f aca="false">F19*$B$3+0.2</f>
        <v>5.83255</v>
      </c>
      <c r="H19" s="19" t="n">
        <f aca="false">F19-E19-G19</f>
        <v>7.04745</v>
      </c>
      <c r="I19" s="20" t="n">
        <f aca="false">IF(F19&gt;0,H19/F19,0)</f>
        <v>0.306544149630274</v>
      </c>
      <c r="J19" s="15" t="s">
        <v>17</v>
      </c>
    </row>
    <row r="20" customFormat="false" ht="15" hidden="false" customHeight="false" outlineLevel="0" collapsed="false">
      <c r="A20" s="7" t="s">
        <v>15</v>
      </c>
      <c r="B20" s="8" t="s">
        <v>32</v>
      </c>
      <c r="C20" s="9" t="n">
        <v>4.72</v>
      </c>
      <c r="D20" s="9" t="n">
        <v>5.5</v>
      </c>
      <c r="E20" s="10" t="n">
        <f aca="false">C20+D20</f>
        <v>10.22</v>
      </c>
      <c r="F20" s="9" t="n">
        <v>22.99</v>
      </c>
      <c r="G20" s="11" t="n">
        <f aca="false">F20*$B$3+0.2</f>
        <v>5.83255</v>
      </c>
      <c r="H20" s="12" t="n">
        <f aca="false">F20-E20-G20</f>
        <v>6.93745</v>
      </c>
      <c r="I20" s="13" t="n">
        <f aca="false">IF(F20&gt;0,H20/F20,0)</f>
        <v>0.301759460635059</v>
      </c>
      <c r="J20" s="8" t="s">
        <v>17</v>
      </c>
    </row>
    <row r="21" customFormat="false" ht="15" hidden="false" customHeight="false" outlineLevel="0" collapsed="false">
      <c r="A21" s="14" t="s">
        <v>15</v>
      </c>
      <c r="B21" s="15" t="s">
        <v>33</v>
      </c>
      <c r="C21" s="16" t="n">
        <v>4.79</v>
      </c>
      <c r="D21" s="16" t="n">
        <v>6</v>
      </c>
      <c r="E21" s="17" t="n">
        <f aca="false">C21+D21</f>
        <v>10.79</v>
      </c>
      <c r="F21" s="16" t="n">
        <v>24.99</v>
      </c>
      <c r="G21" s="18" t="n">
        <f aca="false">F21*$B$3+0.2</f>
        <v>6.32255</v>
      </c>
      <c r="H21" s="19" t="n">
        <f aca="false">F21-E21-G21</f>
        <v>7.87745</v>
      </c>
      <c r="I21" s="20" t="n">
        <f aca="false">IF(F21&gt;0,H21/F21,0)</f>
        <v>0.315224089635854</v>
      </c>
      <c r="J21" s="15" t="s">
        <v>28</v>
      </c>
    </row>
    <row r="22" customFormat="false" ht="15" hidden="false" customHeight="false" outlineLevel="0" collapsed="false">
      <c r="A22" s="7" t="s">
        <v>15</v>
      </c>
      <c r="B22" s="8" t="s">
        <v>34</v>
      </c>
      <c r="C22" s="9" t="n">
        <v>4.91</v>
      </c>
      <c r="D22" s="9" t="n">
        <v>5.5</v>
      </c>
      <c r="E22" s="10" t="n">
        <f aca="false">C22+D22</f>
        <v>10.41</v>
      </c>
      <c r="F22" s="9" t="n">
        <v>22.99</v>
      </c>
      <c r="G22" s="11" t="n">
        <f aca="false">F22*$B$3+0.2</f>
        <v>5.83255</v>
      </c>
      <c r="H22" s="12" t="n">
        <f aca="false">F22-E22-G22</f>
        <v>6.74745</v>
      </c>
      <c r="I22" s="13" t="n">
        <f aca="false">IF(F22&gt;0,H22/F22,0)</f>
        <v>0.293494997825141</v>
      </c>
      <c r="J22" s="8" t="s">
        <v>17</v>
      </c>
    </row>
    <row r="23" customFormat="false" ht="15" hidden="false" customHeight="false" outlineLevel="0" collapsed="false">
      <c r="A23" s="14" t="s">
        <v>15</v>
      </c>
      <c r="B23" s="15" t="s">
        <v>35</v>
      </c>
      <c r="C23" s="16" t="n">
        <v>4.93</v>
      </c>
      <c r="D23" s="16" t="n">
        <v>6</v>
      </c>
      <c r="E23" s="17" t="n">
        <f aca="false">C23+D23</f>
        <v>10.93</v>
      </c>
      <c r="F23" s="16" t="n">
        <v>24.99</v>
      </c>
      <c r="G23" s="18" t="n">
        <f aca="false">F23*$B$3+0.2</f>
        <v>6.32255</v>
      </c>
      <c r="H23" s="19" t="n">
        <f aca="false">F23-E23-G23</f>
        <v>7.73745</v>
      </c>
      <c r="I23" s="20" t="n">
        <f aca="false">IF(F23&gt;0,H23/F23,0)</f>
        <v>0.309621848739496</v>
      </c>
      <c r="J23" s="15" t="s">
        <v>36</v>
      </c>
    </row>
    <row r="24" customFormat="false" ht="15" hidden="false" customHeight="false" outlineLevel="0" collapsed="false">
      <c r="A24" s="7" t="s">
        <v>15</v>
      </c>
      <c r="B24" s="8" t="s">
        <v>37</v>
      </c>
      <c r="C24" s="9" t="n">
        <v>5.03</v>
      </c>
      <c r="D24" s="9" t="n">
        <v>5.5</v>
      </c>
      <c r="E24" s="10" t="n">
        <f aca="false">C24+D24</f>
        <v>10.53</v>
      </c>
      <c r="F24" s="9" t="n">
        <v>22.99</v>
      </c>
      <c r="G24" s="11" t="n">
        <f aca="false">F24*$B$3+0.2</f>
        <v>5.83255</v>
      </c>
      <c r="H24" s="12" t="n">
        <f aca="false">F24-E24-G24</f>
        <v>6.62745</v>
      </c>
      <c r="I24" s="13" t="n">
        <f aca="false">IF(F24&gt;0,H24/F24,0)</f>
        <v>0.288275337103088</v>
      </c>
      <c r="J24" s="8" t="s">
        <v>17</v>
      </c>
    </row>
    <row r="25" customFormat="false" ht="15" hidden="false" customHeight="false" outlineLevel="0" collapsed="false">
      <c r="A25" s="14" t="s">
        <v>15</v>
      </c>
      <c r="B25" s="15" t="s">
        <v>38</v>
      </c>
      <c r="C25" s="16" t="n">
        <v>5.05</v>
      </c>
      <c r="D25" s="16" t="n">
        <v>6</v>
      </c>
      <c r="E25" s="17" t="n">
        <f aca="false">C25+D25</f>
        <v>11.05</v>
      </c>
      <c r="F25" s="16" t="n">
        <v>24.99</v>
      </c>
      <c r="G25" s="18" t="n">
        <f aca="false">F25*$B$3+0.2</f>
        <v>6.32255</v>
      </c>
      <c r="H25" s="19" t="n">
        <f aca="false">F25-E25-G25</f>
        <v>7.61745</v>
      </c>
      <c r="I25" s="20" t="n">
        <f aca="false">IF(F25&gt;0,H25/F25,0)</f>
        <v>0.304819927971188</v>
      </c>
      <c r="J25" s="15" t="s">
        <v>28</v>
      </c>
    </row>
    <row r="26" customFormat="false" ht="15" hidden="false" customHeight="false" outlineLevel="0" collapsed="false">
      <c r="A26" s="7" t="s">
        <v>15</v>
      </c>
      <c r="B26" s="8" t="s">
        <v>39</v>
      </c>
      <c r="C26" s="9" t="n">
        <v>5.09</v>
      </c>
      <c r="D26" s="9" t="n">
        <v>5.5</v>
      </c>
      <c r="E26" s="10" t="n">
        <f aca="false">C26+D26</f>
        <v>10.59</v>
      </c>
      <c r="F26" s="9" t="n">
        <v>22.99</v>
      </c>
      <c r="G26" s="11" t="n">
        <f aca="false">F26*$B$3+0.2</f>
        <v>5.83255</v>
      </c>
      <c r="H26" s="12" t="n">
        <f aca="false">F26-E26-G26</f>
        <v>6.56745</v>
      </c>
      <c r="I26" s="13" t="n">
        <f aca="false">IF(F26&gt;0,H26/F26,0)</f>
        <v>0.285665506742062</v>
      </c>
      <c r="J26" s="8" t="s">
        <v>17</v>
      </c>
    </row>
    <row r="27" customFormat="false" ht="15" hidden="false" customHeight="false" outlineLevel="0" collapsed="false">
      <c r="A27" s="14" t="s">
        <v>15</v>
      </c>
      <c r="B27" s="15" t="s">
        <v>40</v>
      </c>
      <c r="C27" s="16" t="n">
        <v>5.19</v>
      </c>
      <c r="D27" s="16" t="n">
        <v>6</v>
      </c>
      <c r="E27" s="17" t="n">
        <f aca="false">C27+D27</f>
        <v>11.19</v>
      </c>
      <c r="F27" s="16" t="n">
        <v>24.99</v>
      </c>
      <c r="G27" s="18" t="n">
        <f aca="false">F27*$B$3+0.2</f>
        <v>6.32255</v>
      </c>
      <c r="H27" s="19" t="n">
        <f aca="false">F27-E27-G27</f>
        <v>7.47745</v>
      </c>
      <c r="I27" s="20" t="n">
        <f aca="false">IF(F27&gt;0,H27/F27,0)</f>
        <v>0.29921768707483</v>
      </c>
      <c r="J27" s="15" t="s">
        <v>28</v>
      </c>
    </row>
    <row r="28" customFormat="false" ht="15" hidden="false" customHeight="false" outlineLevel="0" collapsed="false">
      <c r="A28" s="7" t="s">
        <v>15</v>
      </c>
      <c r="B28" s="8" t="s">
        <v>41</v>
      </c>
      <c r="C28" s="9" t="n">
        <v>5.29</v>
      </c>
      <c r="D28" s="9" t="n">
        <v>5.5</v>
      </c>
      <c r="E28" s="10" t="n">
        <f aca="false">C28+D28</f>
        <v>10.79</v>
      </c>
      <c r="F28" s="9" t="n">
        <v>24.99</v>
      </c>
      <c r="G28" s="11" t="n">
        <f aca="false">F28*$B$3+0.2</f>
        <v>6.32255</v>
      </c>
      <c r="H28" s="12" t="n">
        <f aca="false">F28-E28-G28</f>
        <v>7.87745</v>
      </c>
      <c r="I28" s="13" t="n">
        <f aca="false">IF(F28&gt;0,H28/F28,0)</f>
        <v>0.315224089635854</v>
      </c>
      <c r="J28" s="8" t="s">
        <v>17</v>
      </c>
    </row>
    <row r="29" customFormat="false" ht="15" hidden="false" customHeight="false" outlineLevel="0" collapsed="false">
      <c r="A29" s="14" t="s">
        <v>15</v>
      </c>
      <c r="B29" s="15" t="s">
        <v>42</v>
      </c>
      <c r="C29" s="16" t="n">
        <v>5.39</v>
      </c>
      <c r="D29" s="16" t="n">
        <v>6</v>
      </c>
      <c r="E29" s="17" t="n">
        <f aca="false">C29+D29</f>
        <v>11.39</v>
      </c>
      <c r="F29" s="16" t="n">
        <v>24.99</v>
      </c>
      <c r="G29" s="18" t="n">
        <f aca="false">F29*$B$3+0.2</f>
        <v>6.32255</v>
      </c>
      <c r="H29" s="19" t="n">
        <f aca="false">F29-E29-G29</f>
        <v>7.27745</v>
      </c>
      <c r="I29" s="20" t="n">
        <f aca="false">IF(F29&gt;0,H29/F29,0)</f>
        <v>0.291214485794318</v>
      </c>
      <c r="J29" s="15" t="s">
        <v>17</v>
      </c>
    </row>
    <row r="30" customFormat="false" ht="15" hidden="false" customHeight="false" outlineLevel="0" collapsed="false">
      <c r="A30" s="7" t="s">
        <v>15</v>
      </c>
      <c r="B30" s="8" t="s">
        <v>43</v>
      </c>
      <c r="C30" s="9" t="n">
        <v>5.39</v>
      </c>
      <c r="D30" s="9" t="n">
        <v>5.5</v>
      </c>
      <c r="E30" s="10" t="n">
        <f aca="false">C30+D30</f>
        <v>10.89</v>
      </c>
      <c r="F30" s="9" t="n">
        <v>22.99</v>
      </c>
      <c r="G30" s="11" t="n">
        <f aca="false">F30*$B$3+0.2</f>
        <v>5.83255</v>
      </c>
      <c r="H30" s="12" t="n">
        <f aca="false">F30-E30-G30</f>
        <v>6.26745</v>
      </c>
      <c r="I30" s="13" t="n">
        <f aca="false">IF(F30&gt;0,H30/F30,0)</f>
        <v>0.272616354936929</v>
      </c>
      <c r="J30" s="8" t="s">
        <v>17</v>
      </c>
    </row>
    <row r="31" customFormat="false" ht="15" hidden="false" customHeight="false" outlineLevel="0" collapsed="false">
      <c r="A31" s="14" t="s">
        <v>15</v>
      </c>
      <c r="B31" s="15" t="s">
        <v>44</v>
      </c>
      <c r="C31" s="16" t="n">
        <v>5.39</v>
      </c>
      <c r="D31" s="16" t="n">
        <v>6</v>
      </c>
      <c r="E31" s="17" t="n">
        <f aca="false">C31+D31</f>
        <v>11.39</v>
      </c>
      <c r="F31" s="16" t="n">
        <v>24.99</v>
      </c>
      <c r="G31" s="18" t="n">
        <f aca="false">F31*$B$3+0.2</f>
        <v>6.32255</v>
      </c>
      <c r="H31" s="19" t="n">
        <f aca="false">F31-E31-G31</f>
        <v>7.27745</v>
      </c>
      <c r="I31" s="20" t="n">
        <f aca="false">IF(F31&gt;0,H31/F31,0)</f>
        <v>0.291214485794318</v>
      </c>
      <c r="J31" s="15" t="s">
        <v>45</v>
      </c>
    </row>
    <row r="32" customFormat="false" ht="15" hidden="false" customHeight="false" outlineLevel="0" collapsed="false">
      <c r="A32" s="7" t="s">
        <v>15</v>
      </c>
      <c r="B32" s="8" t="s">
        <v>46</v>
      </c>
      <c r="C32" s="9" t="n">
        <v>5.39</v>
      </c>
      <c r="D32" s="9" t="n">
        <v>6</v>
      </c>
      <c r="E32" s="10" t="n">
        <f aca="false">C32+D32</f>
        <v>11.39</v>
      </c>
      <c r="F32" s="9" t="n">
        <v>24.99</v>
      </c>
      <c r="G32" s="11" t="n">
        <f aca="false">F32*$B$3+0.2</f>
        <v>6.32255</v>
      </c>
      <c r="H32" s="12" t="n">
        <f aca="false">F32-E32-G32</f>
        <v>7.27745</v>
      </c>
      <c r="I32" s="13" t="n">
        <f aca="false">IF(F32&gt;0,H32/F32,0)</f>
        <v>0.291214485794318</v>
      </c>
      <c r="J32" s="8" t="s">
        <v>28</v>
      </c>
    </row>
    <row r="33" customFormat="false" ht="15" hidden="false" customHeight="false" outlineLevel="0" collapsed="false">
      <c r="A33" s="14" t="s">
        <v>15</v>
      </c>
      <c r="B33" s="15" t="s">
        <v>47</v>
      </c>
      <c r="C33" s="16" t="n">
        <v>5.39</v>
      </c>
      <c r="D33" s="16" t="n">
        <v>6</v>
      </c>
      <c r="E33" s="17" t="n">
        <f aca="false">C33+D33</f>
        <v>11.39</v>
      </c>
      <c r="F33" s="16" t="n">
        <v>24.99</v>
      </c>
      <c r="G33" s="18" t="n">
        <f aca="false">F33*$B$3+0.2</f>
        <v>6.32255</v>
      </c>
      <c r="H33" s="19" t="n">
        <f aca="false">F33-E33-G33</f>
        <v>7.27745</v>
      </c>
      <c r="I33" s="20" t="n">
        <f aca="false">IF(F33&gt;0,H33/F33,0)</f>
        <v>0.291214485794318</v>
      </c>
      <c r="J33" s="15" t="s">
        <v>36</v>
      </c>
    </row>
    <row r="34" customFormat="false" ht="15" hidden="false" customHeight="false" outlineLevel="0" collapsed="false">
      <c r="A34" s="7" t="s">
        <v>15</v>
      </c>
      <c r="B34" s="8" t="s">
        <v>48</v>
      </c>
      <c r="C34" s="9" t="n">
        <v>5.39</v>
      </c>
      <c r="D34" s="9" t="n">
        <v>6</v>
      </c>
      <c r="E34" s="10" t="n">
        <f aca="false">C34+D34</f>
        <v>11.39</v>
      </c>
      <c r="F34" s="9" t="n">
        <v>24.99</v>
      </c>
      <c r="G34" s="11" t="n">
        <f aca="false">F34*$B$3+0.2</f>
        <v>6.32255</v>
      </c>
      <c r="H34" s="12" t="n">
        <f aca="false">F34-E34-G34</f>
        <v>7.27745</v>
      </c>
      <c r="I34" s="13" t="n">
        <f aca="false">IF(F34&gt;0,H34/F34,0)</f>
        <v>0.291214485794318</v>
      </c>
      <c r="J34" s="8" t="s">
        <v>36</v>
      </c>
    </row>
    <row r="35" customFormat="false" ht="15" hidden="false" customHeight="false" outlineLevel="0" collapsed="false">
      <c r="A35" s="14" t="s">
        <v>15</v>
      </c>
      <c r="B35" s="15" t="s">
        <v>49</v>
      </c>
      <c r="C35" s="16" t="n">
        <v>5.49</v>
      </c>
      <c r="D35" s="16" t="n">
        <v>5.5</v>
      </c>
      <c r="E35" s="17" t="n">
        <f aca="false">C35+D35</f>
        <v>10.99</v>
      </c>
      <c r="F35" s="16" t="n">
        <v>22.99</v>
      </c>
      <c r="G35" s="18" t="n">
        <f aca="false">F35*$B$3+0.2</f>
        <v>5.83255</v>
      </c>
      <c r="H35" s="19" t="n">
        <f aca="false">F35-E35-G35</f>
        <v>6.16745</v>
      </c>
      <c r="I35" s="20" t="n">
        <f aca="false">IF(F35&gt;0,H35/F35,0)</f>
        <v>0.268266637668552</v>
      </c>
      <c r="J35" s="15" t="s">
        <v>17</v>
      </c>
    </row>
    <row r="36" customFormat="false" ht="15" hidden="false" customHeight="false" outlineLevel="0" collapsed="false">
      <c r="A36" s="7" t="s">
        <v>15</v>
      </c>
      <c r="B36" s="8" t="s">
        <v>50</v>
      </c>
      <c r="C36" s="9" t="n">
        <v>5.49</v>
      </c>
      <c r="D36" s="9" t="n">
        <v>5.5</v>
      </c>
      <c r="E36" s="10" t="n">
        <f aca="false">C36+D36</f>
        <v>10.99</v>
      </c>
      <c r="F36" s="9" t="n">
        <v>22.99</v>
      </c>
      <c r="G36" s="11" t="n">
        <f aca="false">F36*$B$3+0.2</f>
        <v>5.83255</v>
      </c>
      <c r="H36" s="12" t="n">
        <f aca="false">F36-E36-G36</f>
        <v>6.16745</v>
      </c>
      <c r="I36" s="13" t="n">
        <f aca="false">IF(F36&gt;0,H36/F36,0)</f>
        <v>0.268266637668552</v>
      </c>
      <c r="J36" s="8" t="s">
        <v>17</v>
      </c>
    </row>
    <row r="37" customFormat="false" ht="15" hidden="false" customHeight="false" outlineLevel="0" collapsed="false">
      <c r="A37" s="14" t="s">
        <v>15</v>
      </c>
      <c r="B37" s="15" t="s">
        <v>51</v>
      </c>
      <c r="C37" s="16" t="n">
        <v>5.69</v>
      </c>
      <c r="D37" s="16" t="n">
        <v>5.5</v>
      </c>
      <c r="E37" s="17" t="n">
        <f aca="false">C37+D37</f>
        <v>11.19</v>
      </c>
      <c r="F37" s="16" t="n">
        <v>24.99</v>
      </c>
      <c r="G37" s="18" t="n">
        <f aca="false">F37*$B$3+0.2</f>
        <v>6.32255</v>
      </c>
      <c r="H37" s="19" t="n">
        <f aca="false">F37-E37-G37</f>
        <v>7.47745</v>
      </c>
      <c r="I37" s="20" t="n">
        <f aca="false">IF(F37&gt;0,H37/F37,0)</f>
        <v>0.29921768707483</v>
      </c>
      <c r="J37" s="15" t="s">
        <v>17</v>
      </c>
    </row>
    <row r="38" customFormat="false" ht="15" hidden="false" customHeight="false" outlineLevel="0" collapsed="false">
      <c r="A38" s="7" t="s">
        <v>15</v>
      </c>
      <c r="B38" s="8" t="s">
        <v>52</v>
      </c>
      <c r="C38" s="9" t="n">
        <v>5.69</v>
      </c>
      <c r="D38" s="9" t="n">
        <v>6</v>
      </c>
      <c r="E38" s="10" t="n">
        <f aca="false">C38+D38</f>
        <v>11.69</v>
      </c>
      <c r="F38" s="9" t="n">
        <v>24.99</v>
      </c>
      <c r="G38" s="11" t="n">
        <f aca="false">F38*$B$3+0.2</f>
        <v>6.32255</v>
      </c>
      <c r="H38" s="12" t="n">
        <f aca="false">F38-E38-G38</f>
        <v>6.97745</v>
      </c>
      <c r="I38" s="13" t="n">
        <f aca="false">IF(F38&gt;0,H38/F38,0)</f>
        <v>0.279209683873549</v>
      </c>
      <c r="J38" s="8" t="s">
        <v>45</v>
      </c>
    </row>
    <row r="39" customFormat="false" ht="15" hidden="false" customHeight="false" outlineLevel="0" collapsed="false">
      <c r="A39" s="14" t="s">
        <v>15</v>
      </c>
      <c r="B39" s="15" t="s">
        <v>53</v>
      </c>
      <c r="C39" s="16" t="n">
        <v>5.79</v>
      </c>
      <c r="D39" s="16" t="n">
        <v>5.5</v>
      </c>
      <c r="E39" s="17" t="n">
        <f aca="false">C39+D39</f>
        <v>11.29</v>
      </c>
      <c r="F39" s="16" t="n">
        <v>24.99</v>
      </c>
      <c r="G39" s="18" t="n">
        <f aca="false">F39*$B$3+0.2</f>
        <v>6.32255</v>
      </c>
      <c r="H39" s="19" t="n">
        <f aca="false">F39-E39-G39</f>
        <v>7.37745</v>
      </c>
      <c r="I39" s="20" t="n">
        <f aca="false">IF(F39&gt;0,H39/F39,0)</f>
        <v>0.295216086434574</v>
      </c>
      <c r="J39" s="15" t="s">
        <v>17</v>
      </c>
    </row>
    <row r="40" customFormat="false" ht="15" hidden="false" customHeight="false" outlineLevel="0" collapsed="false">
      <c r="A40" s="7" t="s">
        <v>15</v>
      </c>
      <c r="B40" s="8" t="s">
        <v>54</v>
      </c>
      <c r="C40" s="9" t="n">
        <v>5.79</v>
      </c>
      <c r="D40" s="9" t="n">
        <v>6</v>
      </c>
      <c r="E40" s="10" t="n">
        <f aca="false">C40+D40</f>
        <v>11.79</v>
      </c>
      <c r="F40" s="9" t="n">
        <v>24.99</v>
      </c>
      <c r="G40" s="11" t="n">
        <f aca="false">F40*$B$3+0.2</f>
        <v>6.32255</v>
      </c>
      <c r="H40" s="12" t="n">
        <f aca="false">F40-E40-G40</f>
        <v>6.87745</v>
      </c>
      <c r="I40" s="13" t="n">
        <f aca="false">IF(F40&gt;0,H40/F40,0)</f>
        <v>0.275208083233293</v>
      </c>
      <c r="J40" s="8" t="s">
        <v>17</v>
      </c>
    </row>
    <row r="41" customFormat="false" ht="15" hidden="false" customHeight="false" outlineLevel="0" collapsed="false">
      <c r="A41" s="14" t="s">
        <v>15</v>
      </c>
      <c r="B41" s="15" t="s">
        <v>55</v>
      </c>
      <c r="C41" s="16" t="n">
        <v>5.79</v>
      </c>
      <c r="D41" s="16" t="n">
        <v>6</v>
      </c>
      <c r="E41" s="17" t="n">
        <f aca="false">C41+D41</f>
        <v>11.79</v>
      </c>
      <c r="F41" s="16" t="n">
        <v>24.99</v>
      </c>
      <c r="G41" s="18" t="n">
        <f aca="false">F41*$B$3+0.2</f>
        <v>6.32255</v>
      </c>
      <c r="H41" s="19" t="n">
        <f aca="false">F41-E41-G41</f>
        <v>6.87745</v>
      </c>
      <c r="I41" s="20" t="n">
        <f aca="false">IF(F41&gt;0,H41/F41,0)</f>
        <v>0.275208083233293</v>
      </c>
      <c r="J41" s="15" t="s">
        <v>36</v>
      </c>
    </row>
    <row r="42" customFormat="false" ht="15" hidden="false" customHeight="false" outlineLevel="0" collapsed="false">
      <c r="A42" s="7" t="s">
        <v>15</v>
      </c>
      <c r="B42" s="8" t="s">
        <v>56</v>
      </c>
      <c r="C42" s="9" t="n">
        <v>5.79</v>
      </c>
      <c r="D42" s="9" t="n">
        <v>6</v>
      </c>
      <c r="E42" s="10" t="n">
        <f aca="false">C42+D42</f>
        <v>11.79</v>
      </c>
      <c r="F42" s="9" t="n">
        <v>24.99</v>
      </c>
      <c r="G42" s="11" t="n">
        <f aca="false">F42*$B$3+0.2</f>
        <v>6.32255</v>
      </c>
      <c r="H42" s="12" t="n">
        <f aca="false">F42-E42-G42</f>
        <v>6.87745</v>
      </c>
      <c r="I42" s="13" t="n">
        <f aca="false">IF(F42&gt;0,H42/F42,0)</f>
        <v>0.275208083233293</v>
      </c>
      <c r="J42" s="8" t="s">
        <v>36</v>
      </c>
    </row>
    <row r="43" customFormat="false" ht="15" hidden="false" customHeight="false" outlineLevel="0" collapsed="false">
      <c r="A43" s="14" t="s">
        <v>15</v>
      </c>
      <c r="B43" s="15" t="s">
        <v>57</v>
      </c>
      <c r="C43" s="16" t="n">
        <v>5.89</v>
      </c>
      <c r="D43" s="16" t="n">
        <v>6</v>
      </c>
      <c r="E43" s="17" t="n">
        <f aca="false">C43+D43</f>
        <v>11.89</v>
      </c>
      <c r="F43" s="16" t="n">
        <v>24.99</v>
      </c>
      <c r="G43" s="18" t="n">
        <f aca="false">F43*$B$3+0.2</f>
        <v>6.32255</v>
      </c>
      <c r="H43" s="19" t="n">
        <f aca="false">F43-E43-G43</f>
        <v>6.77745</v>
      </c>
      <c r="I43" s="20" t="n">
        <f aca="false">IF(F43&gt;0,H43/F43,0)</f>
        <v>0.271206482593037</v>
      </c>
      <c r="J43" s="15" t="s">
        <v>28</v>
      </c>
    </row>
    <row r="44" customFormat="false" ht="15" hidden="false" customHeight="false" outlineLevel="0" collapsed="false">
      <c r="A44" s="7" t="s">
        <v>15</v>
      </c>
      <c r="B44" s="8" t="s">
        <v>58</v>
      </c>
      <c r="C44" s="9" t="n">
        <v>5.89</v>
      </c>
      <c r="D44" s="9" t="n">
        <v>6</v>
      </c>
      <c r="E44" s="10" t="n">
        <f aca="false">C44+D44</f>
        <v>11.89</v>
      </c>
      <c r="F44" s="9" t="n">
        <v>29.99</v>
      </c>
      <c r="G44" s="11" t="n">
        <f aca="false">F44*$B$3+0.2</f>
        <v>7.54755</v>
      </c>
      <c r="H44" s="12" t="n">
        <f aca="false">F44-E44-G44</f>
        <v>10.55245</v>
      </c>
      <c r="I44" s="13" t="n">
        <f aca="false">IF(F44&gt;0,H44/F44,0)</f>
        <v>0.351865621873958</v>
      </c>
      <c r="J44" s="8" t="s">
        <v>45</v>
      </c>
    </row>
    <row r="45" customFormat="false" ht="15" hidden="false" customHeight="false" outlineLevel="0" collapsed="false">
      <c r="A45" s="14" t="s">
        <v>15</v>
      </c>
      <c r="B45" s="15" t="s">
        <v>59</v>
      </c>
      <c r="C45" s="16" t="n">
        <v>5.99</v>
      </c>
      <c r="D45" s="16" t="n">
        <v>6</v>
      </c>
      <c r="E45" s="17" t="n">
        <f aca="false">C45+D45</f>
        <v>11.99</v>
      </c>
      <c r="F45" s="16" t="n">
        <v>24.99</v>
      </c>
      <c r="G45" s="18" t="n">
        <f aca="false">F45*$B$3+0.2</f>
        <v>6.32255</v>
      </c>
      <c r="H45" s="19" t="n">
        <f aca="false">F45-E45-G45</f>
        <v>6.67745</v>
      </c>
      <c r="I45" s="20" t="n">
        <f aca="false">IF(F45&gt;0,H45/F45,0)</f>
        <v>0.267204881952781</v>
      </c>
      <c r="J45" s="15" t="s">
        <v>17</v>
      </c>
    </row>
    <row r="46" customFormat="false" ht="15" hidden="false" customHeight="false" outlineLevel="0" collapsed="false">
      <c r="A46" s="7" t="s">
        <v>15</v>
      </c>
      <c r="B46" s="8" t="s">
        <v>60</v>
      </c>
      <c r="C46" s="9" t="n">
        <v>5.99</v>
      </c>
      <c r="D46" s="9" t="n">
        <v>6</v>
      </c>
      <c r="E46" s="10" t="n">
        <f aca="false">C46+D46</f>
        <v>11.99</v>
      </c>
      <c r="F46" s="9" t="n">
        <v>22.99</v>
      </c>
      <c r="G46" s="11" t="n">
        <f aca="false">F46*$B$3+0.2</f>
        <v>5.83255</v>
      </c>
      <c r="H46" s="12" t="n">
        <f aca="false">F46-E46-G46</f>
        <v>5.16745</v>
      </c>
      <c r="I46" s="13" t="n">
        <f aca="false">IF(F46&gt;0,H46/F46,0)</f>
        <v>0.224769464984776</v>
      </c>
      <c r="J46" s="8" t="s">
        <v>36</v>
      </c>
    </row>
    <row r="47" customFormat="false" ht="15" hidden="false" customHeight="false" outlineLevel="0" collapsed="false">
      <c r="A47" s="14" t="s">
        <v>15</v>
      </c>
      <c r="B47" s="15" t="s">
        <v>61</v>
      </c>
      <c r="C47" s="16" t="n">
        <v>5.99</v>
      </c>
      <c r="D47" s="16" t="n">
        <v>6</v>
      </c>
      <c r="E47" s="17" t="n">
        <f aca="false">C47+D47</f>
        <v>11.99</v>
      </c>
      <c r="F47" s="16" t="n">
        <v>22.99</v>
      </c>
      <c r="G47" s="18" t="n">
        <f aca="false">F47*$B$3+0.2</f>
        <v>5.83255</v>
      </c>
      <c r="H47" s="19" t="n">
        <f aca="false">F47-E47-G47</f>
        <v>5.16745</v>
      </c>
      <c r="I47" s="20" t="n">
        <f aca="false">IF(F47&gt;0,H47/F47,0)</f>
        <v>0.224769464984776</v>
      </c>
      <c r="J47" s="15" t="s">
        <v>36</v>
      </c>
    </row>
    <row r="48" customFormat="false" ht="15" hidden="false" customHeight="false" outlineLevel="0" collapsed="false">
      <c r="A48" s="7" t="s">
        <v>15</v>
      </c>
      <c r="B48" s="8" t="s">
        <v>62</v>
      </c>
      <c r="C48" s="9" t="n">
        <v>6.09</v>
      </c>
      <c r="D48" s="9" t="n">
        <v>6</v>
      </c>
      <c r="E48" s="10" t="n">
        <f aca="false">C48+D48</f>
        <v>12.09</v>
      </c>
      <c r="F48" s="9" t="n">
        <v>24.99</v>
      </c>
      <c r="G48" s="11" t="n">
        <f aca="false">F48*$B$3+0.2</f>
        <v>6.32255</v>
      </c>
      <c r="H48" s="12" t="n">
        <f aca="false">F48-E48-G48</f>
        <v>6.57745</v>
      </c>
      <c r="I48" s="13" t="n">
        <f aca="false">IF(F48&gt;0,H48/F48,0)</f>
        <v>0.263203281312525</v>
      </c>
      <c r="J48" s="8" t="s">
        <v>28</v>
      </c>
    </row>
    <row r="49" customFormat="false" ht="15" hidden="false" customHeight="false" outlineLevel="0" collapsed="false">
      <c r="A49" s="14" t="s">
        <v>15</v>
      </c>
      <c r="B49" s="15" t="s">
        <v>63</v>
      </c>
      <c r="C49" s="16" t="n">
        <v>6.09</v>
      </c>
      <c r="D49" s="16" t="n">
        <v>6</v>
      </c>
      <c r="E49" s="17" t="n">
        <f aca="false">C49+D49</f>
        <v>12.09</v>
      </c>
      <c r="F49" s="16" t="n">
        <v>24.99</v>
      </c>
      <c r="G49" s="18" t="n">
        <f aca="false">F49*$B$3+0.2</f>
        <v>6.32255</v>
      </c>
      <c r="H49" s="19" t="n">
        <f aca="false">F49-E49-G49</f>
        <v>6.57745</v>
      </c>
      <c r="I49" s="20" t="n">
        <f aca="false">IF(F49&gt;0,H49/F49,0)</f>
        <v>0.263203281312525</v>
      </c>
      <c r="J49" s="15" t="s">
        <v>17</v>
      </c>
    </row>
    <row r="50" customFormat="false" ht="15" hidden="false" customHeight="false" outlineLevel="0" collapsed="false">
      <c r="A50" s="7" t="s">
        <v>15</v>
      </c>
      <c r="B50" s="8" t="s">
        <v>64</v>
      </c>
      <c r="C50" s="9" t="n">
        <v>6.19</v>
      </c>
      <c r="D50" s="9" t="n">
        <v>6</v>
      </c>
      <c r="E50" s="10" t="n">
        <f aca="false">C50+D50</f>
        <v>12.19</v>
      </c>
      <c r="F50" s="9" t="n">
        <v>24.99</v>
      </c>
      <c r="G50" s="11" t="n">
        <f aca="false">F50*$B$3+0.2</f>
        <v>6.32255</v>
      </c>
      <c r="H50" s="12" t="n">
        <f aca="false">F50-E50-G50</f>
        <v>6.47745</v>
      </c>
      <c r="I50" s="13" t="n">
        <f aca="false">IF(F50&gt;0,H50/F50,0)</f>
        <v>0.259201680672269</v>
      </c>
      <c r="J50" s="8" t="s">
        <v>36</v>
      </c>
    </row>
    <row r="51" customFormat="false" ht="15" hidden="false" customHeight="false" outlineLevel="0" collapsed="false">
      <c r="A51" s="14" t="s">
        <v>15</v>
      </c>
      <c r="B51" s="15" t="s">
        <v>65</v>
      </c>
      <c r="C51" s="16" t="n">
        <v>6.19</v>
      </c>
      <c r="D51" s="16" t="n">
        <v>6</v>
      </c>
      <c r="E51" s="17" t="n">
        <f aca="false">C51+D51</f>
        <v>12.19</v>
      </c>
      <c r="F51" s="16" t="n">
        <v>24.99</v>
      </c>
      <c r="G51" s="18" t="n">
        <f aca="false">F51*$B$3+0.2</f>
        <v>6.32255</v>
      </c>
      <c r="H51" s="19" t="n">
        <f aca="false">F51-E51-G51</f>
        <v>6.47745</v>
      </c>
      <c r="I51" s="20" t="n">
        <f aca="false">IF(F51&gt;0,H51/F51,0)</f>
        <v>0.259201680672269</v>
      </c>
      <c r="J51" s="15" t="s">
        <v>36</v>
      </c>
    </row>
    <row r="52" customFormat="false" ht="15" hidden="false" customHeight="false" outlineLevel="0" collapsed="false">
      <c r="A52" s="7" t="s">
        <v>15</v>
      </c>
      <c r="B52" s="8" t="s">
        <v>66</v>
      </c>
      <c r="C52" s="9" t="n">
        <v>6.25</v>
      </c>
      <c r="D52" s="9" t="n">
        <v>6</v>
      </c>
      <c r="E52" s="10" t="n">
        <f aca="false">C52+D52</f>
        <v>12.25</v>
      </c>
      <c r="F52" s="9" t="n">
        <v>24.99</v>
      </c>
      <c r="G52" s="11" t="n">
        <f aca="false">F52*$B$3+0.2</f>
        <v>6.32255</v>
      </c>
      <c r="H52" s="12" t="n">
        <f aca="false">F52-E52-G52</f>
        <v>6.41745</v>
      </c>
      <c r="I52" s="13" t="n">
        <f aca="false">IF(F52&gt;0,H52/F52,0)</f>
        <v>0.256800720288115</v>
      </c>
      <c r="J52" s="8" t="s">
        <v>17</v>
      </c>
    </row>
    <row r="53" customFormat="false" ht="15" hidden="false" customHeight="false" outlineLevel="0" collapsed="false">
      <c r="A53" s="14" t="s">
        <v>15</v>
      </c>
      <c r="B53" s="15" t="s">
        <v>67</v>
      </c>
      <c r="C53" s="16" t="n">
        <v>6.25</v>
      </c>
      <c r="D53" s="16" t="n">
        <v>5.5</v>
      </c>
      <c r="E53" s="17" t="n">
        <f aca="false">C53+D53</f>
        <v>11.75</v>
      </c>
      <c r="F53" s="16" t="n">
        <v>24.99</v>
      </c>
      <c r="G53" s="18" t="n">
        <f aca="false">F53*$B$3+0.2</f>
        <v>6.32255</v>
      </c>
      <c r="H53" s="19" t="n">
        <f aca="false">F53-E53-G53</f>
        <v>6.91745</v>
      </c>
      <c r="I53" s="20" t="n">
        <f aca="false">IF(F53&gt;0,H53/F53,0)</f>
        <v>0.276808723489396</v>
      </c>
      <c r="J53" s="15" t="s">
        <v>17</v>
      </c>
    </row>
    <row r="54" customFormat="false" ht="15" hidden="false" customHeight="false" outlineLevel="0" collapsed="false">
      <c r="A54" s="7" t="s">
        <v>15</v>
      </c>
      <c r="B54" s="8" t="s">
        <v>68</v>
      </c>
      <c r="C54" s="9" t="n">
        <v>6.33</v>
      </c>
      <c r="D54" s="9" t="n">
        <v>6</v>
      </c>
      <c r="E54" s="10" t="n">
        <f aca="false">C54+D54</f>
        <v>12.33</v>
      </c>
      <c r="F54" s="9" t="n">
        <v>29.99</v>
      </c>
      <c r="G54" s="11" t="n">
        <f aca="false">F54*$B$3+0.2</f>
        <v>7.54755</v>
      </c>
      <c r="H54" s="12" t="n">
        <f aca="false">F54-E54-G54</f>
        <v>10.11245</v>
      </c>
      <c r="I54" s="13" t="n">
        <f aca="false">IF(F54&gt;0,H54/F54,0)</f>
        <v>0.337194064688229</v>
      </c>
      <c r="J54" s="8" t="s">
        <v>36</v>
      </c>
    </row>
    <row r="55" customFormat="false" ht="15" hidden="false" customHeight="false" outlineLevel="0" collapsed="false">
      <c r="A55" s="14" t="s">
        <v>15</v>
      </c>
      <c r="B55" s="15" t="s">
        <v>69</v>
      </c>
      <c r="C55" s="16" t="n">
        <v>6.33</v>
      </c>
      <c r="D55" s="16" t="n">
        <v>6</v>
      </c>
      <c r="E55" s="17" t="n">
        <f aca="false">C55+D55</f>
        <v>12.33</v>
      </c>
      <c r="F55" s="16" t="n">
        <v>24.99</v>
      </c>
      <c r="G55" s="18" t="n">
        <f aca="false">F55*$B$3+0.2</f>
        <v>6.32255</v>
      </c>
      <c r="H55" s="19" t="n">
        <f aca="false">F55-E55-G55</f>
        <v>6.33745</v>
      </c>
      <c r="I55" s="20" t="n">
        <f aca="false">IF(F55&gt;0,H55/F55,0)</f>
        <v>0.25359943977591</v>
      </c>
      <c r="J55" s="15" t="s">
        <v>28</v>
      </c>
    </row>
    <row r="56" customFormat="false" ht="15" hidden="false" customHeight="false" outlineLevel="0" collapsed="false">
      <c r="A56" s="7" t="s">
        <v>15</v>
      </c>
      <c r="B56" s="8" t="s">
        <v>70</v>
      </c>
      <c r="C56" s="9" t="n">
        <v>6.35</v>
      </c>
      <c r="D56" s="9" t="n">
        <v>6</v>
      </c>
      <c r="E56" s="10" t="n">
        <f aca="false">C56+D56</f>
        <v>12.35</v>
      </c>
      <c r="F56" s="9" t="n">
        <v>24.99</v>
      </c>
      <c r="G56" s="11" t="n">
        <f aca="false">F56*$B$3+0.2</f>
        <v>6.32255</v>
      </c>
      <c r="H56" s="12" t="n">
        <f aca="false">F56-E56-G56</f>
        <v>6.31745</v>
      </c>
      <c r="I56" s="13" t="n">
        <f aca="false">IF(F56&gt;0,H56/F56,0)</f>
        <v>0.252799119647859</v>
      </c>
      <c r="J56" s="8" t="s">
        <v>17</v>
      </c>
    </row>
    <row r="57" customFormat="false" ht="15" hidden="false" customHeight="false" outlineLevel="0" collapsed="false">
      <c r="A57" s="14" t="s">
        <v>15</v>
      </c>
      <c r="B57" s="15" t="s">
        <v>71</v>
      </c>
      <c r="C57" s="16" t="n">
        <v>6.39</v>
      </c>
      <c r="D57" s="16" t="n">
        <v>6</v>
      </c>
      <c r="E57" s="17" t="n">
        <f aca="false">C57+D57</f>
        <v>12.39</v>
      </c>
      <c r="F57" s="16" t="n">
        <v>24.99</v>
      </c>
      <c r="G57" s="18" t="n">
        <f aca="false">F57*$B$3+0.2</f>
        <v>6.32255</v>
      </c>
      <c r="H57" s="19" t="n">
        <f aca="false">F57-E57-G57</f>
        <v>6.27745</v>
      </c>
      <c r="I57" s="20" t="n">
        <f aca="false">IF(F57&gt;0,H57/F57,0)</f>
        <v>0.251198479391757</v>
      </c>
      <c r="J57" s="15" t="s">
        <v>36</v>
      </c>
    </row>
    <row r="58" customFormat="false" ht="15" hidden="false" customHeight="false" outlineLevel="0" collapsed="false">
      <c r="A58" s="7" t="s">
        <v>15</v>
      </c>
      <c r="B58" s="8" t="s">
        <v>72</v>
      </c>
      <c r="C58" s="9" t="n">
        <v>6.39</v>
      </c>
      <c r="D58" s="9" t="n">
        <v>6</v>
      </c>
      <c r="E58" s="10" t="n">
        <f aca="false">C58+D58</f>
        <v>12.39</v>
      </c>
      <c r="F58" s="9" t="n">
        <v>29.99</v>
      </c>
      <c r="G58" s="11" t="n">
        <f aca="false">F58*$B$3+0.2</f>
        <v>7.54755</v>
      </c>
      <c r="H58" s="12" t="n">
        <f aca="false">F58-E58-G58</f>
        <v>10.05245</v>
      </c>
      <c r="I58" s="13" t="n">
        <f aca="false">IF(F58&gt;0,H58/F58,0)</f>
        <v>0.335193397799266</v>
      </c>
      <c r="J58" s="8" t="s">
        <v>45</v>
      </c>
    </row>
    <row r="59" customFormat="false" ht="15" hidden="false" customHeight="false" outlineLevel="0" collapsed="false">
      <c r="A59" s="14" t="s">
        <v>15</v>
      </c>
      <c r="B59" s="15" t="s">
        <v>73</v>
      </c>
      <c r="C59" s="16" t="n">
        <v>6.49</v>
      </c>
      <c r="D59" s="16" t="n">
        <v>6</v>
      </c>
      <c r="E59" s="17" t="n">
        <f aca="false">C59+D59</f>
        <v>12.49</v>
      </c>
      <c r="F59" s="16" t="n">
        <v>24.99</v>
      </c>
      <c r="G59" s="18" t="n">
        <f aca="false">F59*$B$3+0.2</f>
        <v>6.32255</v>
      </c>
      <c r="H59" s="19" t="n">
        <f aca="false">F59-E59-G59</f>
        <v>6.17745</v>
      </c>
      <c r="I59" s="20" t="n">
        <f aca="false">IF(F59&gt;0,H59/F59,0)</f>
        <v>0.247196878751501</v>
      </c>
      <c r="J59" s="15" t="s">
        <v>28</v>
      </c>
    </row>
    <row r="60" customFormat="false" ht="15" hidden="false" customHeight="false" outlineLevel="0" collapsed="false">
      <c r="A60" s="7" t="s">
        <v>15</v>
      </c>
      <c r="B60" s="8" t="s">
        <v>74</v>
      </c>
      <c r="C60" s="9" t="n">
        <v>6.49</v>
      </c>
      <c r="D60" s="9" t="n">
        <v>6</v>
      </c>
      <c r="E60" s="10" t="n">
        <f aca="false">C60+D60</f>
        <v>12.49</v>
      </c>
      <c r="F60" s="9" t="n">
        <v>24.99</v>
      </c>
      <c r="G60" s="11" t="n">
        <f aca="false">F60*$B$3+0.2</f>
        <v>6.32255</v>
      </c>
      <c r="H60" s="12" t="n">
        <f aca="false">F60-E60-G60</f>
        <v>6.17745</v>
      </c>
      <c r="I60" s="13" t="n">
        <f aca="false">IF(F60&gt;0,H60/F60,0)</f>
        <v>0.247196878751501</v>
      </c>
      <c r="J60" s="8" t="s">
        <v>36</v>
      </c>
    </row>
    <row r="61" customFormat="false" ht="15" hidden="false" customHeight="false" outlineLevel="0" collapsed="false">
      <c r="A61" s="14" t="s">
        <v>15</v>
      </c>
      <c r="B61" s="15" t="s">
        <v>75</v>
      </c>
      <c r="C61" s="16" t="n">
        <v>6.59</v>
      </c>
      <c r="D61" s="16" t="n">
        <v>6</v>
      </c>
      <c r="E61" s="17" t="n">
        <f aca="false">C61+D61</f>
        <v>12.59</v>
      </c>
      <c r="F61" s="16" t="n">
        <v>24.99</v>
      </c>
      <c r="G61" s="18" t="n">
        <f aca="false">F61*$B$3+0.2</f>
        <v>6.32255</v>
      </c>
      <c r="H61" s="19" t="n">
        <f aca="false">F61-E61-G61</f>
        <v>6.07745</v>
      </c>
      <c r="I61" s="20" t="n">
        <f aca="false">IF(F61&gt;0,H61/F61,0)</f>
        <v>0.243195278111244</v>
      </c>
      <c r="J61" s="15" t="s">
        <v>36</v>
      </c>
    </row>
    <row r="62" customFormat="false" ht="15" hidden="false" customHeight="false" outlineLevel="0" collapsed="false">
      <c r="A62" s="7" t="s">
        <v>15</v>
      </c>
      <c r="B62" s="8" t="s">
        <v>76</v>
      </c>
      <c r="C62" s="9" t="n">
        <v>6.59</v>
      </c>
      <c r="D62" s="9" t="n">
        <v>6.5</v>
      </c>
      <c r="E62" s="10" t="n">
        <f aca="false">C62+D62</f>
        <v>13.09</v>
      </c>
      <c r="F62" s="9" t="n">
        <v>24.99</v>
      </c>
      <c r="G62" s="11" t="n">
        <f aca="false">F62*$B$3+0.2</f>
        <v>6.32255</v>
      </c>
      <c r="H62" s="12" t="n">
        <f aca="false">F62-E62-G62</f>
        <v>5.57745</v>
      </c>
      <c r="I62" s="13" t="n">
        <f aca="false">IF(F62&gt;0,H62/F62,0)</f>
        <v>0.223187274909964</v>
      </c>
      <c r="J62" s="8" t="s">
        <v>36</v>
      </c>
    </row>
    <row r="63" customFormat="false" ht="15" hidden="false" customHeight="false" outlineLevel="0" collapsed="false">
      <c r="A63" s="14" t="s">
        <v>15</v>
      </c>
      <c r="B63" s="15" t="s">
        <v>77</v>
      </c>
      <c r="C63" s="16" t="n">
        <v>6.59</v>
      </c>
      <c r="D63" s="16" t="n">
        <v>6</v>
      </c>
      <c r="E63" s="17" t="n">
        <f aca="false">C63+D63</f>
        <v>12.59</v>
      </c>
      <c r="F63" s="16" t="n">
        <v>24.99</v>
      </c>
      <c r="G63" s="18" t="n">
        <f aca="false">F63*$B$3+0.2</f>
        <v>6.32255</v>
      </c>
      <c r="H63" s="19" t="n">
        <f aca="false">F63-E63-G63</f>
        <v>6.07745</v>
      </c>
      <c r="I63" s="20" t="n">
        <f aca="false">IF(F63&gt;0,H63/F63,0)</f>
        <v>0.243195278111244</v>
      </c>
      <c r="J63" s="15" t="s">
        <v>28</v>
      </c>
    </row>
    <row r="64" customFormat="false" ht="15" hidden="false" customHeight="false" outlineLevel="0" collapsed="false">
      <c r="A64" s="7" t="s">
        <v>15</v>
      </c>
      <c r="B64" s="8" t="s">
        <v>78</v>
      </c>
      <c r="C64" s="9" t="n">
        <v>6.69</v>
      </c>
      <c r="D64" s="9" t="n">
        <v>6</v>
      </c>
      <c r="E64" s="10" t="n">
        <f aca="false">C64+D64</f>
        <v>12.69</v>
      </c>
      <c r="F64" s="9" t="n">
        <v>24.99</v>
      </c>
      <c r="G64" s="11" t="n">
        <f aca="false">F64*$B$3+0.2</f>
        <v>6.32255</v>
      </c>
      <c r="H64" s="12" t="n">
        <f aca="false">F64-E64-G64</f>
        <v>5.97745</v>
      </c>
      <c r="I64" s="13" t="n">
        <f aca="false">IF(F64&gt;0,H64/F64,0)</f>
        <v>0.239193677470988</v>
      </c>
      <c r="J64" s="8" t="s">
        <v>36</v>
      </c>
    </row>
    <row r="65" customFormat="false" ht="15" hidden="false" customHeight="false" outlineLevel="0" collapsed="false">
      <c r="A65" s="14" t="s">
        <v>15</v>
      </c>
      <c r="B65" s="15" t="s">
        <v>79</v>
      </c>
      <c r="C65" s="16" t="n">
        <v>6.69</v>
      </c>
      <c r="D65" s="16" t="n">
        <v>6</v>
      </c>
      <c r="E65" s="17" t="n">
        <f aca="false">C65+D65</f>
        <v>12.69</v>
      </c>
      <c r="F65" s="16" t="n">
        <v>24.99</v>
      </c>
      <c r="G65" s="18" t="n">
        <f aca="false">F65*$B$3+0.2</f>
        <v>6.32255</v>
      </c>
      <c r="H65" s="19" t="n">
        <f aca="false">F65-E65-G65</f>
        <v>5.97745</v>
      </c>
      <c r="I65" s="20" t="n">
        <f aca="false">IF(F65&gt;0,H65/F65,0)</f>
        <v>0.239193677470988</v>
      </c>
      <c r="J65" s="15" t="s">
        <v>17</v>
      </c>
    </row>
    <row r="66" customFormat="false" ht="15" hidden="false" customHeight="false" outlineLevel="0" collapsed="false">
      <c r="A66" s="7" t="s">
        <v>15</v>
      </c>
      <c r="B66" s="8" t="s">
        <v>80</v>
      </c>
      <c r="C66" s="9" t="n">
        <v>6.69</v>
      </c>
      <c r="D66" s="9" t="n">
        <v>6</v>
      </c>
      <c r="E66" s="10" t="n">
        <f aca="false">C66+D66</f>
        <v>12.69</v>
      </c>
      <c r="F66" s="9" t="n">
        <v>29.99</v>
      </c>
      <c r="G66" s="11" t="n">
        <f aca="false">F66*$B$3+0.2</f>
        <v>7.54755</v>
      </c>
      <c r="H66" s="12" t="n">
        <f aca="false">F66-E66-G66</f>
        <v>9.75245</v>
      </c>
      <c r="I66" s="13" t="n">
        <f aca="false">IF(F66&gt;0,H66/F66,0)</f>
        <v>0.325190063354451</v>
      </c>
      <c r="J66" s="8" t="s">
        <v>81</v>
      </c>
    </row>
    <row r="67" customFormat="false" ht="15" hidden="false" customHeight="false" outlineLevel="0" collapsed="false">
      <c r="A67" s="14" t="s">
        <v>15</v>
      </c>
      <c r="B67" s="15" t="s">
        <v>82</v>
      </c>
      <c r="C67" s="16" t="n">
        <v>7.09</v>
      </c>
      <c r="D67" s="16" t="n">
        <v>6.5</v>
      </c>
      <c r="E67" s="17" t="n">
        <f aca="false">C67+D67</f>
        <v>13.59</v>
      </c>
      <c r="F67" s="16" t="n">
        <v>29.99</v>
      </c>
      <c r="G67" s="18" t="n">
        <f aca="false">F67*$B$3+0.2</f>
        <v>7.54755</v>
      </c>
      <c r="H67" s="19" t="n">
        <f aca="false">F67-E67-G67</f>
        <v>8.85245</v>
      </c>
      <c r="I67" s="20" t="n">
        <f aca="false">IF(F67&gt;0,H67/F67,0)</f>
        <v>0.295180060020007</v>
      </c>
      <c r="J67" s="15" t="s">
        <v>45</v>
      </c>
    </row>
    <row r="68" customFormat="false" ht="15" hidden="false" customHeight="false" outlineLevel="0" collapsed="false">
      <c r="A68" s="7" t="s">
        <v>15</v>
      </c>
      <c r="B68" s="8" t="s">
        <v>83</v>
      </c>
      <c r="C68" s="9" t="n">
        <v>7.09</v>
      </c>
      <c r="D68" s="9" t="n">
        <v>6</v>
      </c>
      <c r="E68" s="10" t="n">
        <f aca="false">C68+D68</f>
        <v>13.09</v>
      </c>
      <c r="F68" s="9" t="n">
        <v>29.99</v>
      </c>
      <c r="G68" s="11" t="n">
        <f aca="false">F68*$B$3+0.2</f>
        <v>7.54755</v>
      </c>
      <c r="H68" s="12" t="n">
        <f aca="false">F68-E68-G68</f>
        <v>9.35245</v>
      </c>
      <c r="I68" s="13" t="n">
        <f aca="false">IF(F68&gt;0,H68/F68,0)</f>
        <v>0.311852284094698</v>
      </c>
      <c r="J68" s="8" t="s">
        <v>36</v>
      </c>
    </row>
    <row r="69" customFormat="false" ht="15" hidden="false" customHeight="false" outlineLevel="0" collapsed="false">
      <c r="A69" s="14" t="s">
        <v>15</v>
      </c>
      <c r="B69" s="15" t="s">
        <v>84</v>
      </c>
      <c r="C69" s="16" t="n">
        <v>7.25</v>
      </c>
      <c r="D69" s="16" t="n">
        <v>6.5</v>
      </c>
      <c r="E69" s="17" t="n">
        <f aca="false">C69+D69</f>
        <v>13.75</v>
      </c>
      <c r="F69" s="16" t="n">
        <v>29.99</v>
      </c>
      <c r="G69" s="18" t="n">
        <f aca="false">F69*$B$3+0.2</f>
        <v>7.54755</v>
      </c>
      <c r="H69" s="19" t="n">
        <f aca="false">F69-E69-G69</f>
        <v>8.69245</v>
      </c>
      <c r="I69" s="20" t="n">
        <f aca="false">IF(F69&gt;0,H69/F69,0)</f>
        <v>0.289844948316105</v>
      </c>
      <c r="J69" s="15" t="s">
        <v>28</v>
      </c>
    </row>
    <row r="70" customFormat="false" ht="15" hidden="false" customHeight="false" outlineLevel="0" collapsed="false">
      <c r="A70" s="7" t="s">
        <v>15</v>
      </c>
      <c r="B70" s="8" t="s">
        <v>85</v>
      </c>
      <c r="C70" s="9" t="n">
        <v>7.29</v>
      </c>
      <c r="D70" s="9" t="n">
        <v>6.5</v>
      </c>
      <c r="E70" s="10" t="n">
        <f aca="false">C70+D70</f>
        <v>13.79</v>
      </c>
      <c r="F70" s="9" t="n">
        <v>24.99</v>
      </c>
      <c r="G70" s="11" t="n">
        <f aca="false">F70*$B$3+0.2</f>
        <v>6.32255</v>
      </c>
      <c r="H70" s="12" t="n">
        <f aca="false">F70-E70-G70</f>
        <v>4.87745</v>
      </c>
      <c r="I70" s="13" t="n">
        <f aca="false">IF(F70&gt;0,H70/F70,0)</f>
        <v>0.195176070428171</v>
      </c>
      <c r="J70" s="8" t="s">
        <v>36</v>
      </c>
    </row>
    <row r="71" customFormat="false" ht="15" hidden="false" customHeight="false" outlineLevel="0" collapsed="false">
      <c r="A71" s="14" t="s">
        <v>15</v>
      </c>
      <c r="B71" s="15" t="s">
        <v>86</v>
      </c>
      <c r="C71" s="16" t="n">
        <v>7.29</v>
      </c>
      <c r="D71" s="16" t="n">
        <v>6.5</v>
      </c>
      <c r="E71" s="17" t="n">
        <f aca="false">C71+D71</f>
        <v>13.79</v>
      </c>
      <c r="F71" s="16" t="n">
        <v>24.99</v>
      </c>
      <c r="G71" s="18" t="n">
        <f aca="false">F71*$B$3+0.2</f>
        <v>6.32255</v>
      </c>
      <c r="H71" s="19" t="n">
        <f aca="false">F71-E71-G71</f>
        <v>4.87745</v>
      </c>
      <c r="I71" s="20" t="n">
        <f aca="false">IF(F71&gt;0,H71/F71,0)</f>
        <v>0.195176070428171</v>
      </c>
      <c r="J71" s="15" t="s">
        <v>36</v>
      </c>
    </row>
    <row r="72" customFormat="false" ht="15" hidden="false" customHeight="false" outlineLevel="0" collapsed="false">
      <c r="A72" s="7" t="s">
        <v>15</v>
      </c>
      <c r="B72" s="8" t="s">
        <v>87</v>
      </c>
      <c r="C72" s="9" t="n">
        <v>8.9</v>
      </c>
      <c r="D72" s="9" t="n">
        <v>6.5</v>
      </c>
      <c r="E72" s="10" t="n">
        <f aca="false">C72+D72</f>
        <v>15.4</v>
      </c>
      <c r="F72" s="9" t="n">
        <v>29.99</v>
      </c>
      <c r="G72" s="11" t="n">
        <f aca="false">F72*$B$3+0.2</f>
        <v>7.54755</v>
      </c>
      <c r="H72" s="12" t="n">
        <f aca="false">F72-E72-G72</f>
        <v>7.04245</v>
      </c>
      <c r="I72" s="13" t="n">
        <f aca="false">IF(F72&gt;0,H72/F72,0)</f>
        <v>0.234826608869623</v>
      </c>
      <c r="J72" s="8" t="s">
        <v>28</v>
      </c>
    </row>
    <row r="73" customFormat="false" ht="15" hidden="false" customHeight="false" outlineLevel="0" collapsed="false">
      <c r="A73" s="14" t="s">
        <v>15</v>
      </c>
      <c r="B73" s="15" t="s">
        <v>88</v>
      </c>
      <c r="C73" s="16" t="n">
        <v>7.03</v>
      </c>
      <c r="D73" s="16" t="n">
        <v>6</v>
      </c>
      <c r="E73" s="17" t="n">
        <f aca="false">C73+D73</f>
        <v>13.03</v>
      </c>
      <c r="F73" s="16" t="n">
        <v>29.99</v>
      </c>
      <c r="G73" s="18" t="n">
        <f aca="false">F73*$B$3+0.2</f>
        <v>7.54755</v>
      </c>
      <c r="H73" s="19" t="n">
        <f aca="false">F73-E73-G73</f>
        <v>9.41245</v>
      </c>
      <c r="I73" s="20" t="n">
        <f aca="false">IF(F73&gt;0,H73/F73,0)</f>
        <v>0.313852950983661</v>
      </c>
      <c r="J73" s="15" t="s">
        <v>28</v>
      </c>
    </row>
    <row r="74" customFormat="false" ht="15" hidden="false" customHeight="false" outlineLevel="0" collapsed="false">
      <c r="A74" s="7" t="s">
        <v>15</v>
      </c>
      <c r="B74" s="8" t="s">
        <v>89</v>
      </c>
      <c r="C74" s="9" t="n">
        <v>7.03</v>
      </c>
      <c r="D74" s="9" t="n">
        <v>6</v>
      </c>
      <c r="E74" s="10" t="n">
        <f aca="false">C74+D74</f>
        <v>13.03</v>
      </c>
      <c r="F74" s="9" t="n">
        <v>24.99</v>
      </c>
      <c r="G74" s="11" t="n">
        <f aca="false">F74*$B$3+0.2</f>
        <v>6.32255</v>
      </c>
      <c r="H74" s="12" t="n">
        <f aca="false">F74-E74-G74</f>
        <v>5.63745</v>
      </c>
      <c r="I74" s="13" t="n">
        <f aca="false">IF(F74&gt;0,H74/F74,0)</f>
        <v>0.225588235294118</v>
      </c>
      <c r="J74" s="8" t="s">
        <v>28</v>
      </c>
    </row>
    <row r="75" customFormat="false" ht="15" hidden="false" customHeight="false" outlineLevel="0" collapsed="false">
      <c r="A75" s="14" t="s">
        <v>15</v>
      </c>
      <c r="B75" s="15" t="s">
        <v>90</v>
      </c>
      <c r="C75" s="16" t="n">
        <v>6.89</v>
      </c>
      <c r="D75" s="16" t="n">
        <v>6</v>
      </c>
      <c r="E75" s="17" t="n">
        <f aca="false">C75+D75</f>
        <v>12.89</v>
      </c>
      <c r="F75" s="16" t="n">
        <v>24.99</v>
      </c>
      <c r="G75" s="18" t="n">
        <f aca="false">F75*$B$3+0.2</f>
        <v>6.32255</v>
      </c>
      <c r="H75" s="19" t="n">
        <f aca="false">F75-E75-G75</f>
        <v>5.77745</v>
      </c>
      <c r="I75" s="20" t="n">
        <f aca="false">IF(F75&gt;0,H75/F75,0)</f>
        <v>0.231190476190476</v>
      </c>
      <c r="J75" s="15" t="s">
        <v>28</v>
      </c>
    </row>
    <row r="76" customFormat="false" ht="15" hidden="false" customHeight="false" outlineLevel="0" collapsed="false">
      <c r="A76" s="7" t="s">
        <v>15</v>
      </c>
      <c r="B76" s="8" t="s">
        <v>91</v>
      </c>
      <c r="C76" s="9" t="n">
        <v>6.89</v>
      </c>
      <c r="D76" s="9" t="n">
        <v>6</v>
      </c>
      <c r="E76" s="10" t="n">
        <f aca="false">C76+D76</f>
        <v>12.89</v>
      </c>
      <c r="F76" s="9" t="n">
        <v>24.99</v>
      </c>
      <c r="G76" s="11" t="n">
        <f aca="false">F76*$B$3+0.2</f>
        <v>6.32255</v>
      </c>
      <c r="H76" s="12" t="n">
        <f aca="false">F76-E76-G76</f>
        <v>5.77745</v>
      </c>
      <c r="I76" s="13" t="n">
        <f aca="false">IF(F76&gt;0,H76/F76,0)</f>
        <v>0.231190476190476</v>
      </c>
      <c r="J76" s="8" t="s">
        <v>36</v>
      </c>
    </row>
    <row r="77" customFormat="false" ht="15" hidden="false" customHeight="false" outlineLevel="0" collapsed="false">
      <c r="A77" s="14" t="s">
        <v>15</v>
      </c>
      <c r="B77" s="15" t="s">
        <v>92</v>
      </c>
      <c r="C77" s="16" t="n">
        <v>6.89</v>
      </c>
      <c r="D77" s="16" t="n">
        <v>6</v>
      </c>
      <c r="E77" s="17" t="n">
        <f aca="false">C77+D77</f>
        <v>12.89</v>
      </c>
      <c r="F77" s="16" t="n">
        <v>22.99</v>
      </c>
      <c r="G77" s="18" t="n">
        <f aca="false">F77*$B$3+0.2</f>
        <v>5.83255</v>
      </c>
      <c r="H77" s="19" t="n">
        <f aca="false">F77-E77-G77</f>
        <v>4.26745</v>
      </c>
      <c r="I77" s="20" t="n">
        <f aca="false">IF(F77&gt;0,H77/F77,0)</f>
        <v>0.185622009569378</v>
      </c>
      <c r="J77" s="15" t="s">
        <v>17</v>
      </c>
    </row>
    <row r="78" customFormat="false" ht="15" hidden="false" customHeight="false" outlineLevel="0" collapsed="false">
      <c r="A78" s="7" t="s">
        <v>15</v>
      </c>
      <c r="B78" s="8" t="s">
        <v>93</v>
      </c>
      <c r="C78" s="9" t="n">
        <v>6.99</v>
      </c>
      <c r="D78" s="9" t="n">
        <v>6</v>
      </c>
      <c r="E78" s="10" t="n">
        <f aca="false">C78+D78</f>
        <v>12.99</v>
      </c>
      <c r="F78" s="9" t="n">
        <v>24.99</v>
      </c>
      <c r="G78" s="11" t="n">
        <f aca="false">F78*$B$3+0.2</f>
        <v>6.32255</v>
      </c>
      <c r="H78" s="12" t="n">
        <f aca="false">F78-E78-G78</f>
        <v>5.67745</v>
      </c>
      <c r="I78" s="13" t="n">
        <f aca="false">IF(F78&gt;0,H78/F78,0)</f>
        <v>0.22718887555022</v>
      </c>
      <c r="J78" s="8" t="s">
        <v>28</v>
      </c>
    </row>
    <row r="79" customFormat="false" ht="15" hidden="false" customHeight="false" outlineLevel="0" collapsed="false">
      <c r="A79" s="14" t="s">
        <v>15</v>
      </c>
      <c r="B79" s="15" t="s">
        <v>94</v>
      </c>
      <c r="C79" s="16" t="n">
        <v>6.99</v>
      </c>
      <c r="D79" s="16" t="n">
        <v>6</v>
      </c>
      <c r="E79" s="17" t="n">
        <f aca="false">C79+D79</f>
        <v>12.99</v>
      </c>
      <c r="F79" s="16" t="n">
        <v>24.99</v>
      </c>
      <c r="G79" s="18" t="n">
        <f aca="false">F79*$B$3+0.2</f>
        <v>6.32255</v>
      </c>
      <c r="H79" s="19" t="n">
        <f aca="false">F79-E79-G79</f>
        <v>5.67745</v>
      </c>
      <c r="I79" s="20" t="n">
        <f aca="false">IF(F79&gt;0,H79/F79,0)</f>
        <v>0.22718887555022</v>
      </c>
      <c r="J79" s="15" t="s">
        <v>36</v>
      </c>
    </row>
    <row r="80" customFormat="false" ht="15" hidden="false" customHeight="false" outlineLevel="0" collapsed="false">
      <c r="A80" s="7" t="s">
        <v>15</v>
      </c>
      <c r="B80" s="8" t="s">
        <v>95</v>
      </c>
      <c r="C80" s="9" t="n">
        <v>6.96</v>
      </c>
      <c r="D80" s="9" t="n">
        <v>6</v>
      </c>
      <c r="E80" s="10" t="n">
        <f aca="false">C80+D80</f>
        <v>12.96</v>
      </c>
      <c r="F80" s="9" t="n">
        <v>24.99</v>
      </c>
      <c r="G80" s="11" t="n">
        <f aca="false">F80*$B$3+0.2</f>
        <v>6.32255</v>
      </c>
      <c r="H80" s="12" t="n">
        <f aca="false">F80-E80-G80</f>
        <v>5.70745</v>
      </c>
      <c r="I80" s="13" t="n">
        <f aca="false">IF(F80&gt;0,H80/F80,0)</f>
        <v>0.228389355742297</v>
      </c>
      <c r="J80" s="8" t="s">
        <v>17</v>
      </c>
    </row>
    <row r="81" customFormat="false" ht="15" hidden="false" customHeight="false" outlineLevel="0" collapsed="false">
      <c r="A81" s="14" t="s">
        <v>15</v>
      </c>
      <c r="B81" s="15" t="s">
        <v>96</v>
      </c>
      <c r="C81" s="16" t="n">
        <v>8.49</v>
      </c>
      <c r="D81" s="16" t="n">
        <v>6.5</v>
      </c>
      <c r="E81" s="17" t="n">
        <f aca="false">C81+D81</f>
        <v>14.99</v>
      </c>
      <c r="F81" s="16" t="n">
        <v>29.99</v>
      </c>
      <c r="G81" s="18" t="n">
        <f aca="false">F81*$B$3+0.2</f>
        <v>7.54755</v>
      </c>
      <c r="H81" s="19" t="n">
        <f aca="false">F81-E81-G81</f>
        <v>7.45245</v>
      </c>
      <c r="I81" s="20" t="n">
        <f aca="false">IF(F81&gt;0,H81/F81,0)</f>
        <v>0.24849783261087</v>
      </c>
      <c r="J81" s="15" t="s">
        <v>17</v>
      </c>
    </row>
    <row r="82" customFormat="false" ht="15" hidden="false" customHeight="false" outlineLevel="0" collapsed="false">
      <c r="A82" s="7" t="s">
        <v>15</v>
      </c>
      <c r="B82" s="8" t="s">
        <v>97</v>
      </c>
      <c r="C82" s="9" t="n">
        <v>8.69</v>
      </c>
      <c r="D82" s="9" t="n">
        <v>6.5</v>
      </c>
      <c r="E82" s="10" t="n">
        <f aca="false">C82+D82</f>
        <v>15.19</v>
      </c>
      <c r="F82" s="9" t="n">
        <v>29.99</v>
      </c>
      <c r="G82" s="11" t="n">
        <f aca="false">F82*$B$3+0.2</f>
        <v>7.54755</v>
      </c>
      <c r="H82" s="12" t="n">
        <f aca="false">F82-E82-G82</f>
        <v>7.25245</v>
      </c>
      <c r="I82" s="13" t="n">
        <f aca="false">IF(F82&gt;0,H82/F82,0)</f>
        <v>0.241828942980994</v>
      </c>
      <c r="J82" s="8" t="s">
        <v>36</v>
      </c>
    </row>
    <row r="83" customFormat="false" ht="15" hidden="false" customHeight="false" outlineLevel="0" collapsed="false">
      <c r="A83" s="14" t="s">
        <v>15</v>
      </c>
      <c r="B83" s="15" t="s">
        <v>98</v>
      </c>
      <c r="C83" s="16" t="n">
        <v>8.69</v>
      </c>
      <c r="D83" s="16" t="n">
        <v>6.5</v>
      </c>
      <c r="E83" s="17" t="n">
        <f aca="false">C83+D83</f>
        <v>15.19</v>
      </c>
      <c r="F83" s="16" t="n">
        <v>29.99</v>
      </c>
      <c r="G83" s="18" t="n">
        <f aca="false">F83*$B$3+0.2</f>
        <v>7.54755</v>
      </c>
      <c r="H83" s="19" t="n">
        <f aca="false">F83-E83-G83</f>
        <v>7.25245</v>
      </c>
      <c r="I83" s="20" t="n">
        <f aca="false">IF(F83&gt;0,H83/F83,0)</f>
        <v>0.241828942980994</v>
      </c>
      <c r="J83" s="15" t="s">
        <v>81</v>
      </c>
    </row>
    <row r="84" customFormat="false" ht="15" hidden="false" customHeight="false" outlineLevel="0" collapsed="false">
      <c r="A84" s="7" t="s">
        <v>15</v>
      </c>
      <c r="B84" s="8" t="s">
        <v>99</v>
      </c>
      <c r="C84" s="9" t="n">
        <v>8.75</v>
      </c>
      <c r="D84" s="9" t="n">
        <v>6.5</v>
      </c>
      <c r="E84" s="10" t="n">
        <f aca="false">C84+D84</f>
        <v>15.25</v>
      </c>
      <c r="F84" s="9" t="n">
        <v>29.99</v>
      </c>
      <c r="G84" s="11" t="n">
        <f aca="false">F84*$B$3+0.2</f>
        <v>7.54755</v>
      </c>
      <c r="H84" s="12" t="n">
        <f aca="false">F84-E84-G84</f>
        <v>7.19245</v>
      </c>
      <c r="I84" s="13" t="n">
        <f aca="false">IF(F84&gt;0,H84/F84,0)</f>
        <v>0.239828276092031</v>
      </c>
      <c r="J84" s="8" t="s">
        <v>36</v>
      </c>
    </row>
    <row r="85" customFormat="false" ht="15" hidden="false" customHeight="false" outlineLevel="0" collapsed="false">
      <c r="A85" s="14" t="s">
        <v>15</v>
      </c>
      <c r="B85" s="15" t="s">
        <v>100</v>
      </c>
      <c r="C85" s="16" t="n">
        <v>8.89</v>
      </c>
      <c r="D85" s="16" t="n">
        <v>6.5</v>
      </c>
      <c r="E85" s="17" t="n">
        <f aca="false">C85+D85</f>
        <v>15.39</v>
      </c>
      <c r="F85" s="16" t="n">
        <v>29.99</v>
      </c>
      <c r="G85" s="18" t="n">
        <f aca="false">F85*$B$3+0.2</f>
        <v>7.54755</v>
      </c>
      <c r="H85" s="19" t="n">
        <f aca="false">F85-E85-G85</f>
        <v>7.05245</v>
      </c>
      <c r="I85" s="20" t="n">
        <f aca="false">IF(F85&gt;0,H85/F85,0)</f>
        <v>0.235160053351117</v>
      </c>
      <c r="J85" s="15" t="s">
        <v>36</v>
      </c>
    </row>
    <row r="86" customFormat="false" ht="15" hidden="false" customHeight="false" outlineLevel="0" collapsed="false">
      <c r="A86" s="7" t="s">
        <v>15</v>
      </c>
      <c r="B86" s="8" t="s">
        <v>101</v>
      </c>
      <c r="C86" s="9" t="n">
        <v>8.96</v>
      </c>
      <c r="D86" s="9" t="n">
        <v>6.5</v>
      </c>
      <c r="E86" s="10" t="n">
        <f aca="false">C86+D86</f>
        <v>15.46</v>
      </c>
      <c r="F86" s="9" t="n">
        <v>29.99</v>
      </c>
      <c r="G86" s="11" t="n">
        <f aca="false">F86*$B$3+0.2</f>
        <v>7.54755</v>
      </c>
      <c r="H86" s="12" t="n">
        <f aca="false">F86-E86-G86</f>
        <v>6.98245</v>
      </c>
      <c r="I86" s="13" t="n">
        <f aca="false">IF(F86&gt;0,H86/F86,0)</f>
        <v>0.23282594198066</v>
      </c>
      <c r="J86" s="8" t="s">
        <v>17</v>
      </c>
    </row>
    <row r="87" customFormat="false" ht="15" hidden="false" customHeight="false" outlineLevel="0" collapsed="false">
      <c r="A87" s="14" t="s">
        <v>15</v>
      </c>
      <c r="B87" s="15" t="s">
        <v>102</v>
      </c>
      <c r="C87" s="16" t="n">
        <v>9.88</v>
      </c>
      <c r="D87" s="16" t="n">
        <v>7</v>
      </c>
      <c r="E87" s="17" t="n">
        <f aca="false">C87+D87</f>
        <v>16.88</v>
      </c>
      <c r="F87" s="16" t="n">
        <v>34.99</v>
      </c>
      <c r="G87" s="18" t="n">
        <f aca="false">F87*$B$3+0.2</f>
        <v>8.77255</v>
      </c>
      <c r="H87" s="19" t="n">
        <f aca="false">F87-E87-G87</f>
        <v>9.33745</v>
      </c>
      <c r="I87" s="20" t="n">
        <f aca="false">IF(F87&gt;0,H87/F87,0)</f>
        <v>0.266860531580452</v>
      </c>
      <c r="J87" s="15" t="s">
        <v>36</v>
      </c>
    </row>
    <row r="88" customFormat="false" ht="15" hidden="false" customHeight="false" outlineLevel="0" collapsed="false">
      <c r="A88" s="7" t="s">
        <v>15</v>
      </c>
      <c r="B88" s="8" t="s">
        <v>103</v>
      </c>
      <c r="C88" s="9" t="n">
        <v>9.79</v>
      </c>
      <c r="D88" s="9" t="n">
        <v>6.5</v>
      </c>
      <c r="E88" s="10" t="n">
        <f aca="false">C88+D88</f>
        <v>16.29</v>
      </c>
      <c r="F88" s="9" t="n">
        <v>29.99</v>
      </c>
      <c r="G88" s="11" t="n">
        <f aca="false">F88*$B$3+0.2</f>
        <v>7.54755</v>
      </c>
      <c r="H88" s="12" t="n">
        <f aca="false">F88-E88-G88</f>
        <v>6.15245</v>
      </c>
      <c r="I88" s="13" t="n">
        <f aca="false">IF(F88&gt;0,H88/F88,0)</f>
        <v>0.205150050016672</v>
      </c>
      <c r="J88" s="8" t="s">
        <v>45</v>
      </c>
    </row>
    <row r="89" customFormat="false" ht="15" hidden="false" customHeight="false" outlineLevel="0" collapsed="false">
      <c r="A89" s="14" t="s">
        <v>15</v>
      </c>
      <c r="B89" s="15" t="s">
        <v>104</v>
      </c>
      <c r="C89" s="16" t="n">
        <v>9.88</v>
      </c>
      <c r="D89" s="16" t="n">
        <v>7</v>
      </c>
      <c r="E89" s="17" t="n">
        <f aca="false">C89+D89</f>
        <v>16.88</v>
      </c>
      <c r="F89" s="16" t="n">
        <v>34.99</v>
      </c>
      <c r="G89" s="18" t="n">
        <f aca="false">F89*$B$3+0.2</f>
        <v>8.77255</v>
      </c>
      <c r="H89" s="19" t="n">
        <f aca="false">F89-E89-G89</f>
        <v>9.33745</v>
      </c>
      <c r="I89" s="20" t="n">
        <f aca="false">IF(F89&gt;0,H89/F89,0)</f>
        <v>0.266860531580452</v>
      </c>
      <c r="J89" s="15" t="s">
        <v>36</v>
      </c>
    </row>
    <row r="90" customFormat="false" ht="15" hidden="false" customHeight="false" outlineLevel="0" collapsed="false">
      <c r="A90" s="7" t="s">
        <v>15</v>
      </c>
      <c r="B90" s="8" t="s">
        <v>105</v>
      </c>
      <c r="C90" s="9" t="n">
        <v>10.09</v>
      </c>
      <c r="D90" s="9" t="n">
        <v>7</v>
      </c>
      <c r="E90" s="10" t="n">
        <f aca="false">C90+D90</f>
        <v>17.09</v>
      </c>
      <c r="F90" s="9" t="n">
        <v>34.99</v>
      </c>
      <c r="G90" s="11" t="n">
        <f aca="false">F90*$B$3+0.2</f>
        <v>8.77255</v>
      </c>
      <c r="H90" s="12" t="n">
        <f aca="false">F90-E90-G90</f>
        <v>9.12745</v>
      </c>
      <c r="I90" s="13" t="n">
        <f aca="false">IF(F90&gt;0,H90/F90,0)</f>
        <v>0.260858816804801</v>
      </c>
      <c r="J90" s="8" t="s">
        <v>45</v>
      </c>
    </row>
    <row r="91" customFormat="false" ht="15" hidden="false" customHeight="false" outlineLevel="0" collapsed="false">
      <c r="A91" s="14" t="s">
        <v>15</v>
      </c>
      <c r="B91" s="15" t="s">
        <v>106</v>
      </c>
      <c r="C91" s="16" t="n">
        <v>10.22</v>
      </c>
      <c r="D91" s="16" t="n">
        <v>7</v>
      </c>
      <c r="E91" s="17" t="n">
        <f aca="false">C91+D91</f>
        <v>17.22</v>
      </c>
      <c r="F91" s="16" t="n">
        <v>34.99</v>
      </c>
      <c r="G91" s="18" t="n">
        <f aca="false">F91*$B$3+0.2</f>
        <v>8.77255</v>
      </c>
      <c r="H91" s="19" t="n">
        <f aca="false">F91-E91-G91</f>
        <v>8.99745</v>
      </c>
      <c r="I91" s="20" t="n">
        <f aca="false">IF(F91&gt;0,H91/F91,0)</f>
        <v>0.257143469562732</v>
      </c>
      <c r="J91" s="15" t="s">
        <v>28</v>
      </c>
    </row>
    <row r="92" customFormat="false" ht="15" hidden="false" customHeight="false" outlineLevel="0" collapsed="false">
      <c r="A92" s="7" t="s">
        <v>15</v>
      </c>
      <c r="B92" s="8" t="s">
        <v>107</v>
      </c>
      <c r="C92" s="9" t="n">
        <v>10.49</v>
      </c>
      <c r="D92" s="9" t="n">
        <v>7</v>
      </c>
      <c r="E92" s="10" t="n">
        <f aca="false">C92+D92</f>
        <v>17.49</v>
      </c>
      <c r="F92" s="9" t="n">
        <v>39.99</v>
      </c>
      <c r="G92" s="11" t="n">
        <f aca="false">F92*$B$3+0.2</f>
        <v>9.99755</v>
      </c>
      <c r="H92" s="12" t="n">
        <f aca="false">F92-E92-G92</f>
        <v>12.50245</v>
      </c>
      <c r="I92" s="13" t="n">
        <f aca="false">IF(F92&gt;0,H92/F92,0)</f>
        <v>0.312639409852463</v>
      </c>
      <c r="J92" s="8" t="s">
        <v>36</v>
      </c>
    </row>
    <row r="93" customFormat="false" ht="15" hidden="false" customHeight="false" outlineLevel="0" collapsed="false">
      <c r="A93" s="14" t="s">
        <v>15</v>
      </c>
      <c r="B93" s="15" t="s">
        <v>108</v>
      </c>
      <c r="C93" s="16" t="n">
        <v>10.69</v>
      </c>
      <c r="D93" s="16" t="n">
        <v>7</v>
      </c>
      <c r="E93" s="17" t="n">
        <f aca="false">C93+D93</f>
        <v>17.69</v>
      </c>
      <c r="F93" s="16" t="n">
        <v>34.99</v>
      </c>
      <c r="G93" s="18" t="n">
        <f aca="false">F93*$B$3+0.2</f>
        <v>8.77255</v>
      </c>
      <c r="H93" s="19" t="n">
        <f aca="false">F93-E93-G93</f>
        <v>8.52745000000001</v>
      </c>
      <c r="I93" s="20" t="n">
        <f aca="false">IF(F93&gt;0,H93/F93,0)</f>
        <v>0.243711060302944</v>
      </c>
      <c r="J93" s="15" t="s">
        <v>36</v>
      </c>
    </row>
    <row r="94" customFormat="false" ht="15" hidden="false" customHeight="false" outlineLevel="0" collapsed="false">
      <c r="A94" s="7" t="s">
        <v>15</v>
      </c>
      <c r="B94" s="8" t="s">
        <v>109</v>
      </c>
      <c r="C94" s="9" t="n">
        <v>10.89</v>
      </c>
      <c r="D94" s="9" t="n">
        <v>7</v>
      </c>
      <c r="E94" s="10" t="n">
        <f aca="false">C94+D94</f>
        <v>17.89</v>
      </c>
      <c r="F94" s="9" t="n">
        <v>39.99</v>
      </c>
      <c r="G94" s="11" t="n">
        <f aca="false">F94*$B$3+0.2</f>
        <v>9.99755</v>
      </c>
      <c r="H94" s="12" t="n">
        <f aca="false">F94-E94-G94</f>
        <v>12.10245</v>
      </c>
      <c r="I94" s="13" t="n">
        <f aca="false">IF(F94&gt;0,H94/F94,0)</f>
        <v>0.302636909227307</v>
      </c>
      <c r="J94" s="8" t="s">
        <v>36</v>
      </c>
    </row>
    <row r="95" customFormat="false" ht="15" hidden="false" customHeight="false" outlineLevel="0" collapsed="false">
      <c r="A95" s="14" t="s">
        <v>15</v>
      </c>
      <c r="B95" s="15" t="s">
        <v>110</v>
      </c>
      <c r="C95" s="16" t="n">
        <v>10.89</v>
      </c>
      <c r="D95" s="16" t="n">
        <v>7</v>
      </c>
      <c r="E95" s="17" t="n">
        <f aca="false">C95+D95</f>
        <v>17.89</v>
      </c>
      <c r="F95" s="16" t="n">
        <v>34.99</v>
      </c>
      <c r="G95" s="18" t="n">
        <f aca="false">F95*$B$3+0.2</f>
        <v>8.77255</v>
      </c>
      <c r="H95" s="19" t="n">
        <f aca="false">F95-E95-G95</f>
        <v>8.32745</v>
      </c>
      <c r="I95" s="20" t="n">
        <f aca="false">IF(F95&gt;0,H95/F95,0)</f>
        <v>0.237995141468991</v>
      </c>
      <c r="J95" s="15" t="s">
        <v>45</v>
      </c>
    </row>
    <row r="96" customFormat="false" ht="15" hidden="false" customHeight="false" outlineLevel="0" collapsed="false">
      <c r="A96" s="7" t="s">
        <v>15</v>
      </c>
      <c r="B96" s="8" t="s">
        <v>111</v>
      </c>
      <c r="C96" s="9" t="n">
        <v>10.89</v>
      </c>
      <c r="D96" s="9" t="n">
        <v>7</v>
      </c>
      <c r="E96" s="10" t="n">
        <f aca="false">C96+D96</f>
        <v>17.89</v>
      </c>
      <c r="F96" s="9" t="n">
        <v>29.99</v>
      </c>
      <c r="G96" s="11" t="n">
        <f aca="false">F96*$B$3+0.2</f>
        <v>7.54755</v>
      </c>
      <c r="H96" s="12" t="n">
        <f aca="false">F96-E96-G96</f>
        <v>4.55245</v>
      </c>
      <c r="I96" s="13" t="n">
        <f aca="false">IF(F96&gt;0,H96/F96,0)</f>
        <v>0.151798932977659</v>
      </c>
      <c r="J96" s="8" t="s">
        <v>36</v>
      </c>
    </row>
    <row r="97" customFormat="false" ht="15" hidden="false" customHeight="false" outlineLevel="0" collapsed="false">
      <c r="A97" s="14" t="s">
        <v>15</v>
      </c>
      <c r="B97" s="15" t="s">
        <v>112</v>
      </c>
      <c r="C97" s="16" t="n">
        <v>13.5</v>
      </c>
      <c r="D97" s="16" t="n">
        <v>7.5</v>
      </c>
      <c r="E97" s="17" t="n">
        <f aca="false">C97+D97</f>
        <v>21</v>
      </c>
      <c r="F97" s="16" t="n">
        <v>39.99</v>
      </c>
      <c r="G97" s="18" t="n">
        <f aca="false">F97*$B$3+0.2</f>
        <v>9.99755</v>
      </c>
      <c r="H97" s="19" t="n">
        <f aca="false">F97-E97-G97</f>
        <v>8.99245</v>
      </c>
      <c r="I97" s="20" t="n">
        <f aca="false">IF(F97&gt;0,H97/F97,0)</f>
        <v>0.224867466866717</v>
      </c>
      <c r="J97" s="15" t="s">
        <v>17</v>
      </c>
    </row>
    <row r="98" customFormat="false" ht="15" hidden="false" customHeight="false" outlineLevel="0" collapsed="false">
      <c r="A98" s="7" t="s">
        <v>113</v>
      </c>
      <c r="B98" s="8" t="s">
        <v>114</v>
      </c>
      <c r="C98" s="9" t="n">
        <v>7.03</v>
      </c>
      <c r="D98" s="9" t="n">
        <v>7.5</v>
      </c>
      <c r="E98" s="10" t="n">
        <f aca="false">C98+D98</f>
        <v>14.53</v>
      </c>
      <c r="F98" s="9" t="n">
        <v>29.99</v>
      </c>
      <c r="G98" s="11" t="n">
        <f aca="false">F98*$B$3+0.2</f>
        <v>7.54755</v>
      </c>
      <c r="H98" s="12" t="n">
        <f aca="false">F98-E98-G98</f>
        <v>7.91245</v>
      </c>
      <c r="I98" s="13" t="n">
        <f aca="false">IF(F98&gt;0,H98/F98,0)</f>
        <v>0.263836278759587</v>
      </c>
      <c r="J98" s="8" t="s">
        <v>28</v>
      </c>
    </row>
    <row r="99" customFormat="false" ht="15" hidden="false" customHeight="false" outlineLevel="0" collapsed="false">
      <c r="A99" s="14" t="s">
        <v>113</v>
      </c>
      <c r="B99" s="15" t="s">
        <v>115</v>
      </c>
      <c r="C99" s="16" t="n">
        <v>7.12</v>
      </c>
      <c r="D99" s="16" t="n">
        <v>7</v>
      </c>
      <c r="E99" s="17" t="n">
        <f aca="false">C99+D99</f>
        <v>14.12</v>
      </c>
      <c r="F99" s="16" t="n">
        <v>29.99</v>
      </c>
      <c r="G99" s="18" t="n">
        <f aca="false">F99*$B$3+0.2</f>
        <v>7.54755</v>
      </c>
      <c r="H99" s="19" t="n">
        <f aca="false">F99-E99-G99</f>
        <v>8.32245</v>
      </c>
      <c r="I99" s="20" t="n">
        <f aca="false">IF(F99&gt;0,H99/F99,0)</f>
        <v>0.277507502500834</v>
      </c>
      <c r="J99" s="15" t="s">
        <v>17</v>
      </c>
    </row>
    <row r="100" customFormat="false" ht="15" hidden="false" customHeight="false" outlineLevel="0" collapsed="false">
      <c r="A100" s="7" t="s">
        <v>113</v>
      </c>
      <c r="B100" s="8" t="s">
        <v>116</v>
      </c>
      <c r="C100" s="9" t="n">
        <v>7.25</v>
      </c>
      <c r="D100" s="9" t="n">
        <v>7</v>
      </c>
      <c r="E100" s="10" t="n">
        <f aca="false">C100+D100</f>
        <v>14.25</v>
      </c>
      <c r="F100" s="9" t="n">
        <v>29.99</v>
      </c>
      <c r="G100" s="11" t="n">
        <f aca="false">F100*$B$3+0.2</f>
        <v>7.54755</v>
      </c>
      <c r="H100" s="12" t="n">
        <f aca="false">F100-E100-G100</f>
        <v>8.19245</v>
      </c>
      <c r="I100" s="13" t="n">
        <f aca="false">IF(F100&gt;0,H100/F100,0)</f>
        <v>0.273172724241414</v>
      </c>
      <c r="J100" s="8" t="s">
        <v>17</v>
      </c>
    </row>
    <row r="101" customFormat="false" ht="15" hidden="false" customHeight="false" outlineLevel="0" collapsed="false">
      <c r="A101" s="14" t="s">
        <v>113</v>
      </c>
      <c r="B101" s="15" t="s">
        <v>117</v>
      </c>
      <c r="C101" s="16" t="n">
        <v>7.25</v>
      </c>
      <c r="D101" s="16" t="n">
        <v>7.5</v>
      </c>
      <c r="E101" s="17" t="n">
        <f aca="false">C101+D101</f>
        <v>14.75</v>
      </c>
      <c r="F101" s="16" t="n">
        <v>29.99</v>
      </c>
      <c r="G101" s="18" t="n">
        <f aca="false">F101*$B$3+0.2</f>
        <v>7.54755</v>
      </c>
      <c r="H101" s="19" t="n">
        <f aca="false">F101-E101-G101</f>
        <v>7.69245</v>
      </c>
      <c r="I101" s="20" t="n">
        <f aca="false">IF(F101&gt;0,H101/F101,0)</f>
        <v>0.256500500166722</v>
      </c>
      <c r="J101" s="15" t="s">
        <v>28</v>
      </c>
    </row>
    <row r="102" customFormat="false" ht="15" hidden="false" customHeight="false" outlineLevel="0" collapsed="false">
      <c r="A102" s="7" t="s">
        <v>113</v>
      </c>
      <c r="B102" s="8" t="s">
        <v>118</v>
      </c>
      <c r="C102" s="9" t="n">
        <v>7.25</v>
      </c>
      <c r="D102" s="9" t="n">
        <v>7</v>
      </c>
      <c r="E102" s="10" t="n">
        <f aca="false">C102+D102</f>
        <v>14.25</v>
      </c>
      <c r="F102" s="9" t="n">
        <v>29.99</v>
      </c>
      <c r="G102" s="11" t="n">
        <f aca="false">F102*$B$3+0.2</f>
        <v>7.54755</v>
      </c>
      <c r="H102" s="12" t="n">
        <f aca="false">F102-E102-G102</f>
        <v>8.19245</v>
      </c>
      <c r="I102" s="13" t="n">
        <f aca="false">IF(F102&gt;0,H102/F102,0)</f>
        <v>0.273172724241414</v>
      </c>
      <c r="J102" s="8" t="s">
        <v>17</v>
      </c>
    </row>
    <row r="103" customFormat="false" ht="15" hidden="false" customHeight="false" outlineLevel="0" collapsed="false">
      <c r="A103" s="14" t="s">
        <v>113</v>
      </c>
      <c r="B103" s="15" t="s">
        <v>119</v>
      </c>
      <c r="C103" s="16" t="n">
        <v>7.39</v>
      </c>
      <c r="D103" s="16" t="n">
        <v>7</v>
      </c>
      <c r="E103" s="17" t="n">
        <f aca="false">C103+D103</f>
        <v>14.39</v>
      </c>
      <c r="F103" s="16" t="n">
        <v>29.99</v>
      </c>
      <c r="G103" s="18" t="n">
        <f aca="false">F103*$B$3+0.2</f>
        <v>7.54755</v>
      </c>
      <c r="H103" s="19" t="n">
        <f aca="false">F103-E103-G103</f>
        <v>8.05245</v>
      </c>
      <c r="I103" s="20" t="n">
        <f aca="false">IF(F103&gt;0,H103/F103,0)</f>
        <v>0.2685045015005</v>
      </c>
      <c r="J103" s="15" t="s">
        <v>17</v>
      </c>
    </row>
    <row r="104" customFormat="false" ht="15" hidden="false" customHeight="false" outlineLevel="0" collapsed="false">
      <c r="A104" s="7" t="s">
        <v>113</v>
      </c>
      <c r="B104" s="8" t="s">
        <v>120</v>
      </c>
      <c r="C104" s="9" t="n">
        <v>7.39</v>
      </c>
      <c r="D104" s="9" t="n">
        <v>7.5</v>
      </c>
      <c r="E104" s="10" t="n">
        <f aca="false">C104+D104</f>
        <v>14.89</v>
      </c>
      <c r="F104" s="9" t="n">
        <v>34.99</v>
      </c>
      <c r="G104" s="11" t="n">
        <f aca="false">F104*$B$3+0.2</f>
        <v>8.77255</v>
      </c>
      <c r="H104" s="12" t="n">
        <f aca="false">F104-E104-G104</f>
        <v>11.32745</v>
      </c>
      <c r="I104" s="13" t="n">
        <f aca="false">IF(F104&gt;0,H104/F104,0)</f>
        <v>0.32373392397828</v>
      </c>
      <c r="J104" s="8" t="s">
        <v>17</v>
      </c>
    </row>
    <row r="105" customFormat="false" ht="15" hidden="false" customHeight="false" outlineLevel="0" collapsed="false">
      <c r="A105" s="14" t="s">
        <v>113</v>
      </c>
      <c r="B105" s="15" t="s">
        <v>121</v>
      </c>
      <c r="C105" s="16" t="n">
        <v>7.39</v>
      </c>
      <c r="D105" s="16" t="n">
        <v>7</v>
      </c>
      <c r="E105" s="17" t="n">
        <f aca="false">C105+D105</f>
        <v>14.39</v>
      </c>
      <c r="F105" s="16" t="n">
        <v>29.99</v>
      </c>
      <c r="G105" s="18" t="n">
        <f aca="false">F105*$B$3+0.2</f>
        <v>7.54755</v>
      </c>
      <c r="H105" s="19" t="n">
        <f aca="false">F105-E105-G105</f>
        <v>8.05245</v>
      </c>
      <c r="I105" s="20" t="n">
        <f aca="false">IF(F105&gt;0,H105/F105,0)</f>
        <v>0.2685045015005</v>
      </c>
      <c r="J105" s="15" t="s">
        <v>17</v>
      </c>
    </row>
    <row r="106" customFormat="false" ht="15" hidden="false" customHeight="false" outlineLevel="0" collapsed="false">
      <c r="A106" s="7" t="s">
        <v>113</v>
      </c>
      <c r="B106" s="8" t="s">
        <v>122</v>
      </c>
      <c r="C106" s="9" t="n">
        <v>7.49</v>
      </c>
      <c r="D106" s="9" t="n">
        <v>7.5</v>
      </c>
      <c r="E106" s="10" t="n">
        <f aca="false">C106+D106</f>
        <v>14.99</v>
      </c>
      <c r="F106" s="9" t="n">
        <v>34.99</v>
      </c>
      <c r="G106" s="11" t="n">
        <f aca="false">F106*$B$3+0.2</f>
        <v>8.77255</v>
      </c>
      <c r="H106" s="12" t="n">
        <f aca="false">F106-E106-G106</f>
        <v>11.22745</v>
      </c>
      <c r="I106" s="13" t="n">
        <f aca="false">IF(F106&gt;0,H106/F106,0)</f>
        <v>0.320875964561303</v>
      </c>
      <c r="J106" s="8" t="s">
        <v>17</v>
      </c>
    </row>
    <row r="107" customFormat="false" ht="15" hidden="false" customHeight="false" outlineLevel="0" collapsed="false">
      <c r="A107" s="14" t="s">
        <v>113</v>
      </c>
      <c r="B107" s="15" t="s">
        <v>123</v>
      </c>
      <c r="C107" s="16" t="n">
        <v>7.59</v>
      </c>
      <c r="D107" s="16" t="n">
        <v>7</v>
      </c>
      <c r="E107" s="17" t="n">
        <f aca="false">C107+D107</f>
        <v>14.59</v>
      </c>
      <c r="F107" s="16" t="n">
        <v>29.99</v>
      </c>
      <c r="G107" s="18" t="n">
        <f aca="false">F107*$B$3+0.2</f>
        <v>7.54755</v>
      </c>
      <c r="H107" s="19" t="n">
        <f aca="false">F107-E107-G107</f>
        <v>7.85245</v>
      </c>
      <c r="I107" s="20" t="n">
        <f aca="false">IF(F107&gt;0,H107/F107,0)</f>
        <v>0.261835611870624</v>
      </c>
      <c r="J107" s="15" t="s">
        <v>17</v>
      </c>
    </row>
    <row r="108" customFormat="false" ht="15" hidden="false" customHeight="false" outlineLevel="0" collapsed="false">
      <c r="A108" s="7" t="s">
        <v>113</v>
      </c>
      <c r="B108" s="8" t="s">
        <v>124</v>
      </c>
      <c r="C108" s="9" t="n">
        <v>7.85</v>
      </c>
      <c r="D108" s="9" t="n">
        <v>7</v>
      </c>
      <c r="E108" s="10" t="n">
        <f aca="false">C108+D108</f>
        <v>14.85</v>
      </c>
      <c r="F108" s="9" t="n">
        <v>29.99</v>
      </c>
      <c r="G108" s="11" t="n">
        <f aca="false">F108*$B$3+0.2</f>
        <v>7.54755</v>
      </c>
      <c r="H108" s="12" t="n">
        <f aca="false">F108-E108-G108</f>
        <v>7.59245</v>
      </c>
      <c r="I108" s="13" t="n">
        <f aca="false">IF(F108&gt;0,H108/F108,0)</f>
        <v>0.253166055351784</v>
      </c>
      <c r="J108" s="8" t="s">
        <v>17</v>
      </c>
    </row>
    <row r="109" customFormat="false" ht="15" hidden="false" customHeight="false" outlineLevel="0" collapsed="false">
      <c r="A109" s="14" t="s">
        <v>113</v>
      </c>
      <c r="B109" s="15" t="s">
        <v>125</v>
      </c>
      <c r="C109" s="16" t="n">
        <v>7.89</v>
      </c>
      <c r="D109" s="16" t="n">
        <v>7.5</v>
      </c>
      <c r="E109" s="17" t="n">
        <f aca="false">C109+D109</f>
        <v>15.39</v>
      </c>
      <c r="F109" s="16" t="n">
        <v>34.99</v>
      </c>
      <c r="G109" s="18" t="n">
        <f aca="false">F109*$B$3+0.2</f>
        <v>8.77255</v>
      </c>
      <c r="H109" s="19" t="n">
        <f aca="false">F109-E109-G109</f>
        <v>10.82745</v>
      </c>
      <c r="I109" s="20" t="n">
        <f aca="false">IF(F109&gt;0,H109/F109,0)</f>
        <v>0.309444126893398</v>
      </c>
      <c r="J109" s="15" t="s">
        <v>17</v>
      </c>
    </row>
    <row r="110" customFormat="false" ht="15" hidden="false" customHeight="false" outlineLevel="0" collapsed="false">
      <c r="A110" s="7" t="s">
        <v>113</v>
      </c>
      <c r="B110" s="8" t="s">
        <v>126</v>
      </c>
      <c r="C110" s="9" t="n">
        <v>7.99</v>
      </c>
      <c r="D110" s="9" t="n">
        <v>7.5</v>
      </c>
      <c r="E110" s="10" t="n">
        <f aca="false">C110+D110</f>
        <v>15.49</v>
      </c>
      <c r="F110" s="9" t="n">
        <v>34.99</v>
      </c>
      <c r="G110" s="11" t="n">
        <f aca="false">F110*$B$3+0.2</f>
        <v>8.77255</v>
      </c>
      <c r="H110" s="12" t="n">
        <f aca="false">F110-E110-G110</f>
        <v>10.72745</v>
      </c>
      <c r="I110" s="13" t="n">
        <f aca="false">IF(F110&gt;0,H110/F110,0)</f>
        <v>0.306586167476422</v>
      </c>
      <c r="J110" s="8" t="s">
        <v>28</v>
      </c>
    </row>
    <row r="111" customFormat="false" ht="15" hidden="false" customHeight="false" outlineLevel="0" collapsed="false">
      <c r="A111" s="14" t="s">
        <v>113</v>
      </c>
      <c r="B111" s="15" t="s">
        <v>127</v>
      </c>
      <c r="C111" s="16" t="n">
        <v>7.99</v>
      </c>
      <c r="D111" s="16" t="n">
        <v>7.5</v>
      </c>
      <c r="E111" s="17" t="n">
        <f aca="false">C111+D111</f>
        <v>15.49</v>
      </c>
      <c r="F111" s="16" t="n">
        <v>34.99</v>
      </c>
      <c r="G111" s="18" t="n">
        <f aca="false">F111*$B$3+0.2</f>
        <v>8.77255</v>
      </c>
      <c r="H111" s="19" t="n">
        <f aca="false">F111-E111-G111</f>
        <v>10.72745</v>
      </c>
      <c r="I111" s="20" t="n">
        <f aca="false">IF(F111&gt;0,H111/F111,0)</f>
        <v>0.306586167476422</v>
      </c>
      <c r="J111" s="15" t="s">
        <v>28</v>
      </c>
    </row>
    <row r="112" customFormat="false" ht="15" hidden="false" customHeight="false" outlineLevel="0" collapsed="false">
      <c r="A112" s="7" t="s">
        <v>113</v>
      </c>
      <c r="B112" s="8" t="s">
        <v>128</v>
      </c>
      <c r="C112" s="9" t="n">
        <v>8.09</v>
      </c>
      <c r="D112" s="9" t="n">
        <v>7.5</v>
      </c>
      <c r="E112" s="10" t="n">
        <f aca="false">C112+D112</f>
        <v>15.59</v>
      </c>
      <c r="F112" s="9" t="n">
        <v>34.99</v>
      </c>
      <c r="G112" s="11" t="n">
        <f aca="false">F112*$B$3+0.2</f>
        <v>8.77255</v>
      </c>
      <c r="H112" s="12" t="n">
        <f aca="false">F112-E112-G112</f>
        <v>10.62745</v>
      </c>
      <c r="I112" s="13" t="n">
        <f aca="false">IF(F112&gt;0,H112/F112,0)</f>
        <v>0.303728208059446</v>
      </c>
      <c r="J112" s="8" t="s">
        <v>28</v>
      </c>
    </row>
    <row r="113" customFormat="false" ht="15" hidden="false" customHeight="false" outlineLevel="0" collapsed="false">
      <c r="A113" s="14" t="s">
        <v>113</v>
      </c>
      <c r="B113" s="15" t="s">
        <v>129</v>
      </c>
      <c r="C113" s="16" t="n">
        <v>8.29</v>
      </c>
      <c r="D113" s="16" t="n">
        <v>7.5</v>
      </c>
      <c r="E113" s="17" t="n">
        <f aca="false">C113+D113</f>
        <v>15.79</v>
      </c>
      <c r="F113" s="16" t="n">
        <v>34.99</v>
      </c>
      <c r="G113" s="18" t="n">
        <f aca="false">F113*$B$3+0.2</f>
        <v>8.77255</v>
      </c>
      <c r="H113" s="19" t="n">
        <f aca="false">F113-E113-G113</f>
        <v>10.42745</v>
      </c>
      <c r="I113" s="20" t="n">
        <f aca="false">IF(F113&gt;0,H113/F113,0)</f>
        <v>0.298012289225493</v>
      </c>
      <c r="J113" s="15" t="s">
        <v>36</v>
      </c>
    </row>
    <row r="114" customFormat="false" ht="15" hidden="false" customHeight="false" outlineLevel="0" collapsed="false">
      <c r="A114" s="7" t="s">
        <v>113</v>
      </c>
      <c r="B114" s="8" t="s">
        <v>130</v>
      </c>
      <c r="C114" s="9" t="n">
        <v>8.49</v>
      </c>
      <c r="D114" s="9" t="n">
        <v>8</v>
      </c>
      <c r="E114" s="10" t="n">
        <f aca="false">C114+D114</f>
        <v>16.49</v>
      </c>
      <c r="F114" s="9" t="n">
        <v>39.99</v>
      </c>
      <c r="G114" s="11" t="n">
        <f aca="false">F114*$B$3+0.2</f>
        <v>9.99755</v>
      </c>
      <c r="H114" s="12" t="n">
        <f aca="false">F114-E114-G114</f>
        <v>13.50245</v>
      </c>
      <c r="I114" s="13" t="n">
        <f aca="false">IF(F114&gt;0,H114/F114,0)</f>
        <v>0.337645661415354</v>
      </c>
      <c r="J114" s="8" t="s">
        <v>17</v>
      </c>
    </row>
    <row r="115" customFormat="false" ht="15" hidden="false" customHeight="false" outlineLevel="0" collapsed="false">
      <c r="A115" s="14" t="s">
        <v>113</v>
      </c>
      <c r="B115" s="15" t="s">
        <v>131</v>
      </c>
      <c r="C115" s="16" t="n">
        <v>8.49</v>
      </c>
      <c r="D115" s="16" t="n">
        <v>7.5</v>
      </c>
      <c r="E115" s="17" t="n">
        <f aca="false">C115+D115</f>
        <v>15.99</v>
      </c>
      <c r="F115" s="16" t="n">
        <v>34.99</v>
      </c>
      <c r="G115" s="18" t="n">
        <f aca="false">F115*$B$3+0.2</f>
        <v>8.77255</v>
      </c>
      <c r="H115" s="19" t="n">
        <f aca="false">F115-E115-G115</f>
        <v>10.22745</v>
      </c>
      <c r="I115" s="20" t="n">
        <f aca="false">IF(F115&gt;0,H115/F115,0)</f>
        <v>0.29229637039154</v>
      </c>
      <c r="J115" s="15" t="s">
        <v>17</v>
      </c>
    </row>
    <row r="116" customFormat="false" ht="15" hidden="false" customHeight="false" outlineLevel="0" collapsed="false">
      <c r="A116" s="7" t="s">
        <v>113</v>
      </c>
      <c r="B116" s="8" t="s">
        <v>132</v>
      </c>
      <c r="C116" s="9" t="n">
        <v>8.59</v>
      </c>
      <c r="D116" s="9" t="n">
        <v>7.5</v>
      </c>
      <c r="E116" s="10" t="n">
        <f aca="false">C116+D116</f>
        <v>16.09</v>
      </c>
      <c r="F116" s="9" t="n">
        <v>34.99</v>
      </c>
      <c r="G116" s="11" t="n">
        <f aca="false">F116*$B$3+0.2</f>
        <v>8.77255</v>
      </c>
      <c r="H116" s="12" t="n">
        <f aca="false">F116-E116-G116</f>
        <v>10.12745</v>
      </c>
      <c r="I116" s="13" t="n">
        <f aca="false">IF(F116&gt;0,H116/F116,0)</f>
        <v>0.289438410974564</v>
      </c>
      <c r="J116" s="8" t="s">
        <v>28</v>
      </c>
    </row>
    <row r="117" customFormat="false" ht="15" hidden="false" customHeight="false" outlineLevel="0" collapsed="false">
      <c r="A117" s="14" t="s">
        <v>113</v>
      </c>
      <c r="B117" s="15" t="s">
        <v>133</v>
      </c>
      <c r="C117" s="16" t="n">
        <v>8.61</v>
      </c>
      <c r="D117" s="16" t="n">
        <v>8</v>
      </c>
      <c r="E117" s="17" t="n">
        <f aca="false">C117+D117</f>
        <v>16.61</v>
      </c>
      <c r="F117" s="16" t="n">
        <v>39.99</v>
      </c>
      <c r="G117" s="18" t="n">
        <f aca="false">F117*$B$3+0.2</f>
        <v>9.99755</v>
      </c>
      <c r="H117" s="19" t="n">
        <f aca="false">F117-E117-G117</f>
        <v>13.38245</v>
      </c>
      <c r="I117" s="20" t="n">
        <f aca="false">IF(F117&gt;0,H117/F117,0)</f>
        <v>0.334644911227807</v>
      </c>
      <c r="J117" s="15" t="s">
        <v>36</v>
      </c>
    </row>
    <row r="118" customFormat="false" ht="15" hidden="false" customHeight="false" outlineLevel="0" collapsed="false">
      <c r="A118" s="7" t="s">
        <v>113</v>
      </c>
      <c r="B118" s="8" t="s">
        <v>134</v>
      </c>
      <c r="C118" s="9" t="n">
        <v>8.69</v>
      </c>
      <c r="D118" s="9" t="n">
        <v>8</v>
      </c>
      <c r="E118" s="10" t="n">
        <f aca="false">C118+D118</f>
        <v>16.69</v>
      </c>
      <c r="F118" s="9" t="n">
        <v>39.99</v>
      </c>
      <c r="G118" s="11" t="n">
        <f aca="false">F118*$B$3+0.2</f>
        <v>9.99755</v>
      </c>
      <c r="H118" s="12" t="n">
        <f aca="false">F118-E118-G118</f>
        <v>13.30245</v>
      </c>
      <c r="I118" s="13" t="n">
        <f aca="false">IF(F118&gt;0,H118/F118,0)</f>
        <v>0.332644411102776</v>
      </c>
      <c r="J118" s="8" t="s">
        <v>17</v>
      </c>
    </row>
    <row r="119" customFormat="false" ht="15" hidden="false" customHeight="false" outlineLevel="0" collapsed="false">
      <c r="A119" s="14" t="s">
        <v>113</v>
      </c>
      <c r="B119" s="15" t="s">
        <v>135</v>
      </c>
      <c r="C119" s="16" t="n">
        <v>8.79</v>
      </c>
      <c r="D119" s="16" t="n">
        <v>7.5</v>
      </c>
      <c r="E119" s="17" t="n">
        <f aca="false">C119+D119</f>
        <v>16.29</v>
      </c>
      <c r="F119" s="16" t="n">
        <v>34.99</v>
      </c>
      <c r="G119" s="18" t="n">
        <f aca="false">F119*$B$3+0.2</f>
        <v>8.77255</v>
      </c>
      <c r="H119" s="19" t="n">
        <f aca="false">F119-E119-G119</f>
        <v>9.92745</v>
      </c>
      <c r="I119" s="20" t="n">
        <f aca="false">IF(F119&gt;0,H119/F119,0)</f>
        <v>0.283722492140612</v>
      </c>
      <c r="J119" s="15" t="s">
        <v>17</v>
      </c>
    </row>
    <row r="120" customFormat="false" ht="15" hidden="false" customHeight="false" outlineLevel="0" collapsed="false">
      <c r="A120" s="7" t="s">
        <v>113</v>
      </c>
      <c r="B120" s="8" t="s">
        <v>136</v>
      </c>
      <c r="C120" s="9" t="n">
        <v>8.89</v>
      </c>
      <c r="D120" s="9" t="n">
        <v>7.5</v>
      </c>
      <c r="E120" s="10" t="n">
        <f aca="false">C120+D120</f>
        <v>16.39</v>
      </c>
      <c r="F120" s="9" t="n">
        <v>34.99</v>
      </c>
      <c r="G120" s="11" t="n">
        <f aca="false">F120*$B$3+0.2</f>
        <v>8.77255</v>
      </c>
      <c r="H120" s="12" t="n">
        <f aca="false">F120-E120-G120</f>
        <v>9.82745</v>
      </c>
      <c r="I120" s="13" t="n">
        <f aca="false">IF(F120&gt;0,H120/F120,0)</f>
        <v>0.280864532723635</v>
      </c>
      <c r="J120" s="8" t="s">
        <v>36</v>
      </c>
    </row>
    <row r="121" customFormat="false" ht="15" hidden="false" customHeight="false" outlineLevel="0" collapsed="false">
      <c r="A121" s="14" t="s">
        <v>113</v>
      </c>
      <c r="B121" s="15" t="s">
        <v>137</v>
      </c>
      <c r="C121" s="16" t="n">
        <v>8.89</v>
      </c>
      <c r="D121" s="16" t="n">
        <v>7.5</v>
      </c>
      <c r="E121" s="17" t="n">
        <f aca="false">C121+D121</f>
        <v>16.39</v>
      </c>
      <c r="F121" s="16" t="n">
        <v>34.99</v>
      </c>
      <c r="G121" s="18" t="n">
        <f aca="false">F121*$B$3+0.2</f>
        <v>8.77255</v>
      </c>
      <c r="H121" s="19" t="n">
        <f aca="false">F121-E121-G121</f>
        <v>9.82745</v>
      </c>
      <c r="I121" s="20" t="n">
        <f aca="false">IF(F121&gt;0,H121/F121,0)</f>
        <v>0.280864532723635</v>
      </c>
      <c r="J121" s="15" t="s">
        <v>17</v>
      </c>
    </row>
    <row r="122" customFormat="false" ht="15" hidden="false" customHeight="false" outlineLevel="0" collapsed="false">
      <c r="A122" s="7" t="s">
        <v>113</v>
      </c>
      <c r="B122" s="8" t="s">
        <v>138</v>
      </c>
      <c r="C122" s="9" t="n">
        <v>8.89</v>
      </c>
      <c r="D122" s="9" t="n">
        <v>7.5</v>
      </c>
      <c r="E122" s="10" t="n">
        <f aca="false">C122+D122</f>
        <v>16.39</v>
      </c>
      <c r="F122" s="9" t="n">
        <v>34.99</v>
      </c>
      <c r="G122" s="11" t="n">
        <f aca="false">F122*$B$3+0.2</f>
        <v>8.77255</v>
      </c>
      <c r="H122" s="12" t="n">
        <f aca="false">F122-E122-G122</f>
        <v>9.82745</v>
      </c>
      <c r="I122" s="13" t="n">
        <f aca="false">IF(F122&gt;0,H122/F122,0)</f>
        <v>0.280864532723635</v>
      </c>
      <c r="J122" s="8" t="s">
        <v>17</v>
      </c>
    </row>
    <row r="123" customFormat="false" ht="15" hidden="false" customHeight="false" outlineLevel="0" collapsed="false">
      <c r="A123" s="14" t="s">
        <v>113</v>
      </c>
      <c r="B123" s="15" t="s">
        <v>139</v>
      </c>
      <c r="C123" s="16" t="n">
        <v>9.09</v>
      </c>
      <c r="D123" s="16" t="n">
        <v>7.5</v>
      </c>
      <c r="E123" s="17" t="n">
        <f aca="false">C123+D123</f>
        <v>16.59</v>
      </c>
      <c r="F123" s="16" t="n">
        <v>34.99</v>
      </c>
      <c r="G123" s="18" t="n">
        <f aca="false">F123*$B$3+0.2</f>
        <v>8.77255</v>
      </c>
      <c r="H123" s="19" t="n">
        <f aca="false">F123-E123-G123</f>
        <v>9.62745</v>
      </c>
      <c r="I123" s="20" t="n">
        <f aca="false">IF(F123&gt;0,H123/F123,0)</f>
        <v>0.275148613889683</v>
      </c>
      <c r="J123" s="15" t="s">
        <v>17</v>
      </c>
    </row>
    <row r="124" customFormat="false" ht="15" hidden="false" customHeight="false" outlineLevel="0" collapsed="false">
      <c r="A124" s="7" t="s">
        <v>113</v>
      </c>
      <c r="B124" s="8" t="s">
        <v>140</v>
      </c>
      <c r="C124" s="9" t="n">
        <v>9.29</v>
      </c>
      <c r="D124" s="9" t="n">
        <v>8</v>
      </c>
      <c r="E124" s="10" t="n">
        <f aca="false">C124+D124</f>
        <v>17.29</v>
      </c>
      <c r="F124" s="9" t="n">
        <v>34.99</v>
      </c>
      <c r="G124" s="11" t="n">
        <f aca="false">F124*$B$3+0.2</f>
        <v>8.77255</v>
      </c>
      <c r="H124" s="12" t="n">
        <f aca="false">F124-E124-G124</f>
        <v>8.92745</v>
      </c>
      <c r="I124" s="13" t="n">
        <f aca="false">IF(F124&gt;0,H124/F124,0)</f>
        <v>0.255142897970849</v>
      </c>
      <c r="J124" s="8" t="s">
        <v>17</v>
      </c>
    </row>
    <row r="125" customFormat="false" ht="15" hidden="false" customHeight="false" outlineLevel="0" collapsed="false">
      <c r="A125" s="14" t="s">
        <v>113</v>
      </c>
      <c r="B125" s="15" t="s">
        <v>141</v>
      </c>
      <c r="C125" s="16" t="n">
        <v>9.76</v>
      </c>
      <c r="D125" s="16" t="n">
        <v>7.5</v>
      </c>
      <c r="E125" s="17" t="n">
        <f aca="false">C125+D125</f>
        <v>17.26</v>
      </c>
      <c r="F125" s="16" t="n">
        <v>34.99</v>
      </c>
      <c r="G125" s="18" t="n">
        <f aca="false">F125*$B$3+0.2</f>
        <v>8.77255</v>
      </c>
      <c r="H125" s="19" t="n">
        <f aca="false">F125-E125-G125</f>
        <v>8.95745000000001</v>
      </c>
      <c r="I125" s="20" t="n">
        <f aca="false">IF(F125&gt;0,H125/F125,0)</f>
        <v>0.256000285795942</v>
      </c>
      <c r="J125" s="15" t="s">
        <v>17</v>
      </c>
    </row>
    <row r="126" customFormat="false" ht="15" hidden="false" customHeight="false" outlineLevel="0" collapsed="false">
      <c r="A126" s="7" t="s">
        <v>113</v>
      </c>
      <c r="B126" s="8" t="s">
        <v>142</v>
      </c>
      <c r="C126" s="9" t="n">
        <v>9.79</v>
      </c>
      <c r="D126" s="9" t="n">
        <v>7.5</v>
      </c>
      <c r="E126" s="10" t="n">
        <f aca="false">C126+D126</f>
        <v>17.29</v>
      </c>
      <c r="F126" s="9" t="n">
        <v>34.99</v>
      </c>
      <c r="G126" s="11" t="n">
        <f aca="false">F126*$B$3+0.2</f>
        <v>8.77255</v>
      </c>
      <c r="H126" s="12" t="n">
        <f aca="false">F126-E126-G126</f>
        <v>8.92745</v>
      </c>
      <c r="I126" s="13" t="n">
        <f aca="false">IF(F126&gt;0,H126/F126,0)</f>
        <v>0.255142897970849</v>
      </c>
      <c r="J126" s="8" t="s">
        <v>17</v>
      </c>
    </row>
    <row r="127" customFormat="false" ht="15" hidden="false" customHeight="false" outlineLevel="0" collapsed="false">
      <c r="A127" s="14" t="s">
        <v>113</v>
      </c>
      <c r="B127" s="15" t="s">
        <v>143</v>
      </c>
      <c r="C127" s="16" t="n">
        <v>9.79</v>
      </c>
      <c r="D127" s="16" t="n">
        <v>8</v>
      </c>
      <c r="E127" s="17" t="n">
        <f aca="false">C127+D127</f>
        <v>17.79</v>
      </c>
      <c r="F127" s="16" t="n">
        <v>34.99</v>
      </c>
      <c r="G127" s="18" t="n">
        <f aca="false">F127*$B$3+0.2</f>
        <v>8.77255</v>
      </c>
      <c r="H127" s="19" t="n">
        <f aca="false">F127-E127-G127</f>
        <v>8.42745</v>
      </c>
      <c r="I127" s="20" t="n">
        <f aca="false">IF(F127&gt;0,H127/F127,0)</f>
        <v>0.240853100885968</v>
      </c>
      <c r="J127" s="15" t="s">
        <v>17</v>
      </c>
    </row>
    <row r="128" customFormat="false" ht="15" hidden="false" customHeight="false" outlineLevel="0" collapsed="false">
      <c r="A128" s="7" t="s">
        <v>113</v>
      </c>
      <c r="B128" s="8" t="s">
        <v>144</v>
      </c>
      <c r="C128" s="9" t="n">
        <v>9.89</v>
      </c>
      <c r="D128" s="9" t="n">
        <v>8</v>
      </c>
      <c r="E128" s="10" t="n">
        <f aca="false">C128+D128</f>
        <v>17.89</v>
      </c>
      <c r="F128" s="9" t="n">
        <v>39.99</v>
      </c>
      <c r="G128" s="11" t="n">
        <f aca="false">F128*$B$3+0.2</f>
        <v>9.99755</v>
      </c>
      <c r="H128" s="12" t="n">
        <f aca="false">F128-E128-G128</f>
        <v>12.10245</v>
      </c>
      <c r="I128" s="13" t="n">
        <f aca="false">IF(F128&gt;0,H128/F128,0)</f>
        <v>0.302636909227307</v>
      </c>
      <c r="J128" s="8" t="s">
        <v>17</v>
      </c>
    </row>
    <row r="129" customFormat="false" ht="15" hidden="false" customHeight="false" outlineLevel="0" collapsed="false">
      <c r="A129" s="14" t="s">
        <v>113</v>
      </c>
      <c r="B129" s="15" t="s">
        <v>145</v>
      </c>
      <c r="C129" s="16" t="n">
        <v>9.89</v>
      </c>
      <c r="D129" s="16" t="n">
        <v>8.5</v>
      </c>
      <c r="E129" s="17" t="n">
        <f aca="false">C129+D129</f>
        <v>18.39</v>
      </c>
      <c r="F129" s="16" t="n">
        <v>39.99</v>
      </c>
      <c r="G129" s="18" t="n">
        <f aca="false">F129*$B$3+0.2</f>
        <v>9.99755</v>
      </c>
      <c r="H129" s="19" t="n">
        <f aca="false">F129-E129-G129</f>
        <v>11.60245</v>
      </c>
      <c r="I129" s="20" t="n">
        <f aca="false">IF(F129&gt;0,H129/F129,0)</f>
        <v>0.290133783445862</v>
      </c>
      <c r="J129" s="15" t="s">
        <v>36</v>
      </c>
    </row>
    <row r="130" customFormat="false" ht="15" hidden="false" customHeight="false" outlineLevel="0" collapsed="false">
      <c r="A130" s="7" t="s">
        <v>113</v>
      </c>
      <c r="B130" s="8" t="s">
        <v>146</v>
      </c>
      <c r="C130" s="9" t="n">
        <v>9.89</v>
      </c>
      <c r="D130" s="9" t="n">
        <v>8</v>
      </c>
      <c r="E130" s="10" t="n">
        <f aca="false">C130+D130</f>
        <v>17.89</v>
      </c>
      <c r="F130" s="9" t="n">
        <v>39.99</v>
      </c>
      <c r="G130" s="11" t="n">
        <f aca="false">F130*$B$3+0.2</f>
        <v>9.99755</v>
      </c>
      <c r="H130" s="12" t="n">
        <f aca="false">F130-E130-G130</f>
        <v>12.10245</v>
      </c>
      <c r="I130" s="13" t="n">
        <f aca="false">IF(F130&gt;0,H130/F130,0)</f>
        <v>0.302636909227307</v>
      </c>
      <c r="J130" s="8" t="s">
        <v>17</v>
      </c>
    </row>
    <row r="131" customFormat="false" ht="15" hidden="false" customHeight="false" outlineLevel="0" collapsed="false">
      <c r="A131" s="14" t="s">
        <v>113</v>
      </c>
      <c r="B131" s="15" t="s">
        <v>147</v>
      </c>
      <c r="C131" s="16" t="n">
        <v>9.99</v>
      </c>
      <c r="D131" s="16" t="n">
        <v>8</v>
      </c>
      <c r="E131" s="17" t="n">
        <f aca="false">C131+D131</f>
        <v>17.99</v>
      </c>
      <c r="F131" s="16" t="n">
        <v>34.99</v>
      </c>
      <c r="G131" s="18" t="n">
        <f aca="false">F131*$B$3+0.2</f>
        <v>8.77255</v>
      </c>
      <c r="H131" s="19" t="n">
        <f aca="false">F131-E131-G131</f>
        <v>8.22745</v>
      </c>
      <c r="I131" s="20" t="n">
        <f aca="false">IF(F131&gt;0,H131/F131,0)</f>
        <v>0.235137182052015</v>
      </c>
      <c r="J131" s="15" t="s">
        <v>17</v>
      </c>
    </row>
    <row r="132" customFormat="false" ht="15" hidden="false" customHeight="false" outlineLevel="0" collapsed="false">
      <c r="A132" s="7" t="s">
        <v>113</v>
      </c>
      <c r="B132" s="8" t="s">
        <v>148</v>
      </c>
      <c r="C132" s="9" t="n">
        <v>9.99</v>
      </c>
      <c r="D132" s="9" t="n">
        <v>8</v>
      </c>
      <c r="E132" s="10" t="n">
        <f aca="false">C132+D132</f>
        <v>17.99</v>
      </c>
      <c r="F132" s="9" t="n">
        <v>39.99</v>
      </c>
      <c r="G132" s="11" t="n">
        <f aca="false">F132*$B$3+0.2</f>
        <v>9.99755</v>
      </c>
      <c r="H132" s="12" t="n">
        <f aca="false">F132-E132-G132</f>
        <v>12.00245</v>
      </c>
      <c r="I132" s="13" t="n">
        <f aca="false">IF(F132&gt;0,H132/F132,0)</f>
        <v>0.300136284071018</v>
      </c>
      <c r="J132" s="8" t="s">
        <v>17</v>
      </c>
    </row>
    <row r="133" customFormat="false" ht="15" hidden="false" customHeight="false" outlineLevel="0" collapsed="false">
      <c r="A133" s="14" t="s">
        <v>113</v>
      </c>
      <c r="B133" s="15" t="s">
        <v>149</v>
      </c>
      <c r="C133" s="16" t="n">
        <v>10.09</v>
      </c>
      <c r="D133" s="16" t="n">
        <v>7.5</v>
      </c>
      <c r="E133" s="17" t="n">
        <f aca="false">C133+D133</f>
        <v>17.59</v>
      </c>
      <c r="F133" s="16" t="n">
        <v>34.99</v>
      </c>
      <c r="G133" s="18" t="n">
        <f aca="false">F133*$B$3+0.2</f>
        <v>8.77255</v>
      </c>
      <c r="H133" s="19" t="n">
        <f aca="false">F133-E133-G133</f>
        <v>8.62745</v>
      </c>
      <c r="I133" s="20" t="n">
        <f aca="false">IF(F133&gt;0,H133/F133,0)</f>
        <v>0.24656901971992</v>
      </c>
      <c r="J133" s="15" t="s">
        <v>17</v>
      </c>
    </row>
    <row r="134" customFormat="false" ht="15" hidden="false" customHeight="false" outlineLevel="0" collapsed="false">
      <c r="A134" s="7" t="s">
        <v>113</v>
      </c>
      <c r="B134" s="8" t="s">
        <v>150</v>
      </c>
      <c r="C134" s="9" t="n">
        <v>10.09</v>
      </c>
      <c r="D134" s="9" t="n">
        <v>8</v>
      </c>
      <c r="E134" s="10" t="n">
        <f aca="false">C134+D134</f>
        <v>18.09</v>
      </c>
      <c r="F134" s="9" t="n">
        <v>39.99</v>
      </c>
      <c r="G134" s="11" t="n">
        <f aca="false">F134*$B$3+0.2</f>
        <v>9.99755</v>
      </c>
      <c r="H134" s="12" t="n">
        <f aca="false">F134-E134-G134</f>
        <v>11.90245</v>
      </c>
      <c r="I134" s="13" t="n">
        <f aca="false">IF(F134&gt;0,H134/F134,0)</f>
        <v>0.297635658914729</v>
      </c>
      <c r="J134" s="8" t="s">
        <v>17</v>
      </c>
    </row>
    <row r="135" customFormat="false" ht="15" hidden="false" customHeight="false" outlineLevel="0" collapsed="false">
      <c r="A135" s="14" t="s">
        <v>113</v>
      </c>
      <c r="B135" s="15" t="s">
        <v>151</v>
      </c>
      <c r="C135" s="16" t="n">
        <v>10.59</v>
      </c>
      <c r="D135" s="16" t="n">
        <v>8</v>
      </c>
      <c r="E135" s="17" t="n">
        <f aca="false">C135+D135</f>
        <v>18.59</v>
      </c>
      <c r="F135" s="16" t="n">
        <v>39.99</v>
      </c>
      <c r="G135" s="18" t="n">
        <f aca="false">F135*$B$3+0.2</f>
        <v>9.99755</v>
      </c>
      <c r="H135" s="19" t="n">
        <f aca="false">F135-E135-G135</f>
        <v>11.40245</v>
      </c>
      <c r="I135" s="20" t="n">
        <f aca="false">IF(F135&gt;0,H135/F135,0)</f>
        <v>0.285132533133283</v>
      </c>
      <c r="J135" s="15" t="s">
        <v>36</v>
      </c>
    </row>
    <row r="136" customFormat="false" ht="15" hidden="false" customHeight="false" outlineLevel="0" collapsed="false">
      <c r="A136" s="7" t="s">
        <v>113</v>
      </c>
      <c r="B136" s="8" t="s">
        <v>152</v>
      </c>
      <c r="C136" s="9" t="n">
        <v>10.59</v>
      </c>
      <c r="D136" s="9" t="n">
        <v>8</v>
      </c>
      <c r="E136" s="10" t="n">
        <f aca="false">C136+D136</f>
        <v>18.59</v>
      </c>
      <c r="F136" s="9" t="n">
        <v>39.99</v>
      </c>
      <c r="G136" s="11" t="n">
        <f aca="false">F136*$B$3+0.2</f>
        <v>9.99755</v>
      </c>
      <c r="H136" s="12" t="n">
        <f aca="false">F136-E136-G136</f>
        <v>11.40245</v>
      </c>
      <c r="I136" s="13" t="n">
        <f aca="false">IF(F136&gt;0,H136/F136,0)</f>
        <v>0.285132533133283</v>
      </c>
      <c r="J136" s="8" t="s">
        <v>36</v>
      </c>
    </row>
    <row r="137" customFormat="false" ht="15" hidden="false" customHeight="false" outlineLevel="0" collapsed="false">
      <c r="A137" s="14" t="s">
        <v>113</v>
      </c>
      <c r="B137" s="15" t="s">
        <v>153</v>
      </c>
      <c r="C137" s="16" t="n">
        <v>10.77</v>
      </c>
      <c r="D137" s="16" t="n">
        <v>8</v>
      </c>
      <c r="E137" s="17" t="n">
        <f aca="false">C137+D137</f>
        <v>18.77</v>
      </c>
      <c r="F137" s="16" t="n">
        <v>39.99</v>
      </c>
      <c r="G137" s="18" t="n">
        <f aca="false">F137*$B$3+0.2</f>
        <v>9.99755</v>
      </c>
      <c r="H137" s="19" t="n">
        <f aca="false">F137-E137-G137</f>
        <v>11.22245</v>
      </c>
      <c r="I137" s="20" t="n">
        <f aca="false">IF(F137&gt;0,H137/F137,0)</f>
        <v>0.280631407851963</v>
      </c>
      <c r="J137" s="15" t="s">
        <v>36</v>
      </c>
    </row>
    <row r="138" customFormat="false" ht="15" hidden="false" customHeight="false" outlineLevel="0" collapsed="false">
      <c r="A138" s="7" t="s">
        <v>113</v>
      </c>
      <c r="B138" s="8" t="s">
        <v>154</v>
      </c>
      <c r="C138" s="9" t="n">
        <v>10.99</v>
      </c>
      <c r="D138" s="9" t="n">
        <v>8.5</v>
      </c>
      <c r="E138" s="10" t="n">
        <f aca="false">C138+D138</f>
        <v>19.49</v>
      </c>
      <c r="F138" s="9" t="n">
        <v>39.99</v>
      </c>
      <c r="G138" s="11" t="n">
        <f aca="false">F138*$B$3+0.2</f>
        <v>9.99755</v>
      </c>
      <c r="H138" s="12" t="n">
        <f aca="false">F138-E138-G138</f>
        <v>10.50245</v>
      </c>
      <c r="I138" s="13" t="n">
        <f aca="false">IF(F138&gt;0,H138/F138,0)</f>
        <v>0.262626906726682</v>
      </c>
      <c r="J138" s="8" t="s">
        <v>36</v>
      </c>
    </row>
    <row r="139" customFormat="false" ht="15" hidden="false" customHeight="false" outlineLevel="0" collapsed="false">
      <c r="A139" s="14" t="s">
        <v>113</v>
      </c>
      <c r="B139" s="15" t="s">
        <v>155</v>
      </c>
      <c r="C139" s="16" t="n">
        <v>10.99</v>
      </c>
      <c r="D139" s="16" t="n">
        <v>8.5</v>
      </c>
      <c r="E139" s="17" t="n">
        <f aca="false">C139+D139</f>
        <v>19.49</v>
      </c>
      <c r="F139" s="16" t="n">
        <v>44.99</v>
      </c>
      <c r="G139" s="18" t="n">
        <f aca="false">F139*$B$3+0.2</f>
        <v>11.22255</v>
      </c>
      <c r="H139" s="19" t="n">
        <f aca="false">F139-E139-G139</f>
        <v>14.27745</v>
      </c>
      <c r="I139" s="20" t="n">
        <f aca="false">IF(F139&gt;0,H139/F139,0)</f>
        <v>0.317347188264059</v>
      </c>
      <c r="J139" s="15" t="s">
        <v>36</v>
      </c>
    </row>
    <row r="140" customFormat="false" ht="15" hidden="false" customHeight="false" outlineLevel="0" collapsed="false">
      <c r="A140" s="7" t="s">
        <v>113</v>
      </c>
      <c r="B140" s="8" t="s">
        <v>156</v>
      </c>
      <c r="C140" s="9" t="n">
        <v>10.89</v>
      </c>
      <c r="D140" s="9" t="n">
        <v>8.5</v>
      </c>
      <c r="E140" s="10" t="n">
        <f aca="false">C140+D140</f>
        <v>19.39</v>
      </c>
      <c r="F140" s="9" t="n">
        <v>44.99</v>
      </c>
      <c r="G140" s="11" t="n">
        <f aca="false">F140*$B$3+0.2</f>
        <v>11.22255</v>
      </c>
      <c r="H140" s="12" t="n">
        <f aca="false">F140-E140-G140</f>
        <v>14.37745</v>
      </c>
      <c r="I140" s="13" t="n">
        <f aca="false">IF(F140&gt;0,H140/F140,0)</f>
        <v>0.319569904423205</v>
      </c>
      <c r="J140" s="8" t="s">
        <v>36</v>
      </c>
    </row>
    <row r="141" customFormat="false" ht="15" hidden="false" customHeight="false" outlineLevel="0" collapsed="false">
      <c r="A141" s="14" t="s">
        <v>113</v>
      </c>
      <c r="B141" s="15" t="s">
        <v>157</v>
      </c>
      <c r="C141" s="16" t="n">
        <v>11.19</v>
      </c>
      <c r="D141" s="16" t="n">
        <v>8.5</v>
      </c>
      <c r="E141" s="17" t="n">
        <f aca="false">C141+D141</f>
        <v>19.69</v>
      </c>
      <c r="F141" s="16" t="n">
        <v>39.99</v>
      </c>
      <c r="G141" s="18" t="n">
        <f aca="false">F141*$B$3+0.2</f>
        <v>9.99755</v>
      </c>
      <c r="H141" s="19" t="n">
        <f aca="false">F141-E141-G141</f>
        <v>10.30245</v>
      </c>
      <c r="I141" s="20" t="n">
        <f aca="false">IF(F141&gt;0,H141/F141,0)</f>
        <v>0.257625656414104</v>
      </c>
      <c r="J141" s="15" t="s">
        <v>17</v>
      </c>
    </row>
    <row r="142" customFormat="false" ht="15" hidden="false" customHeight="false" outlineLevel="0" collapsed="false">
      <c r="A142" s="7" t="s">
        <v>113</v>
      </c>
      <c r="B142" s="8" t="s">
        <v>158</v>
      </c>
      <c r="C142" s="9" t="n">
        <v>11.19</v>
      </c>
      <c r="D142" s="9" t="n">
        <v>8.5</v>
      </c>
      <c r="E142" s="10" t="n">
        <f aca="false">C142+D142</f>
        <v>19.69</v>
      </c>
      <c r="F142" s="9" t="n">
        <v>39.99</v>
      </c>
      <c r="G142" s="11" t="n">
        <f aca="false">F142*$B$3+0.2</f>
        <v>9.99755</v>
      </c>
      <c r="H142" s="12" t="n">
        <f aca="false">F142-E142-G142</f>
        <v>10.30245</v>
      </c>
      <c r="I142" s="13" t="n">
        <f aca="false">IF(F142&gt;0,H142/F142,0)</f>
        <v>0.257625656414104</v>
      </c>
      <c r="J142" s="8" t="s">
        <v>28</v>
      </c>
    </row>
    <row r="143" customFormat="false" ht="15" hidden="false" customHeight="false" outlineLevel="0" collapsed="false">
      <c r="A143" s="14" t="s">
        <v>113</v>
      </c>
      <c r="B143" s="15" t="s">
        <v>159</v>
      </c>
      <c r="C143" s="16" t="n">
        <v>11.69</v>
      </c>
      <c r="D143" s="16" t="n">
        <v>8.5</v>
      </c>
      <c r="E143" s="17" t="n">
        <f aca="false">C143+D143</f>
        <v>20.19</v>
      </c>
      <c r="F143" s="16" t="n">
        <v>39.99</v>
      </c>
      <c r="G143" s="18" t="n">
        <f aca="false">F143*$B$3+0.2</f>
        <v>9.99755</v>
      </c>
      <c r="H143" s="19" t="n">
        <f aca="false">F143-E143-G143</f>
        <v>9.80245</v>
      </c>
      <c r="I143" s="20" t="n">
        <f aca="false">IF(F143&gt;0,H143/F143,0)</f>
        <v>0.245122530632658</v>
      </c>
      <c r="J143" s="15" t="s">
        <v>28</v>
      </c>
    </row>
    <row r="144" customFormat="false" ht="15" hidden="false" customHeight="false" outlineLevel="0" collapsed="false">
      <c r="A144" s="7" t="s">
        <v>113</v>
      </c>
      <c r="B144" s="8" t="s">
        <v>160</v>
      </c>
      <c r="C144" s="9" t="n">
        <v>11.59</v>
      </c>
      <c r="D144" s="9" t="n">
        <v>8.5</v>
      </c>
      <c r="E144" s="10" t="n">
        <f aca="false">C144+D144</f>
        <v>20.09</v>
      </c>
      <c r="F144" s="9" t="n">
        <v>44.99</v>
      </c>
      <c r="G144" s="11" t="n">
        <f aca="false">F144*$B$3+0.2</f>
        <v>11.22255</v>
      </c>
      <c r="H144" s="12" t="n">
        <f aca="false">F144-E144-G144</f>
        <v>13.67745</v>
      </c>
      <c r="I144" s="13" t="n">
        <f aca="false">IF(F144&gt;0,H144/F144,0)</f>
        <v>0.30401089130918</v>
      </c>
      <c r="J144" s="8" t="s">
        <v>28</v>
      </c>
    </row>
    <row r="145" customFormat="false" ht="15" hidden="false" customHeight="false" outlineLevel="0" collapsed="false">
      <c r="A145" s="14" t="s">
        <v>113</v>
      </c>
      <c r="B145" s="15" t="s">
        <v>161</v>
      </c>
      <c r="C145" s="16" t="n">
        <v>6.4</v>
      </c>
      <c r="D145" s="16" t="n">
        <v>7.5</v>
      </c>
      <c r="E145" s="17" t="n">
        <f aca="false">C145+D145</f>
        <v>13.9</v>
      </c>
      <c r="F145" s="16" t="n">
        <v>29.99</v>
      </c>
      <c r="G145" s="18" t="n">
        <f aca="false">F145*$B$3+0.2</f>
        <v>7.54755</v>
      </c>
      <c r="H145" s="19" t="n">
        <f aca="false">F145-E145-G145</f>
        <v>8.54245</v>
      </c>
      <c r="I145" s="20" t="n">
        <f aca="false">IF(F145&gt;0,H145/F145,0)</f>
        <v>0.284843281093698</v>
      </c>
      <c r="J145" s="15" t="s">
        <v>17</v>
      </c>
    </row>
    <row r="146" customFormat="false" ht="15" hidden="false" customHeight="false" outlineLevel="0" collapsed="false">
      <c r="A146" s="7" t="s">
        <v>113</v>
      </c>
      <c r="B146" s="8" t="s">
        <v>162</v>
      </c>
      <c r="C146" s="9" t="n">
        <v>12.79</v>
      </c>
      <c r="D146" s="9" t="n">
        <v>9.5</v>
      </c>
      <c r="E146" s="10" t="n">
        <f aca="false">C146+D146</f>
        <v>22.29</v>
      </c>
      <c r="F146" s="9" t="n">
        <v>49.99</v>
      </c>
      <c r="G146" s="11" t="n">
        <f aca="false">F146*$B$3+0.2</f>
        <v>12.44755</v>
      </c>
      <c r="H146" s="12" t="n">
        <f aca="false">F146-E146-G146</f>
        <v>15.25245</v>
      </c>
      <c r="I146" s="13" t="n">
        <f aca="false">IF(F146&gt;0,H146/F146,0)</f>
        <v>0.305110022004401</v>
      </c>
      <c r="J146" s="8" t="s">
        <v>36</v>
      </c>
    </row>
    <row r="147" customFormat="false" ht="15" hidden="false" customHeight="false" outlineLevel="0" collapsed="false">
      <c r="A147" s="14" t="s">
        <v>113</v>
      </c>
      <c r="B147" s="15" t="s">
        <v>163</v>
      </c>
      <c r="C147" s="16" t="n">
        <v>12.79</v>
      </c>
      <c r="D147" s="16" t="n">
        <v>8.5</v>
      </c>
      <c r="E147" s="17" t="n">
        <f aca="false">C147+D147</f>
        <v>21.29</v>
      </c>
      <c r="F147" s="16" t="n">
        <v>49.99</v>
      </c>
      <c r="G147" s="18" t="n">
        <f aca="false">F147*$B$3+0.2</f>
        <v>12.44755</v>
      </c>
      <c r="H147" s="19" t="n">
        <f aca="false">F147-E147-G147</f>
        <v>16.25245</v>
      </c>
      <c r="I147" s="20" t="n">
        <f aca="false">IF(F147&gt;0,H147/F147,0)</f>
        <v>0.325114022804561</v>
      </c>
      <c r="J147" s="15" t="s">
        <v>36</v>
      </c>
    </row>
    <row r="148" customFormat="false" ht="15" hidden="false" customHeight="false" outlineLevel="0" collapsed="false">
      <c r="A148" s="7" t="s">
        <v>113</v>
      </c>
      <c r="B148" s="8" t="s">
        <v>164</v>
      </c>
      <c r="C148" s="9" t="n">
        <v>10.29</v>
      </c>
      <c r="D148" s="9" t="n">
        <v>8</v>
      </c>
      <c r="E148" s="10" t="n">
        <f aca="false">C148+D148</f>
        <v>18.29</v>
      </c>
      <c r="F148" s="9" t="n">
        <v>39.99</v>
      </c>
      <c r="G148" s="11" t="n">
        <f aca="false">F148*$B$3+0.2</f>
        <v>9.99755</v>
      </c>
      <c r="H148" s="12" t="n">
        <f aca="false">F148-E148-G148</f>
        <v>11.70245</v>
      </c>
      <c r="I148" s="13" t="n">
        <f aca="false">IF(F148&gt;0,H148/F148,0)</f>
        <v>0.292634408602151</v>
      </c>
      <c r="J148" s="8" t="s">
        <v>36</v>
      </c>
    </row>
    <row r="149" customFormat="false" ht="15" hidden="false" customHeight="false" outlineLevel="0" collapsed="false">
      <c r="A149" s="14" t="s">
        <v>113</v>
      </c>
      <c r="B149" s="15" t="s">
        <v>165</v>
      </c>
      <c r="C149" s="16" t="n">
        <v>12.99</v>
      </c>
      <c r="D149" s="16" t="n">
        <v>8.5</v>
      </c>
      <c r="E149" s="17" t="n">
        <f aca="false">C149+D149</f>
        <v>21.49</v>
      </c>
      <c r="F149" s="16" t="n">
        <v>44.99</v>
      </c>
      <c r="G149" s="18" t="n">
        <f aca="false">F149*$B$3+0.2</f>
        <v>11.22255</v>
      </c>
      <c r="H149" s="19" t="n">
        <f aca="false">F149-E149-G149</f>
        <v>12.27745</v>
      </c>
      <c r="I149" s="20" t="n">
        <f aca="false">IF(F149&gt;0,H149/F149,0)</f>
        <v>0.272892865081129</v>
      </c>
      <c r="J149" s="15" t="s">
        <v>28</v>
      </c>
    </row>
    <row r="150" customFormat="false" ht="15" hidden="false" customHeight="false" outlineLevel="0" collapsed="false">
      <c r="A150" s="7" t="s">
        <v>113</v>
      </c>
      <c r="B150" s="8" t="s">
        <v>166</v>
      </c>
      <c r="C150" s="9" t="n">
        <v>13.29</v>
      </c>
      <c r="D150" s="9" t="n">
        <v>8.5</v>
      </c>
      <c r="E150" s="10" t="n">
        <f aca="false">C150+D150</f>
        <v>21.79</v>
      </c>
      <c r="F150" s="9" t="n">
        <v>44.99</v>
      </c>
      <c r="G150" s="11" t="n">
        <f aca="false">F150*$B$3+0.2</f>
        <v>11.22255</v>
      </c>
      <c r="H150" s="12" t="n">
        <f aca="false">F150-E150-G150</f>
        <v>11.97745</v>
      </c>
      <c r="I150" s="13" t="n">
        <f aca="false">IF(F150&gt;0,H150/F150,0)</f>
        <v>0.26622471660369</v>
      </c>
      <c r="J150" s="8" t="s">
        <v>17</v>
      </c>
    </row>
    <row r="151" customFormat="false" ht="15" hidden="false" customHeight="false" outlineLevel="0" collapsed="false">
      <c r="A151" s="14" t="s">
        <v>113</v>
      </c>
      <c r="B151" s="15" t="s">
        <v>167</v>
      </c>
      <c r="C151" s="16" t="n">
        <v>13.29</v>
      </c>
      <c r="D151" s="16" t="n">
        <v>8.5</v>
      </c>
      <c r="E151" s="17" t="n">
        <f aca="false">C151+D151</f>
        <v>21.79</v>
      </c>
      <c r="F151" s="16" t="n">
        <v>44.99</v>
      </c>
      <c r="G151" s="18" t="n">
        <f aca="false">F151*$B$3+0.2</f>
        <v>11.22255</v>
      </c>
      <c r="H151" s="19" t="n">
        <f aca="false">F151-E151-G151</f>
        <v>11.97745</v>
      </c>
      <c r="I151" s="20" t="n">
        <f aca="false">IF(F151&gt;0,H151/F151,0)</f>
        <v>0.26622471660369</v>
      </c>
      <c r="J151" s="15" t="s">
        <v>17</v>
      </c>
    </row>
    <row r="152" customFormat="false" ht="15" hidden="false" customHeight="false" outlineLevel="0" collapsed="false">
      <c r="A152" s="7" t="s">
        <v>113</v>
      </c>
      <c r="B152" s="8" t="s">
        <v>168</v>
      </c>
      <c r="C152" s="9" t="n">
        <v>13.52</v>
      </c>
      <c r="D152" s="9" t="n">
        <v>8.5</v>
      </c>
      <c r="E152" s="10" t="n">
        <f aca="false">C152+D152</f>
        <v>22.02</v>
      </c>
      <c r="F152" s="9" t="n">
        <v>44.99</v>
      </c>
      <c r="G152" s="11" t="n">
        <f aca="false">F152*$B$3+0.2</f>
        <v>11.22255</v>
      </c>
      <c r="H152" s="12" t="n">
        <f aca="false">F152-E152-G152</f>
        <v>11.74745</v>
      </c>
      <c r="I152" s="13" t="n">
        <f aca="false">IF(F152&gt;0,H152/F152,0)</f>
        <v>0.261112469437653</v>
      </c>
      <c r="J152" s="8" t="s">
        <v>36</v>
      </c>
    </row>
    <row r="153" customFormat="false" ht="15" hidden="false" customHeight="false" outlineLevel="0" collapsed="false">
      <c r="A153" s="14" t="s">
        <v>113</v>
      </c>
      <c r="B153" s="15" t="s">
        <v>169</v>
      </c>
      <c r="C153" s="16" t="n">
        <v>13.59</v>
      </c>
      <c r="D153" s="16" t="n">
        <v>8.5</v>
      </c>
      <c r="E153" s="17" t="n">
        <f aca="false">C153+D153</f>
        <v>22.09</v>
      </c>
      <c r="F153" s="16" t="n">
        <v>44.99</v>
      </c>
      <c r="G153" s="18" t="n">
        <f aca="false">F153*$B$3+0.2</f>
        <v>11.22255</v>
      </c>
      <c r="H153" s="19" t="n">
        <f aca="false">F153-E153-G153</f>
        <v>11.67745</v>
      </c>
      <c r="I153" s="20" t="n">
        <f aca="false">IF(F153&gt;0,H153/F153,0)</f>
        <v>0.25955656812625</v>
      </c>
      <c r="J153" s="15" t="s">
        <v>36</v>
      </c>
    </row>
    <row r="154" customFormat="false" ht="15" hidden="false" customHeight="false" outlineLevel="0" collapsed="false">
      <c r="A154" s="7" t="s">
        <v>113</v>
      </c>
      <c r="B154" s="8" t="s">
        <v>170</v>
      </c>
      <c r="C154" s="9" t="n">
        <v>13.19</v>
      </c>
      <c r="D154" s="9" t="n">
        <v>8.5</v>
      </c>
      <c r="E154" s="10" t="n">
        <f aca="false">C154+D154</f>
        <v>21.69</v>
      </c>
      <c r="F154" s="9" t="n">
        <v>44.99</v>
      </c>
      <c r="G154" s="11" t="n">
        <f aca="false">F154*$B$3+0.2</f>
        <v>11.22255</v>
      </c>
      <c r="H154" s="12" t="n">
        <f aca="false">F154-E154-G154</f>
        <v>12.07745</v>
      </c>
      <c r="I154" s="13" t="n">
        <f aca="false">IF(F154&gt;0,H154/F154,0)</f>
        <v>0.268447432762836</v>
      </c>
      <c r="J154" s="8" t="s">
        <v>36</v>
      </c>
    </row>
    <row r="155" customFormat="false" ht="15" hidden="false" customHeight="false" outlineLevel="0" collapsed="false">
      <c r="A155" s="14" t="s">
        <v>113</v>
      </c>
      <c r="B155" s="15" t="s">
        <v>171</v>
      </c>
      <c r="C155" s="16" t="n">
        <v>13.29</v>
      </c>
      <c r="D155" s="16" t="n">
        <v>9</v>
      </c>
      <c r="E155" s="17" t="n">
        <f aca="false">C155+D155</f>
        <v>22.29</v>
      </c>
      <c r="F155" s="16" t="n">
        <v>54.99</v>
      </c>
      <c r="G155" s="18" t="n">
        <f aca="false">F155*$B$3+0.2</f>
        <v>13.67255</v>
      </c>
      <c r="H155" s="19" t="n">
        <f aca="false">F155-E155-G155</f>
        <v>19.02745</v>
      </c>
      <c r="I155" s="20" t="n">
        <f aca="false">IF(F155&gt;0,H155/F155,0)</f>
        <v>0.346016548463357</v>
      </c>
      <c r="J155" s="15" t="s">
        <v>81</v>
      </c>
    </row>
    <row r="156" customFormat="false" ht="15" hidden="false" customHeight="false" outlineLevel="0" collapsed="false">
      <c r="A156" s="7" t="s">
        <v>113</v>
      </c>
      <c r="B156" s="8" t="s">
        <v>172</v>
      </c>
      <c r="C156" s="9" t="n">
        <v>13.69</v>
      </c>
      <c r="D156" s="9" t="n">
        <v>9</v>
      </c>
      <c r="E156" s="10" t="n">
        <f aca="false">C156+D156</f>
        <v>22.69</v>
      </c>
      <c r="F156" s="9" t="n">
        <v>49.99</v>
      </c>
      <c r="G156" s="11" t="n">
        <f aca="false">F156*$B$3+0.2</f>
        <v>12.44755</v>
      </c>
      <c r="H156" s="12" t="n">
        <f aca="false">F156-E156-G156</f>
        <v>14.85245</v>
      </c>
      <c r="I156" s="13" t="n">
        <f aca="false">IF(F156&gt;0,H156/F156,0)</f>
        <v>0.297108421684337</v>
      </c>
      <c r="J156" s="8" t="s">
        <v>81</v>
      </c>
    </row>
    <row r="157" customFormat="false" ht="15" hidden="false" customHeight="false" outlineLevel="0" collapsed="false">
      <c r="A157" s="14" t="s">
        <v>113</v>
      </c>
      <c r="B157" s="15" t="s">
        <v>173</v>
      </c>
      <c r="C157" s="16" t="n">
        <v>13.39</v>
      </c>
      <c r="D157" s="16" t="n">
        <v>8.5</v>
      </c>
      <c r="E157" s="17" t="n">
        <f aca="false">C157+D157</f>
        <v>21.89</v>
      </c>
      <c r="F157" s="16" t="n">
        <v>44.99</v>
      </c>
      <c r="G157" s="18" t="n">
        <f aca="false">F157*$B$3+0.2</f>
        <v>11.22255</v>
      </c>
      <c r="H157" s="19" t="n">
        <f aca="false">F157-E157-G157</f>
        <v>11.87745</v>
      </c>
      <c r="I157" s="20" t="n">
        <f aca="false">IF(F157&gt;0,H157/F157,0)</f>
        <v>0.264002000444543</v>
      </c>
      <c r="J157" s="15" t="s">
        <v>17</v>
      </c>
    </row>
    <row r="158" customFormat="false" ht="15" hidden="false" customHeight="false" outlineLevel="0" collapsed="false">
      <c r="A158" s="7" t="s">
        <v>113</v>
      </c>
      <c r="B158" s="8" t="s">
        <v>174</v>
      </c>
      <c r="C158" s="9" t="n">
        <v>14.09</v>
      </c>
      <c r="D158" s="9" t="n">
        <v>9</v>
      </c>
      <c r="E158" s="10" t="n">
        <f aca="false">C158+D158</f>
        <v>23.09</v>
      </c>
      <c r="F158" s="9" t="n">
        <v>49.99</v>
      </c>
      <c r="G158" s="11" t="n">
        <f aca="false">F158*$B$3+0.2</f>
        <v>12.44755</v>
      </c>
      <c r="H158" s="12" t="n">
        <f aca="false">F158-E158-G158</f>
        <v>14.45245</v>
      </c>
      <c r="I158" s="13" t="n">
        <f aca="false">IF(F158&gt;0,H158/F158,0)</f>
        <v>0.289106821364273</v>
      </c>
      <c r="J158" s="8" t="s">
        <v>45</v>
      </c>
    </row>
    <row r="159" customFormat="false" ht="15" hidden="false" customHeight="false" outlineLevel="0" collapsed="false">
      <c r="A159" s="14" t="s">
        <v>113</v>
      </c>
      <c r="B159" s="15" t="s">
        <v>175</v>
      </c>
      <c r="C159" s="16" t="n">
        <v>14.79</v>
      </c>
      <c r="D159" s="16" t="n">
        <v>9</v>
      </c>
      <c r="E159" s="17" t="n">
        <f aca="false">C159+D159</f>
        <v>23.79</v>
      </c>
      <c r="F159" s="16" t="n">
        <v>49.99</v>
      </c>
      <c r="G159" s="18" t="n">
        <f aca="false">F159*$B$3+0.2</f>
        <v>12.44755</v>
      </c>
      <c r="H159" s="19" t="n">
        <f aca="false">F159-E159-G159</f>
        <v>13.75245</v>
      </c>
      <c r="I159" s="20" t="n">
        <f aca="false">IF(F159&gt;0,H159/F159,0)</f>
        <v>0.275104020804161</v>
      </c>
      <c r="J159" s="15" t="s">
        <v>36</v>
      </c>
    </row>
    <row r="160" customFormat="false" ht="15" hidden="false" customHeight="false" outlineLevel="0" collapsed="false">
      <c r="A160" s="7" t="s">
        <v>113</v>
      </c>
      <c r="B160" s="8" t="s">
        <v>176</v>
      </c>
      <c r="C160" s="9" t="n">
        <v>14.89</v>
      </c>
      <c r="D160" s="9" t="n">
        <v>9</v>
      </c>
      <c r="E160" s="10" t="n">
        <f aca="false">C160+D160</f>
        <v>23.89</v>
      </c>
      <c r="F160" s="9" t="n">
        <v>49.99</v>
      </c>
      <c r="G160" s="11" t="n">
        <f aca="false">F160*$B$3+0.2</f>
        <v>12.44755</v>
      </c>
      <c r="H160" s="12" t="n">
        <f aca="false">F160-E160-G160</f>
        <v>13.65245</v>
      </c>
      <c r="I160" s="13" t="n">
        <f aca="false">IF(F160&gt;0,H160/F160,0)</f>
        <v>0.273103620724145</v>
      </c>
      <c r="J160" s="8" t="s">
        <v>36</v>
      </c>
    </row>
    <row r="161" customFormat="false" ht="15" hidden="false" customHeight="false" outlineLevel="0" collapsed="false">
      <c r="A161" s="14" t="s">
        <v>113</v>
      </c>
      <c r="B161" s="15" t="s">
        <v>177</v>
      </c>
      <c r="C161" s="16" t="n">
        <v>15.49</v>
      </c>
      <c r="D161" s="16" t="n">
        <v>9</v>
      </c>
      <c r="E161" s="17" t="n">
        <f aca="false">C161+D161</f>
        <v>24.49</v>
      </c>
      <c r="F161" s="16" t="n">
        <v>54.99</v>
      </c>
      <c r="G161" s="18" t="n">
        <f aca="false">F161*$B$3+0.2</f>
        <v>13.67255</v>
      </c>
      <c r="H161" s="19" t="n">
        <f aca="false">F161-E161-G161</f>
        <v>16.82745</v>
      </c>
      <c r="I161" s="20" t="n">
        <f aca="false">IF(F161&gt;0,H161/F161,0)</f>
        <v>0.30600927441353</v>
      </c>
      <c r="J161" s="15" t="s">
        <v>45</v>
      </c>
    </row>
    <row r="162" customFormat="false" ht="15" hidden="false" customHeight="false" outlineLevel="0" collapsed="false">
      <c r="A162" s="7" t="s">
        <v>113</v>
      </c>
      <c r="B162" s="8" t="s">
        <v>178</v>
      </c>
      <c r="C162" s="9" t="n">
        <v>16.79</v>
      </c>
      <c r="D162" s="9" t="n">
        <v>9.5</v>
      </c>
      <c r="E162" s="10" t="n">
        <f aca="false">C162+D162</f>
        <v>26.29</v>
      </c>
      <c r="F162" s="9" t="n">
        <v>54.99</v>
      </c>
      <c r="G162" s="11" t="n">
        <f aca="false">F162*$B$3+0.2</f>
        <v>13.67255</v>
      </c>
      <c r="H162" s="12" t="n">
        <f aca="false">F162-E162-G162</f>
        <v>15.02745</v>
      </c>
      <c r="I162" s="13" t="n">
        <f aca="false">IF(F162&gt;0,H162/F162,0)</f>
        <v>0.273276050190944</v>
      </c>
      <c r="J162" s="8" t="s">
        <v>36</v>
      </c>
    </row>
    <row r="163" customFormat="false" ht="15" hidden="false" customHeight="false" outlineLevel="0" collapsed="false">
      <c r="A163" s="14" t="s">
        <v>113</v>
      </c>
      <c r="B163" s="15" t="s">
        <v>179</v>
      </c>
      <c r="C163" s="16" t="n">
        <v>9.79</v>
      </c>
      <c r="D163" s="16" t="n">
        <v>8</v>
      </c>
      <c r="E163" s="17" t="n">
        <f aca="false">C163+D163</f>
        <v>17.79</v>
      </c>
      <c r="F163" s="16" t="n">
        <v>39.99</v>
      </c>
      <c r="G163" s="18" t="n">
        <f aca="false">F163*$B$3+0.2</f>
        <v>9.99755</v>
      </c>
      <c r="H163" s="19" t="n">
        <f aca="false">F163-E163-G163</f>
        <v>12.20245</v>
      </c>
      <c r="I163" s="20" t="n">
        <f aca="false">IF(F163&gt;0,H163/F163,0)</f>
        <v>0.305137534383596</v>
      </c>
      <c r="J163" s="15" t="s">
        <v>17</v>
      </c>
    </row>
    <row r="164" customFormat="false" ht="15" hidden="false" customHeight="false" outlineLevel="0" collapsed="false">
      <c r="A164" s="7" t="s">
        <v>113</v>
      </c>
      <c r="B164" s="8" t="s">
        <v>180</v>
      </c>
      <c r="C164" s="9" t="n">
        <v>11.99</v>
      </c>
      <c r="D164" s="9" t="n">
        <v>8.5</v>
      </c>
      <c r="E164" s="10" t="n">
        <f aca="false">C164+D164</f>
        <v>20.49</v>
      </c>
      <c r="F164" s="9" t="n">
        <v>39.99</v>
      </c>
      <c r="G164" s="11" t="n">
        <f aca="false">F164*$B$3+0.2</f>
        <v>9.99755</v>
      </c>
      <c r="H164" s="12" t="n">
        <f aca="false">F164-E164-G164</f>
        <v>9.50245</v>
      </c>
      <c r="I164" s="13" t="n">
        <f aca="false">IF(F164&gt;0,H164/F164,0)</f>
        <v>0.237620655163791</v>
      </c>
      <c r="J164" s="8" t="s">
        <v>36</v>
      </c>
    </row>
    <row r="165" customFormat="false" ht="15" hidden="false" customHeight="false" outlineLevel="0" collapsed="false">
      <c r="A165" s="14" t="s">
        <v>113</v>
      </c>
      <c r="B165" s="15" t="s">
        <v>181</v>
      </c>
      <c r="C165" s="16" t="n">
        <v>18.49</v>
      </c>
      <c r="D165" s="16" t="n">
        <v>10</v>
      </c>
      <c r="E165" s="17" t="n">
        <f aca="false">C165+D165</f>
        <v>28.49</v>
      </c>
      <c r="F165" s="16" t="n">
        <v>64.99</v>
      </c>
      <c r="G165" s="18" t="n">
        <f aca="false">F165*$B$3+0.2</f>
        <v>16.12255</v>
      </c>
      <c r="H165" s="19" t="n">
        <f aca="false">F165-E165-G165</f>
        <v>20.37745</v>
      </c>
      <c r="I165" s="20" t="n">
        <f aca="false">IF(F165&gt;0,H165/F165,0)</f>
        <v>0.31354746884136</v>
      </c>
      <c r="J165" s="15" t="s">
        <v>36</v>
      </c>
    </row>
    <row r="166" customFormat="false" ht="15" hidden="false" customHeight="false" outlineLevel="0" collapsed="false">
      <c r="A166" s="7" t="s">
        <v>113</v>
      </c>
      <c r="B166" s="8" t="s">
        <v>182</v>
      </c>
      <c r="C166" s="9" t="n">
        <v>14.09</v>
      </c>
      <c r="D166" s="9" t="n">
        <v>9</v>
      </c>
      <c r="E166" s="10" t="n">
        <f aca="false">C166+D166</f>
        <v>23.09</v>
      </c>
      <c r="F166" s="9" t="n">
        <v>49.99</v>
      </c>
      <c r="G166" s="11" t="n">
        <f aca="false">F166*$B$3+0.2</f>
        <v>12.44755</v>
      </c>
      <c r="H166" s="12" t="n">
        <f aca="false">F166-E166-G166</f>
        <v>14.45245</v>
      </c>
      <c r="I166" s="13" t="n">
        <f aca="false">IF(F166&gt;0,H166/F166,0)</f>
        <v>0.289106821364273</v>
      </c>
      <c r="J166" s="8" t="s">
        <v>36</v>
      </c>
    </row>
    <row r="167" customFormat="false" ht="15" hidden="false" customHeight="false" outlineLevel="0" collapsed="false">
      <c r="A167" s="14" t="s">
        <v>183</v>
      </c>
      <c r="B167" s="15" t="s">
        <v>184</v>
      </c>
      <c r="C167" s="16" t="n">
        <v>4.28</v>
      </c>
      <c r="D167" s="16" t="n">
        <v>6</v>
      </c>
      <c r="E167" s="17" t="n">
        <f aca="false">C167+D167</f>
        <v>10.28</v>
      </c>
      <c r="F167" s="16" t="n">
        <v>22.99</v>
      </c>
      <c r="G167" s="18" t="n">
        <f aca="false">F167*$B$3+0.2</f>
        <v>5.83255</v>
      </c>
      <c r="H167" s="19" t="n">
        <f aca="false">F167-E167-G167</f>
        <v>6.87745</v>
      </c>
      <c r="I167" s="20" t="n">
        <f aca="false">IF(F167&gt;0,H167/F167,0)</f>
        <v>0.299149630274032</v>
      </c>
      <c r="J167" s="15" t="s">
        <v>17</v>
      </c>
    </row>
    <row r="168" customFormat="false" ht="15" hidden="false" customHeight="false" outlineLevel="0" collapsed="false">
      <c r="A168" s="7" t="s">
        <v>183</v>
      </c>
      <c r="B168" s="8" t="s">
        <v>185</v>
      </c>
      <c r="C168" s="9" t="n">
        <v>4.99</v>
      </c>
      <c r="D168" s="9" t="n">
        <v>6</v>
      </c>
      <c r="E168" s="10" t="n">
        <f aca="false">C168+D168</f>
        <v>10.99</v>
      </c>
      <c r="F168" s="9" t="n">
        <v>22.99</v>
      </c>
      <c r="G168" s="11" t="n">
        <f aca="false">F168*$B$3+0.2</f>
        <v>5.83255</v>
      </c>
      <c r="H168" s="12" t="n">
        <f aca="false">F168-E168-G168</f>
        <v>6.16745</v>
      </c>
      <c r="I168" s="13" t="n">
        <f aca="false">IF(F168&gt;0,H168/F168,0)</f>
        <v>0.268266637668552</v>
      </c>
      <c r="J168" s="8" t="s">
        <v>17</v>
      </c>
    </row>
    <row r="169" customFormat="false" ht="15" hidden="false" customHeight="false" outlineLevel="0" collapsed="false">
      <c r="A169" s="14" t="s">
        <v>183</v>
      </c>
      <c r="B169" s="15" t="s">
        <v>186</v>
      </c>
      <c r="C169" s="16" t="n">
        <v>5.16</v>
      </c>
      <c r="D169" s="16" t="n">
        <v>6.5</v>
      </c>
      <c r="E169" s="17" t="n">
        <f aca="false">C169+D169</f>
        <v>11.66</v>
      </c>
      <c r="F169" s="16" t="n">
        <v>24.99</v>
      </c>
      <c r="G169" s="18" t="n">
        <f aca="false">F169*$B$3+0.2</f>
        <v>6.32255</v>
      </c>
      <c r="H169" s="19" t="n">
        <f aca="false">F169-E169-G169</f>
        <v>7.00745</v>
      </c>
      <c r="I169" s="20" t="n">
        <f aca="false">IF(F169&gt;0,H169/F169,0)</f>
        <v>0.280410164065626</v>
      </c>
      <c r="J169" s="15" t="s">
        <v>17</v>
      </c>
    </row>
    <row r="170" customFormat="false" ht="15" hidden="false" customHeight="false" outlineLevel="0" collapsed="false">
      <c r="A170" s="7" t="s">
        <v>183</v>
      </c>
      <c r="B170" s="8" t="s">
        <v>187</v>
      </c>
      <c r="C170" s="9" t="n">
        <v>5.29</v>
      </c>
      <c r="D170" s="9" t="n">
        <v>6.5</v>
      </c>
      <c r="E170" s="10" t="n">
        <f aca="false">C170+D170</f>
        <v>11.79</v>
      </c>
      <c r="F170" s="9" t="n">
        <v>24.99</v>
      </c>
      <c r="G170" s="11" t="n">
        <f aca="false">F170*$B$3+0.2</f>
        <v>6.32255</v>
      </c>
      <c r="H170" s="12" t="n">
        <f aca="false">F170-E170-G170</f>
        <v>6.87745</v>
      </c>
      <c r="I170" s="13" t="n">
        <f aca="false">IF(F170&gt;0,H170/F170,0)</f>
        <v>0.275208083233293</v>
      </c>
      <c r="J170" s="8" t="s">
        <v>17</v>
      </c>
    </row>
    <row r="171" customFormat="false" ht="15" hidden="false" customHeight="false" outlineLevel="0" collapsed="false">
      <c r="A171" s="14" t="s">
        <v>183</v>
      </c>
      <c r="B171" s="15" t="s">
        <v>188</v>
      </c>
      <c r="C171" s="16" t="n">
        <v>5.39</v>
      </c>
      <c r="D171" s="16" t="n">
        <v>6</v>
      </c>
      <c r="E171" s="17" t="n">
        <f aca="false">C171+D171</f>
        <v>11.39</v>
      </c>
      <c r="F171" s="16" t="n">
        <v>24.99</v>
      </c>
      <c r="G171" s="18" t="n">
        <f aca="false">F171*$B$3+0.2</f>
        <v>6.32255</v>
      </c>
      <c r="H171" s="19" t="n">
        <f aca="false">F171-E171-G171</f>
        <v>7.27745</v>
      </c>
      <c r="I171" s="20" t="n">
        <f aca="false">IF(F171&gt;0,H171/F171,0)</f>
        <v>0.291214485794318</v>
      </c>
      <c r="J171" s="15" t="s">
        <v>36</v>
      </c>
    </row>
    <row r="172" customFormat="false" ht="15" hidden="false" customHeight="false" outlineLevel="0" collapsed="false">
      <c r="A172" s="7" t="s">
        <v>183</v>
      </c>
      <c r="B172" s="8" t="s">
        <v>189</v>
      </c>
      <c r="C172" s="9" t="n">
        <v>5.99</v>
      </c>
      <c r="D172" s="9" t="n">
        <v>6</v>
      </c>
      <c r="E172" s="10" t="n">
        <f aca="false">C172+D172</f>
        <v>11.99</v>
      </c>
      <c r="F172" s="9" t="n">
        <v>24.99</v>
      </c>
      <c r="G172" s="11" t="n">
        <f aca="false">F172*$B$3+0.2</f>
        <v>6.32255</v>
      </c>
      <c r="H172" s="12" t="n">
        <f aca="false">F172-E172-G172</f>
        <v>6.67745</v>
      </c>
      <c r="I172" s="13" t="n">
        <f aca="false">IF(F172&gt;0,H172/F172,0)</f>
        <v>0.267204881952781</v>
      </c>
      <c r="J172" s="8" t="s">
        <v>36</v>
      </c>
    </row>
    <row r="173" customFormat="false" ht="15" hidden="false" customHeight="false" outlineLevel="0" collapsed="false">
      <c r="A173" s="14" t="s">
        <v>183</v>
      </c>
      <c r="B173" s="15" t="s">
        <v>190</v>
      </c>
      <c r="C173" s="16" t="n">
        <v>7.25</v>
      </c>
      <c r="D173" s="16" t="n">
        <v>6.5</v>
      </c>
      <c r="E173" s="17" t="n">
        <f aca="false">C173+D173</f>
        <v>13.75</v>
      </c>
      <c r="F173" s="16" t="n">
        <v>24.99</v>
      </c>
      <c r="G173" s="18" t="n">
        <f aca="false">F173*$B$3+0.2</f>
        <v>6.32255</v>
      </c>
      <c r="H173" s="19" t="n">
        <f aca="false">F173-E173-G173</f>
        <v>4.91745</v>
      </c>
      <c r="I173" s="20" t="n">
        <f aca="false">IF(F173&gt;0,H173/F173,0)</f>
        <v>0.196776710684274</v>
      </c>
      <c r="J173" s="15" t="s">
        <v>17</v>
      </c>
    </row>
    <row r="174" customFormat="false" ht="15" hidden="false" customHeight="false" outlineLevel="0" collapsed="false">
      <c r="A174" s="7" t="s">
        <v>183</v>
      </c>
      <c r="B174" s="8" t="s">
        <v>191</v>
      </c>
      <c r="C174" s="9" t="n">
        <v>7.49</v>
      </c>
      <c r="D174" s="9" t="n">
        <v>7</v>
      </c>
      <c r="E174" s="10" t="n">
        <f aca="false">C174+D174</f>
        <v>14.49</v>
      </c>
      <c r="F174" s="9" t="n">
        <v>34.99</v>
      </c>
      <c r="G174" s="11" t="n">
        <f aca="false">F174*$B$3+0.2</f>
        <v>8.77255</v>
      </c>
      <c r="H174" s="12" t="n">
        <f aca="false">F174-E174-G174</f>
        <v>11.72745</v>
      </c>
      <c r="I174" s="13" t="n">
        <f aca="false">IF(F174&gt;0,H174/F174,0)</f>
        <v>0.335165761646185</v>
      </c>
      <c r="J174" s="8" t="s">
        <v>36</v>
      </c>
    </row>
    <row r="175" customFormat="false" ht="15" hidden="false" customHeight="false" outlineLevel="0" collapsed="false">
      <c r="A175" s="14" t="s">
        <v>183</v>
      </c>
      <c r="B175" s="15" t="s">
        <v>192</v>
      </c>
      <c r="C175" s="16" t="n">
        <v>7.89</v>
      </c>
      <c r="D175" s="16" t="n">
        <v>7</v>
      </c>
      <c r="E175" s="17" t="n">
        <f aca="false">C175+D175</f>
        <v>14.89</v>
      </c>
      <c r="F175" s="16" t="n">
        <v>34.99</v>
      </c>
      <c r="G175" s="18" t="n">
        <f aca="false">F175*$B$3+0.2</f>
        <v>8.77255</v>
      </c>
      <c r="H175" s="19" t="n">
        <f aca="false">F175-E175-G175</f>
        <v>11.32745</v>
      </c>
      <c r="I175" s="20" t="n">
        <f aca="false">IF(F175&gt;0,H175/F175,0)</f>
        <v>0.32373392397828</v>
      </c>
      <c r="J175" s="15" t="s">
        <v>36</v>
      </c>
    </row>
    <row r="176" customFormat="false" ht="15" hidden="false" customHeight="false" outlineLevel="0" collapsed="false">
      <c r="A176" s="7" t="s">
        <v>183</v>
      </c>
      <c r="B176" s="8" t="s">
        <v>193</v>
      </c>
      <c r="C176" s="9" t="n">
        <v>7.99</v>
      </c>
      <c r="D176" s="9" t="n">
        <v>7.5</v>
      </c>
      <c r="E176" s="10" t="n">
        <f aca="false">C176+D176</f>
        <v>15.49</v>
      </c>
      <c r="F176" s="9" t="n">
        <v>34.99</v>
      </c>
      <c r="G176" s="11" t="n">
        <f aca="false">F176*$B$3+0.2</f>
        <v>8.77255</v>
      </c>
      <c r="H176" s="12" t="n">
        <f aca="false">F176-E176-G176</f>
        <v>10.72745</v>
      </c>
      <c r="I176" s="13" t="n">
        <f aca="false">IF(F176&gt;0,H176/F176,0)</f>
        <v>0.306586167476422</v>
      </c>
      <c r="J176" s="8" t="s">
        <v>36</v>
      </c>
    </row>
    <row r="177" customFormat="false" ht="15" hidden="false" customHeight="false" outlineLevel="0" collapsed="false">
      <c r="A177" s="14" t="s">
        <v>183</v>
      </c>
      <c r="B177" s="15" t="s">
        <v>194</v>
      </c>
      <c r="C177" s="16" t="n">
        <v>8.46</v>
      </c>
      <c r="D177" s="16" t="n">
        <v>7.5</v>
      </c>
      <c r="E177" s="17" t="n">
        <f aca="false">C177+D177</f>
        <v>15.96</v>
      </c>
      <c r="F177" s="16" t="n">
        <v>34.99</v>
      </c>
      <c r="G177" s="18" t="n">
        <f aca="false">F177*$B$3+0.2</f>
        <v>8.77255</v>
      </c>
      <c r="H177" s="19" t="n">
        <f aca="false">F177-E177-G177</f>
        <v>10.25745</v>
      </c>
      <c r="I177" s="20" t="n">
        <f aca="false">IF(F177&gt;0,H177/F177,0)</f>
        <v>0.293153758216633</v>
      </c>
      <c r="J177" s="15" t="s">
        <v>28</v>
      </c>
    </row>
    <row r="178" customFormat="false" ht="15" hidden="false" customHeight="false" outlineLevel="0" collapsed="false">
      <c r="A178" s="7" t="s">
        <v>183</v>
      </c>
      <c r="B178" s="8" t="s">
        <v>195</v>
      </c>
      <c r="C178" s="9" t="n">
        <v>8.73</v>
      </c>
      <c r="D178" s="9" t="n">
        <v>7.5</v>
      </c>
      <c r="E178" s="10" t="n">
        <f aca="false">C178+D178</f>
        <v>16.23</v>
      </c>
      <c r="F178" s="9" t="n">
        <v>34.99</v>
      </c>
      <c r="G178" s="11" t="n">
        <f aca="false">F178*$B$3+0.2</f>
        <v>8.77255</v>
      </c>
      <c r="H178" s="12" t="n">
        <f aca="false">F178-E178-G178</f>
        <v>9.98745</v>
      </c>
      <c r="I178" s="13" t="n">
        <f aca="false">IF(F178&gt;0,H178/F178,0)</f>
        <v>0.285437267790797</v>
      </c>
      <c r="J178" s="8" t="s">
        <v>36</v>
      </c>
    </row>
    <row r="179" customFormat="false" ht="15" hidden="false" customHeight="false" outlineLevel="0" collapsed="false">
      <c r="A179" s="14" t="s">
        <v>183</v>
      </c>
      <c r="B179" s="15" t="s">
        <v>196</v>
      </c>
      <c r="C179" s="16" t="n">
        <v>9.76</v>
      </c>
      <c r="D179" s="16" t="n">
        <v>7.5</v>
      </c>
      <c r="E179" s="17" t="n">
        <f aca="false">C179+D179</f>
        <v>17.26</v>
      </c>
      <c r="F179" s="16" t="n">
        <v>34.99</v>
      </c>
      <c r="G179" s="18" t="n">
        <f aca="false">F179*$B$3+0.2</f>
        <v>8.77255</v>
      </c>
      <c r="H179" s="19" t="n">
        <f aca="false">F179-E179-G179</f>
        <v>8.95745000000001</v>
      </c>
      <c r="I179" s="20" t="n">
        <f aca="false">IF(F179&gt;0,H179/F179,0)</f>
        <v>0.256000285795942</v>
      </c>
      <c r="J179" s="15" t="s">
        <v>28</v>
      </c>
    </row>
    <row r="180" customFormat="false" ht="15" hidden="false" customHeight="false" outlineLevel="0" collapsed="false">
      <c r="A180" s="7" t="s">
        <v>183</v>
      </c>
      <c r="B180" s="8" t="s">
        <v>197</v>
      </c>
      <c r="C180" s="9" t="n">
        <v>10.09</v>
      </c>
      <c r="D180" s="9" t="n">
        <v>8</v>
      </c>
      <c r="E180" s="10" t="n">
        <f aca="false">C180+D180</f>
        <v>18.09</v>
      </c>
      <c r="F180" s="9" t="n">
        <v>39.99</v>
      </c>
      <c r="G180" s="11" t="n">
        <f aca="false">F180*$B$3+0.2</f>
        <v>9.99755</v>
      </c>
      <c r="H180" s="12" t="n">
        <f aca="false">F180-E180-G180</f>
        <v>11.90245</v>
      </c>
      <c r="I180" s="13" t="n">
        <f aca="false">IF(F180&gt;0,H180/F180,0)</f>
        <v>0.297635658914729</v>
      </c>
      <c r="J180" s="8" t="s">
        <v>36</v>
      </c>
    </row>
    <row r="181" customFormat="false" ht="15" hidden="false" customHeight="false" outlineLevel="0" collapsed="false">
      <c r="A181" s="14" t="s">
        <v>183</v>
      </c>
      <c r="B181" s="15" t="s">
        <v>198</v>
      </c>
      <c r="C181" s="16" t="n">
        <v>10.59</v>
      </c>
      <c r="D181" s="16" t="n">
        <v>8</v>
      </c>
      <c r="E181" s="17" t="n">
        <f aca="false">C181+D181</f>
        <v>18.59</v>
      </c>
      <c r="F181" s="16" t="n">
        <v>39.99</v>
      </c>
      <c r="G181" s="18" t="n">
        <f aca="false">F181*$B$3+0.2</f>
        <v>9.99755</v>
      </c>
      <c r="H181" s="19" t="n">
        <f aca="false">F181-E181-G181</f>
        <v>11.40245</v>
      </c>
      <c r="I181" s="20" t="n">
        <f aca="false">IF(F181&gt;0,H181/F181,0)</f>
        <v>0.285132533133283</v>
      </c>
      <c r="J181" s="15" t="s">
        <v>36</v>
      </c>
    </row>
    <row r="182" customFormat="false" ht="15" hidden="false" customHeight="false" outlineLevel="0" collapsed="false">
      <c r="A182" s="7" t="s">
        <v>183</v>
      </c>
      <c r="B182" s="8" t="s">
        <v>199</v>
      </c>
      <c r="C182" s="9" t="n">
        <v>11.69</v>
      </c>
      <c r="D182" s="9" t="n">
        <v>8</v>
      </c>
      <c r="E182" s="10" t="n">
        <f aca="false">C182+D182</f>
        <v>19.69</v>
      </c>
      <c r="F182" s="9" t="n">
        <v>39.99</v>
      </c>
      <c r="G182" s="11" t="n">
        <f aca="false">F182*$B$3+0.2</f>
        <v>9.99755</v>
      </c>
      <c r="H182" s="12" t="n">
        <f aca="false">F182-E182-G182</f>
        <v>10.30245</v>
      </c>
      <c r="I182" s="13" t="n">
        <f aca="false">IF(F182&gt;0,H182/F182,0)</f>
        <v>0.257625656414104</v>
      </c>
      <c r="J182" s="8" t="s">
        <v>28</v>
      </c>
    </row>
    <row r="183" customFormat="false" ht="15" hidden="false" customHeight="false" outlineLevel="0" collapsed="false">
      <c r="A183" s="14" t="s">
        <v>183</v>
      </c>
      <c r="B183" s="15" t="s">
        <v>200</v>
      </c>
      <c r="C183" s="16" t="n">
        <v>9.79</v>
      </c>
      <c r="D183" s="16" t="n">
        <v>7.5</v>
      </c>
      <c r="E183" s="17" t="n">
        <f aca="false">C183+D183</f>
        <v>17.29</v>
      </c>
      <c r="F183" s="16" t="n">
        <v>34.99</v>
      </c>
      <c r="G183" s="18" t="n">
        <f aca="false">F183*$B$3+0.2</f>
        <v>8.77255</v>
      </c>
      <c r="H183" s="19" t="n">
        <f aca="false">F183-E183-G183</f>
        <v>8.92745</v>
      </c>
      <c r="I183" s="20" t="n">
        <f aca="false">IF(F183&gt;0,H183/F183,0)</f>
        <v>0.255142897970849</v>
      </c>
      <c r="J183" s="15" t="s">
        <v>36</v>
      </c>
    </row>
    <row r="184" customFormat="false" ht="15" hidden="false" customHeight="false" outlineLevel="0" collapsed="false">
      <c r="A184" s="7" t="s">
        <v>201</v>
      </c>
      <c r="B184" s="8" t="s">
        <v>202</v>
      </c>
      <c r="C184" s="9" t="n">
        <v>4.69</v>
      </c>
      <c r="D184" s="9" t="n">
        <v>6</v>
      </c>
      <c r="E184" s="10" t="n">
        <f aca="false">C184+D184</f>
        <v>10.69</v>
      </c>
      <c r="F184" s="9" t="n">
        <v>22.99</v>
      </c>
      <c r="G184" s="11" t="n">
        <f aca="false">F184*$B$3+0.2</f>
        <v>5.83255</v>
      </c>
      <c r="H184" s="12" t="n">
        <f aca="false">F184-E184-G184</f>
        <v>6.46745</v>
      </c>
      <c r="I184" s="13" t="n">
        <f aca="false">IF(F184&gt;0,H184/F184,0)</f>
        <v>0.281315789473684</v>
      </c>
      <c r="J184" s="8" t="s">
        <v>17</v>
      </c>
    </row>
    <row r="185" customFormat="false" ht="15" hidden="false" customHeight="false" outlineLevel="0" collapsed="false">
      <c r="A185" s="14" t="s">
        <v>201</v>
      </c>
      <c r="B185" s="15" t="s">
        <v>203</v>
      </c>
      <c r="C185" s="16" t="n">
        <v>5.09</v>
      </c>
      <c r="D185" s="16" t="n">
        <v>6</v>
      </c>
      <c r="E185" s="17" t="n">
        <f aca="false">C185+D185</f>
        <v>11.09</v>
      </c>
      <c r="F185" s="16" t="n">
        <v>24.99</v>
      </c>
      <c r="G185" s="18" t="n">
        <f aca="false">F185*$B$3+0.2</f>
        <v>6.32255</v>
      </c>
      <c r="H185" s="19" t="n">
        <f aca="false">F185-E185-G185</f>
        <v>7.57745</v>
      </c>
      <c r="I185" s="20" t="n">
        <f aca="false">IF(F185&gt;0,H185/F185,0)</f>
        <v>0.303219287715086</v>
      </c>
      <c r="J185" s="15" t="s">
        <v>17</v>
      </c>
    </row>
    <row r="186" customFormat="false" ht="15" hidden="false" customHeight="false" outlineLevel="0" collapsed="false">
      <c r="A186" s="7" t="s">
        <v>201</v>
      </c>
      <c r="B186" s="8" t="s">
        <v>204</v>
      </c>
      <c r="C186" s="9" t="n">
        <v>5.69</v>
      </c>
      <c r="D186" s="9" t="n">
        <v>6</v>
      </c>
      <c r="E186" s="10" t="n">
        <f aca="false">C186+D186</f>
        <v>11.69</v>
      </c>
      <c r="F186" s="9" t="n">
        <v>24.99</v>
      </c>
      <c r="G186" s="11" t="n">
        <f aca="false">F186*$B$3+0.2</f>
        <v>6.32255</v>
      </c>
      <c r="H186" s="12" t="n">
        <f aca="false">F186-E186-G186</f>
        <v>6.97745</v>
      </c>
      <c r="I186" s="13" t="n">
        <f aca="false">IF(F186&gt;0,H186/F186,0)</f>
        <v>0.279209683873549</v>
      </c>
      <c r="J186" s="8" t="s">
        <v>17</v>
      </c>
    </row>
    <row r="187" customFormat="false" ht="15" hidden="false" customHeight="false" outlineLevel="0" collapsed="false">
      <c r="A187" s="14" t="s">
        <v>201</v>
      </c>
      <c r="B187" s="15" t="s">
        <v>205</v>
      </c>
      <c r="C187" s="16" t="n">
        <v>6.99</v>
      </c>
      <c r="D187" s="16" t="n">
        <v>7</v>
      </c>
      <c r="E187" s="17" t="n">
        <f aca="false">C187+D187</f>
        <v>13.99</v>
      </c>
      <c r="F187" s="16" t="n">
        <v>29.99</v>
      </c>
      <c r="G187" s="18" t="n">
        <f aca="false">F187*$B$3+0.2</f>
        <v>7.54755</v>
      </c>
      <c r="H187" s="19" t="n">
        <f aca="false">F187-E187-G187</f>
        <v>8.45245</v>
      </c>
      <c r="I187" s="20" t="n">
        <f aca="false">IF(F187&gt;0,H187/F187,0)</f>
        <v>0.281842280760253</v>
      </c>
      <c r="J187" s="15" t="s">
        <v>36</v>
      </c>
    </row>
    <row r="188" customFormat="false" ht="15" hidden="false" customHeight="false" outlineLevel="0" collapsed="false">
      <c r="A188" s="7" t="s">
        <v>201</v>
      </c>
      <c r="B188" s="8" t="s">
        <v>206</v>
      </c>
      <c r="C188" s="9" t="n">
        <v>6.99</v>
      </c>
      <c r="D188" s="9" t="n">
        <v>7.5</v>
      </c>
      <c r="E188" s="10" t="n">
        <f aca="false">C188+D188</f>
        <v>14.49</v>
      </c>
      <c r="F188" s="9" t="n">
        <v>34.99</v>
      </c>
      <c r="G188" s="11" t="n">
        <f aca="false">F188*$B$3+0.2</f>
        <v>8.77255</v>
      </c>
      <c r="H188" s="12" t="n">
        <f aca="false">F188-E188-G188</f>
        <v>11.72745</v>
      </c>
      <c r="I188" s="13" t="n">
        <f aca="false">IF(F188&gt;0,H188/F188,0)</f>
        <v>0.335165761646185</v>
      </c>
      <c r="J188" s="8" t="s">
        <v>36</v>
      </c>
    </row>
    <row r="189" customFormat="false" ht="15" hidden="false" customHeight="false" outlineLevel="0" collapsed="false">
      <c r="A189" s="14" t="s">
        <v>201</v>
      </c>
      <c r="B189" s="15" t="s">
        <v>207</v>
      </c>
      <c r="C189" s="16" t="n">
        <v>8.49</v>
      </c>
      <c r="D189" s="16" t="n">
        <v>7</v>
      </c>
      <c r="E189" s="17" t="n">
        <f aca="false">C189+D189</f>
        <v>15.49</v>
      </c>
      <c r="F189" s="16" t="n">
        <v>29.99</v>
      </c>
      <c r="G189" s="18" t="n">
        <f aca="false">F189*$B$3+0.2</f>
        <v>7.54755</v>
      </c>
      <c r="H189" s="19" t="n">
        <f aca="false">F189-E189-G189</f>
        <v>6.95245</v>
      </c>
      <c r="I189" s="20" t="n">
        <f aca="false">IF(F189&gt;0,H189/F189,0)</f>
        <v>0.231825608536179</v>
      </c>
      <c r="J189" s="15" t="s">
        <v>17</v>
      </c>
    </row>
    <row r="190" customFormat="false" ht="15" hidden="false" customHeight="false" outlineLevel="0" collapsed="false">
      <c r="A190" s="7" t="s">
        <v>201</v>
      </c>
      <c r="B190" s="8" t="s">
        <v>208</v>
      </c>
      <c r="C190" s="9" t="n">
        <v>8.57</v>
      </c>
      <c r="D190" s="9" t="n">
        <v>7.5</v>
      </c>
      <c r="E190" s="10" t="n">
        <f aca="false">C190+D190</f>
        <v>16.07</v>
      </c>
      <c r="F190" s="9" t="n">
        <v>34.99</v>
      </c>
      <c r="G190" s="11" t="n">
        <f aca="false">F190*$B$3+0.2</f>
        <v>8.77255</v>
      </c>
      <c r="H190" s="12" t="n">
        <f aca="false">F190-E190-G190</f>
        <v>10.14745</v>
      </c>
      <c r="I190" s="13" t="n">
        <f aca="false">IF(F190&gt;0,H190/F190,0)</f>
        <v>0.290010002857959</v>
      </c>
      <c r="J190" s="8" t="s">
        <v>28</v>
      </c>
    </row>
    <row r="191" customFormat="false" ht="15" hidden="false" customHeight="false" outlineLevel="0" collapsed="false">
      <c r="A191" s="14" t="s">
        <v>201</v>
      </c>
      <c r="B191" s="15" t="s">
        <v>209</v>
      </c>
      <c r="C191" s="16" t="n">
        <v>8.49</v>
      </c>
      <c r="D191" s="16" t="n">
        <v>8</v>
      </c>
      <c r="E191" s="17" t="n">
        <f aca="false">C191+D191</f>
        <v>16.49</v>
      </c>
      <c r="F191" s="16" t="n">
        <v>34.99</v>
      </c>
      <c r="G191" s="18" t="n">
        <f aca="false">F191*$B$3+0.2</f>
        <v>8.77255</v>
      </c>
      <c r="H191" s="19" t="n">
        <f aca="false">F191-E191-G191</f>
        <v>9.72745</v>
      </c>
      <c r="I191" s="20" t="n">
        <f aca="false">IF(F191&gt;0,H191/F191,0)</f>
        <v>0.278006573306659</v>
      </c>
      <c r="J191" s="15" t="s">
        <v>36</v>
      </c>
    </row>
    <row r="192" customFormat="false" ht="15" hidden="false" customHeight="false" outlineLevel="0" collapsed="false">
      <c r="A192" s="7" t="s">
        <v>201</v>
      </c>
      <c r="B192" s="8" t="s">
        <v>210</v>
      </c>
      <c r="C192" s="9" t="n">
        <v>10.59</v>
      </c>
      <c r="D192" s="9" t="n">
        <v>7.5</v>
      </c>
      <c r="E192" s="10" t="n">
        <f aca="false">C192+D192</f>
        <v>18.09</v>
      </c>
      <c r="F192" s="9" t="n">
        <v>34.99</v>
      </c>
      <c r="G192" s="11" t="n">
        <f aca="false">F192*$B$3+0.2</f>
        <v>8.77255</v>
      </c>
      <c r="H192" s="12" t="n">
        <f aca="false">F192-E192-G192</f>
        <v>8.12745</v>
      </c>
      <c r="I192" s="13" t="n">
        <f aca="false">IF(F192&gt;0,H192/F192,0)</f>
        <v>0.232279222635039</v>
      </c>
      <c r="J192" s="8" t="s">
        <v>36</v>
      </c>
    </row>
    <row r="193" customFormat="false" ht="15" hidden="false" customHeight="false" outlineLevel="0" collapsed="false">
      <c r="A193" s="14" t="s">
        <v>201</v>
      </c>
      <c r="B193" s="15" t="s">
        <v>211</v>
      </c>
      <c r="C193" s="16" t="n">
        <v>9.79</v>
      </c>
      <c r="D193" s="16" t="n">
        <v>7</v>
      </c>
      <c r="E193" s="17" t="n">
        <f aca="false">C193+D193</f>
        <v>16.79</v>
      </c>
      <c r="F193" s="16" t="n">
        <v>29.99</v>
      </c>
      <c r="G193" s="18" t="n">
        <f aca="false">F193*$B$3+0.2</f>
        <v>7.54755</v>
      </c>
      <c r="H193" s="19" t="n">
        <f aca="false">F193-E193-G193</f>
        <v>5.65245</v>
      </c>
      <c r="I193" s="20" t="n">
        <f aca="false">IF(F193&gt;0,H193/F193,0)</f>
        <v>0.188477825941981</v>
      </c>
      <c r="J193" s="15" t="s">
        <v>36</v>
      </c>
    </row>
    <row r="194" customFormat="false" ht="15" hidden="false" customHeight="false" outlineLevel="0" collapsed="false">
      <c r="A194" s="7" t="s">
        <v>201</v>
      </c>
      <c r="B194" s="8" t="s">
        <v>212</v>
      </c>
      <c r="C194" s="9" t="n">
        <v>16.89</v>
      </c>
      <c r="D194" s="9" t="n">
        <v>8</v>
      </c>
      <c r="E194" s="10" t="n">
        <f aca="false">C194+D194</f>
        <v>24.89</v>
      </c>
      <c r="F194" s="9" t="n">
        <v>44.99</v>
      </c>
      <c r="G194" s="11" t="n">
        <f aca="false">F194*$B$3+0.2</f>
        <v>11.22255</v>
      </c>
      <c r="H194" s="12" t="n">
        <f aca="false">F194-E194-G194</f>
        <v>8.87745</v>
      </c>
      <c r="I194" s="13" t="n">
        <f aca="false">IF(F194&gt;0,H194/F194,0)</f>
        <v>0.197320515670149</v>
      </c>
      <c r="J194" s="8" t="s">
        <v>36</v>
      </c>
    </row>
    <row r="195" customFormat="false" ht="15" hidden="false" customHeight="false" outlineLevel="0" collapsed="false">
      <c r="A195" s="14" t="s">
        <v>201</v>
      </c>
      <c r="B195" s="15" t="s">
        <v>213</v>
      </c>
      <c r="C195" s="16" t="n">
        <v>15.19</v>
      </c>
      <c r="D195" s="16" t="n">
        <v>8.5</v>
      </c>
      <c r="E195" s="17" t="n">
        <f aca="false">C195+D195</f>
        <v>23.69</v>
      </c>
      <c r="F195" s="16" t="n">
        <v>44.99</v>
      </c>
      <c r="G195" s="18" t="n">
        <f aca="false">F195*$B$3+0.2</f>
        <v>11.22255</v>
      </c>
      <c r="H195" s="19" t="n">
        <f aca="false">F195-E195-G195</f>
        <v>10.07745</v>
      </c>
      <c r="I195" s="20" t="n">
        <f aca="false">IF(F195&gt;0,H195/F195,0)</f>
        <v>0.223993109579907</v>
      </c>
      <c r="J195" s="15" t="s">
        <v>28</v>
      </c>
    </row>
    <row r="196" customFormat="false" ht="15" hidden="false" customHeight="false" outlineLevel="0" collapsed="false">
      <c r="A196" s="7" t="s">
        <v>201</v>
      </c>
      <c r="B196" s="8" t="s">
        <v>214</v>
      </c>
      <c r="C196" s="9" t="n">
        <v>11.59</v>
      </c>
      <c r="D196" s="9" t="n">
        <v>8</v>
      </c>
      <c r="E196" s="10" t="n">
        <f aca="false">C196+D196</f>
        <v>19.59</v>
      </c>
      <c r="F196" s="9" t="n">
        <v>39.99</v>
      </c>
      <c r="G196" s="11" t="n">
        <f aca="false">F196*$B$3+0.2</f>
        <v>9.99755</v>
      </c>
      <c r="H196" s="12" t="n">
        <f aca="false">F196-E196-G196</f>
        <v>10.40245</v>
      </c>
      <c r="I196" s="13" t="n">
        <f aca="false">IF(F196&gt;0,H196/F196,0)</f>
        <v>0.260126281570393</v>
      </c>
      <c r="J196" s="8" t="s">
        <v>28</v>
      </c>
    </row>
    <row r="197" customFormat="false" ht="15" hidden="false" customHeight="false" outlineLevel="0" collapsed="false">
      <c r="A197" s="14" t="s">
        <v>201</v>
      </c>
      <c r="B197" s="15" t="s">
        <v>215</v>
      </c>
      <c r="C197" s="16" t="n">
        <v>10.89</v>
      </c>
      <c r="D197" s="16" t="n">
        <v>7.5</v>
      </c>
      <c r="E197" s="17" t="n">
        <f aca="false">C197+D197</f>
        <v>18.39</v>
      </c>
      <c r="F197" s="16" t="n">
        <v>34.99</v>
      </c>
      <c r="G197" s="18" t="n">
        <f aca="false">F197*$B$3+0.2</f>
        <v>8.77255</v>
      </c>
      <c r="H197" s="19" t="n">
        <f aca="false">F197-E197-G197</f>
        <v>7.82745</v>
      </c>
      <c r="I197" s="20" t="n">
        <f aca="false">IF(F197&gt;0,H197/F197,0)</f>
        <v>0.22370534438411</v>
      </c>
      <c r="J197" s="15" t="s">
        <v>36</v>
      </c>
    </row>
    <row r="198" customFormat="false" ht="15" hidden="false" customHeight="false" outlineLevel="0" collapsed="false">
      <c r="A198" s="7" t="s">
        <v>201</v>
      </c>
      <c r="B198" s="8" t="s">
        <v>216</v>
      </c>
      <c r="C198" s="9" t="n">
        <v>12.29</v>
      </c>
      <c r="D198" s="9" t="n">
        <v>8</v>
      </c>
      <c r="E198" s="10" t="n">
        <f aca="false">C198+D198</f>
        <v>20.29</v>
      </c>
      <c r="F198" s="9" t="n">
        <v>39.99</v>
      </c>
      <c r="G198" s="11" t="n">
        <f aca="false">F198*$B$3+0.2</f>
        <v>9.99755</v>
      </c>
      <c r="H198" s="12" t="n">
        <f aca="false">F198-E198-G198</f>
        <v>9.70245</v>
      </c>
      <c r="I198" s="13" t="n">
        <f aca="false">IF(F198&gt;0,H198/F198,0)</f>
        <v>0.242621905476369</v>
      </c>
      <c r="J198" s="8" t="s">
        <v>36</v>
      </c>
    </row>
    <row r="199" customFormat="false" ht="15" hidden="false" customHeight="false" outlineLevel="0" collapsed="false">
      <c r="A199" s="14" t="s">
        <v>217</v>
      </c>
      <c r="B199" s="15" t="s">
        <v>218</v>
      </c>
      <c r="C199" s="16" t="n">
        <v>6.89</v>
      </c>
      <c r="D199" s="16" t="n">
        <v>8</v>
      </c>
      <c r="E199" s="17" t="n">
        <f aca="false">C199+D199</f>
        <v>14.89</v>
      </c>
      <c r="F199" s="16" t="n">
        <v>34.99</v>
      </c>
      <c r="G199" s="18" t="n">
        <f aca="false">F199*$B$3+0.2</f>
        <v>8.77255</v>
      </c>
      <c r="H199" s="19" t="n">
        <f aca="false">F199-E199-G199</f>
        <v>11.32745</v>
      </c>
      <c r="I199" s="20" t="n">
        <f aca="false">IF(F199&gt;0,H199/F199,0)</f>
        <v>0.32373392397828</v>
      </c>
      <c r="J199" s="15" t="s">
        <v>36</v>
      </c>
    </row>
    <row r="200" customFormat="false" ht="15" hidden="false" customHeight="false" outlineLevel="0" collapsed="false">
      <c r="A200" s="7" t="s">
        <v>217</v>
      </c>
      <c r="B200" s="8" t="s">
        <v>219</v>
      </c>
      <c r="C200" s="9" t="n">
        <v>8.59</v>
      </c>
      <c r="D200" s="9" t="n">
        <v>8.5</v>
      </c>
      <c r="E200" s="10" t="n">
        <f aca="false">C200+D200</f>
        <v>17.09</v>
      </c>
      <c r="F200" s="9" t="n">
        <v>39.99</v>
      </c>
      <c r="G200" s="11" t="n">
        <f aca="false">F200*$B$3+0.2</f>
        <v>9.99755</v>
      </c>
      <c r="H200" s="12" t="n">
        <f aca="false">F200-E200-G200</f>
        <v>12.90245</v>
      </c>
      <c r="I200" s="13" t="n">
        <f aca="false">IF(F200&gt;0,H200/F200,0)</f>
        <v>0.322641910477619</v>
      </c>
      <c r="J200" s="8" t="s">
        <v>36</v>
      </c>
    </row>
    <row r="201" customFormat="false" ht="15" hidden="false" customHeight="false" outlineLevel="0" collapsed="false">
      <c r="A201" s="14" t="s">
        <v>217</v>
      </c>
      <c r="B201" s="15" t="s">
        <v>220</v>
      </c>
      <c r="C201" s="16" t="n">
        <v>8.49</v>
      </c>
      <c r="D201" s="16" t="n">
        <v>8.5</v>
      </c>
      <c r="E201" s="17" t="n">
        <f aca="false">C201+D201</f>
        <v>16.99</v>
      </c>
      <c r="F201" s="16" t="n">
        <v>39.99</v>
      </c>
      <c r="G201" s="18" t="n">
        <f aca="false">F201*$B$3+0.2</f>
        <v>9.99755</v>
      </c>
      <c r="H201" s="19" t="n">
        <f aca="false">F201-E201-G201</f>
        <v>13.00245</v>
      </c>
      <c r="I201" s="20" t="n">
        <f aca="false">IF(F201&gt;0,H201/F201,0)</f>
        <v>0.325142535633908</v>
      </c>
      <c r="J201" s="15" t="s">
        <v>36</v>
      </c>
    </row>
    <row r="202" customFormat="false" ht="15" hidden="false" customHeight="false" outlineLevel="0" collapsed="false">
      <c r="A202" s="7" t="s">
        <v>217</v>
      </c>
      <c r="B202" s="8" t="s">
        <v>221</v>
      </c>
      <c r="C202" s="9" t="n">
        <v>9.69</v>
      </c>
      <c r="D202" s="9" t="n">
        <v>9</v>
      </c>
      <c r="E202" s="10" t="n">
        <f aca="false">C202+D202</f>
        <v>18.69</v>
      </c>
      <c r="F202" s="9" t="n">
        <v>44.99</v>
      </c>
      <c r="G202" s="11" t="n">
        <f aca="false">F202*$B$3+0.2</f>
        <v>11.22255</v>
      </c>
      <c r="H202" s="12" t="n">
        <f aca="false">F202-E202-G202</f>
        <v>15.07745</v>
      </c>
      <c r="I202" s="13" t="n">
        <f aca="false">IF(F202&gt;0,H202/F202,0)</f>
        <v>0.335128917537231</v>
      </c>
      <c r="J202" s="8" t="s">
        <v>81</v>
      </c>
    </row>
    <row r="203" customFormat="false" ht="15" hidden="false" customHeight="false" outlineLevel="0" collapsed="false">
      <c r="A203" s="14" t="s">
        <v>217</v>
      </c>
      <c r="B203" s="15" t="s">
        <v>222</v>
      </c>
      <c r="C203" s="16" t="n">
        <v>10.55</v>
      </c>
      <c r="D203" s="16" t="n">
        <v>9</v>
      </c>
      <c r="E203" s="17" t="n">
        <f aca="false">C203+D203</f>
        <v>19.55</v>
      </c>
      <c r="F203" s="16" t="n">
        <v>44.99</v>
      </c>
      <c r="G203" s="18" t="n">
        <f aca="false">F203*$B$3+0.2</f>
        <v>11.22255</v>
      </c>
      <c r="H203" s="19" t="n">
        <f aca="false">F203-E203-G203</f>
        <v>14.21745</v>
      </c>
      <c r="I203" s="20" t="n">
        <f aca="false">IF(F203&gt;0,H203/F203,0)</f>
        <v>0.316013558568571</v>
      </c>
      <c r="J203" s="15" t="s">
        <v>36</v>
      </c>
    </row>
    <row r="204" customFormat="false" ht="15" hidden="false" customHeight="false" outlineLevel="0" collapsed="false">
      <c r="A204" s="7" t="s">
        <v>217</v>
      </c>
      <c r="B204" s="8" t="s">
        <v>223</v>
      </c>
      <c r="C204" s="9" t="n">
        <v>10.77</v>
      </c>
      <c r="D204" s="9" t="n">
        <v>8.5</v>
      </c>
      <c r="E204" s="10" t="n">
        <f aca="false">C204+D204</f>
        <v>19.27</v>
      </c>
      <c r="F204" s="9" t="n">
        <v>39.99</v>
      </c>
      <c r="G204" s="11" t="n">
        <f aca="false">F204*$B$3+0.2</f>
        <v>9.99755</v>
      </c>
      <c r="H204" s="12" t="n">
        <f aca="false">F204-E204-G204</f>
        <v>10.72245</v>
      </c>
      <c r="I204" s="13" t="n">
        <f aca="false">IF(F204&gt;0,H204/F204,0)</f>
        <v>0.268128282070518</v>
      </c>
      <c r="J204" s="8" t="s">
        <v>45</v>
      </c>
    </row>
    <row r="205" customFormat="false" ht="15" hidden="false" customHeight="false" outlineLevel="0" collapsed="false">
      <c r="A205" s="14" t="s">
        <v>217</v>
      </c>
      <c r="B205" s="15" t="s">
        <v>224</v>
      </c>
      <c r="C205" s="16" t="n">
        <v>10.89</v>
      </c>
      <c r="D205" s="16" t="n">
        <v>9</v>
      </c>
      <c r="E205" s="17" t="n">
        <f aca="false">C205+D205</f>
        <v>19.89</v>
      </c>
      <c r="F205" s="16" t="n">
        <v>44.99</v>
      </c>
      <c r="G205" s="18" t="n">
        <f aca="false">F205*$B$3+0.2</f>
        <v>11.22255</v>
      </c>
      <c r="H205" s="19" t="n">
        <f aca="false">F205-E205-G205</f>
        <v>13.87745</v>
      </c>
      <c r="I205" s="20" t="n">
        <f aca="false">IF(F205&gt;0,H205/F205,0)</f>
        <v>0.308456323627473</v>
      </c>
      <c r="J205" s="15" t="s">
        <v>81</v>
      </c>
    </row>
    <row r="206" customFormat="false" ht="15" hidden="false" customHeight="false" outlineLevel="0" collapsed="false">
      <c r="A206" s="7" t="s">
        <v>217</v>
      </c>
      <c r="B206" s="8" t="s">
        <v>225</v>
      </c>
      <c r="C206" s="9" t="n">
        <v>10.99</v>
      </c>
      <c r="D206" s="9" t="n">
        <v>9</v>
      </c>
      <c r="E206" s="10" t="n">
        <f aca="false">C206+D206</f>
        <v>19.99</v>
      </c>
      <c r="F206" s="9" t="n">
        <v>44.99</v>
      </c>
      <c r="G206" s="11" t="n">
        <f aca="false">F206*$B$3+0.2</f>
        <v>11.22255</v>
      </c>
      <c r="H206" s="12" t="n">
        <f aca="false">F206-E206-G206</f>
        <v>13.77745</v>
      </c>
      <c r="I206" s="13" t="n">
        <f aca="false">IF(F206&gt;0,H206/F206,0)</f>
        <v>0.306233607468326</v>
      </c>
      <c r="J206" s="8" t="s">
        <v>81</v>
      </c>
    </row>
    <row r="207" customFormat="false" ht="15" hidden="false" customHeight="false" outlineLevel="0" collapsed="false">
      <c r="A207" s="14" t="s">
        <v>217</v>
      </c>
      <c r="B207" s="15" t="s">
        <v>226</v>
      </c>
      <c r="C207" s="16" t="n">
        <v>11.09</v>
      </c>
      <c r="D207" s="16" t="n">
        <v>8.5</v>
      </c>
      <c r="E207" s="17" t="n">
        <f aca="false">C207+D207</f>
        <v>19.59</v>
      </c>
      <c r="F207" s="16" t="n">
        <v>39.99</v>
      </c>
      <c r="G207" s="18" t="n">
        <f aca="false">F207*$B$3+0.2</f>
        <v>9.99755</v>
      </c>
      <c r="H207" s="19" t="n">
        <f aca="false">F207-E207-G207</f>
        <v>10.40245</v>
      </c>
      <c r="I207" s="20" t="n">
        <f aca="false">IF(F207&gt;0,H207/F207,0)</f>
        <v>0.260126281570393</v>
      </c>
      <c r="J207" s="15" t="s">
        <v>45</v>
      </c>
    </row>
    <row r="208" customFormat="false" ht="15" hidden="false" customHeight="false" outlineLevel="0" collapsed="false">
      <c r="A208" s="7" t="s">
        <v>217</v>
      </c>
      <c r="B208" s="8" t="s">
        <v>227</v>
      </c>
      <c r="C208" s="9" t="n">
        <v>11.89</v>
      </c>
      <c r="D208" s="9" t="n">
        <v>9</v>
      </c>
      <c r="E208" s="10" t="n">
        <f aca="false">C208+D208</f>
        <v>20.89</v>
      </c>
      <c r="F208" s="9" t="n">
        <v>44.99</v>
      </c>
      <c r="G208" s="11" t="n">
        <f aca="false">F208*$B$3+0.2</f>
        <v>11.22255</v>
      </c>
      <c r="H208" s="12" t="n">
        <f aca="false">F208-E208-G208</f>
        <v>12.87745</v>
      </c>
      <c r="I208" s="13" t="n">
        <f aca="false">IF(F208&gt;0,H208/F208,0)</f>
        <v>0.286229162036008</v>
      </c>
      <c r="J208" s="8" t="s">
        <v>81</v>
      </c>
    </row>
    <row r="209" customFormat="false" ht="15" hidden="false" customHeight="false" outlineLevel="0" collapsed="false">
      <c r="A209" s="14" t="s">
        <v>217</v>
      </c>
      <c r="B209" s="15" t="s">
        <v>228</v>
      </c>
      <c r="C209" s="16" t="n">
        <v>12.99</v>
      </c>
      <c r="D209" s="16" t="n">
        <v>9</v>
      </c>
      <c r="E209" s="17" t="n">
        <f aca="false">C209+D209</f>
        <v>21.99</v>
      </c>
      <c r="F209" s="16" t="n">
        <v>49.99</v>
      </c>
      <c r="G209" s="18" t="n">
        <f aca="false">F209*$B$3+0.2</f>
        <v>12.44755</v>
      </c>
      <c r="H209" s="19" t="n">
        <f aca="false">F209-E209-G209</f>
        <v>15.55245</v>
      </c>
      <c r="I209" s="20" t="n">
        <f aca="false">IF(F209&gt;0,H209/F209,0)</f>
        <v>0.311111222244449</v>
      </c>
      <c r="J209" s="15" t="s">
        <v>81</v>
      </c>
    </row>
    <row r="210" customFormat="false" ht="15" hidden="false" customHeight="false" outlineLevel="0" collapsed="false">
      <c r="A210" s="7" t="s">
        <v>217</v>
      </c>
      <c r="B210" s="8" t="s">
        <v>229</v>
      </c>
      <c r="C210" s="9" t="n">
        <v>13.29</v>
      </c>
      <c r="D210" s="9" t="n">
        <v>9.5</v>
      </c>
      <c r="E210" s="10" t="n">
        <f aca="false">C210+D210</f>
        <v>22.79</v>
      </c>
      <c r="F210" s="9" t="n">
        <v>49.99</v>
      </c>
      <c r="G210" s="11" t="n">
        <f aca="false">F210*$B$3+0.2</f>
        <v>12.44755</v>
      </c>
      <c r="H210" s="12" t="n">
        <f aca="false">F210-E210-G210</f>
        <v>14.75245</v>
      </c>
      <c r="I210" s="13" t="n">
        <f aca="false">IF(F210&gt;0,H210/F210,0)</f>
        <v>0.295108021604321</v>
      </c>
      <c r="J210" s="8" t="s">
        <v>36</v>
      </c>
    </row>
    <row r="211" customFormat="false" ht="15" hidden="false" customHeight="false" outlineLevel="0" collapsed="false">
      <c r="A211" s="14" t="s">
        <v>217</v>
      </c>
      <c r="B211" s="15" t="s">
        <v>230</v>
      </c>
      <c r="C211" s="16" t="n">
        <v>13.39</v>
      </c>
      <c r="D211" s="16" t="n">
        <v>9.5</v>
      </c>
      <c r="E211" s="17" t="n">
        <f aca="false">C211+D211</f>
        <v>22.89</v>
      </c>
      <c r="F211" s="16" t="n">
        <v>49.99</v>
      </c>
      <c r="G211" s="18" t="n">
        <f aca="false">F211*$B$3+0.2</f>
        <v>12.44755</v>
      </c>
      <c r="H211" s="19" t="n">
        <f aca="false">F211-E211-G211</f>
        <v>14.65245</v>
      </c>
      <c r="I211" s="20" t="n">
        <f aca="false">IF(F211&gt;0,H211/F211,0)</f>
        <v>0.293107621524305</v>
      </c>
      <c r="J211" s="15" t="s">
        <v>81</v>
      </c>
    </row>
    <row r="212" customFormat="false" ht="15" hidden="false" customHeight="false" outlineLevel="0" collapsed="false">
      <c r="A212" s="7" t="s">
        <v>217</v>
      </c>
      <c r="B212" s="8" t="s">
        <v>231</v>
      </c>
      <c r="C212" s="9" t="n">
        <v>13.59</v>
      </c>
      <c r="D212" s="9" t="n">
        <v>9.5</v>
      </c>
      <c r="E212" s="10" t="n">
        <f aca="false">C212+D212</f>
        <v>23.09</v>
      </c>
      <c r="F212" s="9" t="n">
        <v>49.99</v>
      </c>
      <c r="G212" s="11" t="n">
        <f aca="false">F212*$B$3+0.2</f>
        <v>12.44755</v>
      </c>
      <c r="H212" s="12" t="n">
        <f aca="false">F212-E212-G212</f>
        <v>14.45245</v>
      </c>
      <c r="I212" s="13" t="n">
        <f aca="false">IF(F212&gt;0,H212/F212,0)</f>
        <v>0.289106821364273</v>
      </c>
      <c r="J212" s="8" t="s">
        <v>81</v>
      </c>
    </row>
    <row r="213" customFormat="false" ht="15" hidden="false" customHeight="false" outlineLevel="0" collapsed="false">
      <c r="A213" s="14" t="s">
        <v>217</v>
      </c>
      <c r="B213" s="15" t="s">
        <v>232</v>
      </c>
      <c r="C213" s="16" t="n">
        <v>15.39</v>
      </c>
      <c r="D213" s="16" t="n">
        <v>10.95</v>
      </c>
      <c r="E213" s="17" t="n">
        <f aca="false">C213+D213</f>
        <v>26.34</v>
      </c>
      <c r="F213" s="16" t="n">
        <v>54.99</v>
      </c>
      <c r="G213" s="18" t="n">
        <f aca="false">F213*$B$3+0.2</f>
        <v>13.67255</v>
      </c>
      <c r="H213" s="19" t="n">
        <f aca="false">F213-E213-G213</f>
        <v>14.97745</v>
      </c>
      <c r="I213" s="20" t="n">
        <f aca="false">IF(F213&gt;0,H213/F213,0)</f>
        <v>0.272366793962539</v>
      </c>
      <c r="J213" s="15" t="s">
        <v>81</v>
      </c>
    </row>
    <row r="214" customFormat="false" ht="15" hidden="false" customHeight="false" outlineLevel="0" collapsed="false">
      <c r="A214" s="7" t="s">
        <v>217</v>
      </c>
      <c r="B214" s="8" t="s">
        <v>233</v>
      </c>
      <c r="C214" s="9" t="n">
        <v>12.59</v>
      </c>
      <c r="D214" s="9" t="n">
        <v>9.5</v>
      </c>
      <c r="E214" s="10" t="n">
        <f aca="false">C214+D214</f>
        <v>22.09</v>
      </c>
      <c r="F214" s="9" t="n">
        <v>49.99</v>
      </c>
      <c r="G214" s="11" t="n">
        <f aca="false">F214*$B$3+0.2</f>
        <v>12.44755</v>
      </c>
      <c r="H214" s="12" t="n">
        <f aca="false">F214-E214-G214</f>
        <v>15.45245</v>
      </c>
      <c r="I214" s="13" t="n">
        <f aca="false">IF(F214&gt;0,H214/F214,0)</f>
        <v>0.309110822164433</v>
      </c>
      <c r="J214" s="8" t="s">
        <v>36</v>
      </c>
    </row>
    <row r="215" customFormat="false" ht="15" hidden="false" customHeight="false" outlineLevel="0" collapsed="false">
      <c r="A215" s="14" t="s">
        <v>217</v>
      </c>
      <c r="B215" s="15" t="s">
        <v>234</v>
      </c>
      <c r="C215" s="16" t="n">
        <v>14.29</v>
      </c>
      <c r="D215" s="16" t="n">
        <v>9.5</v>
      </c>
      <c r="E215" s="17" t="n">
        <f aca="false">C215+D215</f>
        <v>23.79</v>
      </c>
      <c r="F215" s="16" t="n">
        <v>49.99</v>
      </c>
      <c r="G215" s="18" t="n">
        <f aca="false">F215*$B$3+0.2</f>
        <v>12.44755</v>
      </c>
      <c r="H215" s="19" t="n">
        <f aca="false">F215-E215-G215</f>
        <v>13.75245</v>
      </c>
      <c r="I215" s="20" t="n">
        <f aca="false">IF(F215&gt;0,H215/F215,0)</f>
        <v>0.275104020804161</v>
      </c>
      <c r="J215" s="15" t="s">
        <v>81</v>
      </c>
    </row>
    <row r="216" customFormat="false" ht="15" hidden="false" customHeight="false" outlineLevel="0" collapsed="false">
      <c r="A216" s="7" t="s">
        <v>217</v>
      </c>
      <c r="B216" s="8" t="s">
        <v>235</v>
      </c>
      <c r="C216" s="9" t="n">
        <v>17.94</v>
      </c>
      <c r="D216" s="9" t="n">
        <v>10.5</v>
      </c>
      <c r="E216" s="10" t="n">
        <f aca="false">C216+D216</f>
        <v>28.44</v>
      </c>
      <c r="F216" s="9" t="n">
        <v>59.99</v>
      </c>
      <c r="G216" s="11" t="n">
        <f aca="false">F216*$B$3+0.2</f>
        <v>14.89755</v>
      </c>
      <c r="H216" s="12" t="n">
        <f aca="false">F216-E216-G216</f>
        <v>16.65245</v>
      </c>
      <c r="I216" s="13" t="n">
        <f aca="false">IF(F216&gt;0,H216/F216,0)</f>
        <v>0.277587097849642</v>
      </c>
      <c r="J216" s="8" t="s">
        <v>81</v>
      </c>
    </row>
    <row r="217" customFormat="false" ht="15" hidden="false" customHeight="false" outlineLevel="0" collapsed="false">
      <c r="A217" s="14" t="s">
        <v>236</v>
      </c>
      <c r="B217" s="15" t="s">
        <v>237</v>
      </c>
      <c r="C217" s="16" t="n">
        <v>8.69</v>
      </c>
      <c r="D217" s="16" t="n">
        <v>5.5</v>
      </c>
      <c r="E217" s="17" t="n">
        <f aca="false">C217+D217</f>
        <v>14.19</v>
      </c>
      <c r="F217" s="16" t="n">
        <v>34.99</v>
      </c>
      <c r="G217" s="18" t="n">
        <f aca="false">F217*$B$3+0.2</f>
        <v>8.77255</v>
      </c>
      <c r="H217" s="19" t="n">
        <f aca="false">F217-E217-G217</f>
        <v>12.02745</v>
      </c>
      <c r="I217" s="20" t="n">
        <f aca="false">IF(F217&gt;0,H217/F217,0)</f>
        <v>0.343739639897114</v>
      </c>
      <c r="J217" s="15" t="s">
        <v>17</v>
      </c>
    </row>
    <row r="218" customFormat="false" ht="15" hidden="false" customHeight="false" outlineLevel="0" collapsed="false">
      <c r="A218" s="7" t="s">
        <v>236</v>
      </c>
      <c r="B218" s="8" t="s">
        <v>238</v>
      </c>
      <c r="C218" s="9" t="n">
        <v>8.49</v>
      </c>
      <c r="D218" s="9" t="n">
        <v>6</v>
      </c>
      <c r="E218" s="10" t="n">
        <f aca="false">C218+D218</f>
        <v>14.49</v>
      </c>
      <c r="F218" s="9" t="n">
        <v>34.99</v>
      </c>
      <c r="G218" s="11" t="n">
        <f aca="false">F218*$B$3+0.2</f>
        <v>8.77255</v>
      </c>
      <c r="H218" s="12" t="n">
        <f aca="false">F218-E218-G218</f>
        <v>11.72745</v>
      </c>
      <c r="I218" s="13" t="n">
        <f aca="false">IF(F218&gt;0,H218/F218,0)</f>
        <v>0.335165761646185</v>
      </c>
      <c r="J218" s="8" t="s">
        <v>17</v>
      </c>
    </row>
    <row r="219" customFormat="false" ht="15" hidden="false" customHeight="false" outlineLevel="0" collapsed="false">
      <c r="A219" s="14" t="s">
        <v>236</v>
      </c>
      <c r="B219" s="15" t="s">
        <v>239</v>
      </c>
      <c r="C219" s="16" t="n">
        <v>9.49</v>
      </c>
      <c r="D219" s="16" t="n">
        <v>5.5</v>
      </c>
      <c r="E219" s="17" t="n">
        <f aca="false">C219+D219</f>
        <v>14.99</v>
      </c>
      <c r="F219" s="16" t="n">
        <v>34.99</v>
      </c>
      <c r="G219" s="18" t="n">
        <f aca="false">F219*$B$3+0.2</f>
        <v>8.77255</v>
      </c>
      <c r="H219" s="19" t="n">
        <f aca="false">F219-E219-G219</f>
        <v>11.22745</v>
      </c>
      <c r="I219" s="20" t="n">
        <f aca="false">IF(F219&gt;0,H219/F219,0)</f>
        <v>0.320875964561303</v>
      </c>
      <c r="J219" s="15" t="s">
        <v>17</v>
      </c>
    </row>
    <row r="220" customFormat="false" ht="15" hidden="false" customHeight="false" outlineLevel="0" collapsed="false">
      <c r="A220" s="7" t="s">
        <v>236</v>
      </c>
      <c r="B220" s="8" t="s">
        <v>240</v>
      </c>
      <c r="C220" s="9" t="n">
        <v>7.29</v>
      </c>
      <c r="D220" s="9" t="n">
        <v>5.5</v>
      </c>
      <c r="E220" s="10" t="n">
        <f aca="false">C220+D220</f>
        <v>12.79</v>
      </c>
      <c r="F220" s="9" t="n">
        <v>29.99</v>
      </c>
      <c r="G220" s="11" t="n">
        <f aca="false">F220*$B$3+0.2</f>
        <v>7.54755</v>
      </c>
      <c r="H220" s="12" t="n">
        <f aca="false">F220-E220-G220</f>
        <v>9.65245</v>
      </c>
      <c r="I220" s="13" t="n">
        <f aca="false">IF(F220&gt;0,H220/F220,0)</f>
        <v>0.321855618539513</v>
      </c>
      <c r="J220" s="8" t="s">
        <v>17</v>
      </c>
    </row>
    <row r="221" customFormat="false" ht="15" hidden="false" customHeight="false" outlineLevel="0" collapsed="false">
      <c r="A221" s="14" t="s">
        <v>236</v>
      </c>
      <c r="B221" s="15" t="s">
        <v>241</v>
      </c>
      <c r="C221" s="16" t="n">
        <v>10.59</v>
      </c>
      <c r="D221" s="16" t="n">
        <v>6.5</v>
      </c>
      <c r="E221" s="17" t="n">
        <f aca="false">C221+D221</f>
        <v>17.09</v>
      </c>
      <c r="F221" s="16" t="n">
        <v>39.99</v>
      </c>
      <c r="G221" s="18" t="n">
        <f aca="false">F221*$B$3+0.2</f>
        <v>9.99755</v>
      </c>
      <c r="H221" s="19" t="n">
        <f aca="false">F221-E221-G221</f>
        <v>12.90245</v>
      </c>
      <c r="I221" s="20" t="n">
        <f aca="false">IF(F221&gt;0,H221/F221,0)</f>
        <v>0.322641910477619</v>
      </c>
      <c r="J221" s="15" t="s">
        <v>17</v>
      </c>
    </row>
    <row r="222" customFormat="false" ht="15" hidden="false" customHeight="false" outlineLevel="0" collapsed="false">
      <c r="A222" s="7" t="s">
        <v>236</v>
      </c>
      <c r="B222" s="8" t="s">
        <v>242</v>
      </c>
      <c r="C222" s="9" t="n">
        <v>8.99</v>
      </c>
      <c r="D222" s="9" t="n">
        <v>7</v>
      </c>
      <c r="E222" s="10" t="n">
        <f aca="false">C222+D222</f>
        <v>15.99</v>
      </c>
      <c r="F222" s="9" t="n">
        <v>34.99</v>
      </c>
      <c r="G222" s="11" t="n">
        <f aca="false">F222*$B$3+0.2</f>
        <v>8.77255</v>
      </c>
      <c r="H222" s="12" t="n">
        <f aca="false">F222-E222-G222</f>
        <v>10.22745</v>
      </c>
      <c r="I222" s="13" t="n">
        <f aca="false">IF(F222&gt;0,H222/F222,0)</f>
        <v>0.29229637039154</v>
      </c>
      <c r="J222" s="8" t="s">
        <v>17</v>
      </c>
    </row>
    <row r="223" customFormat="false" ht="15" hidden="false" customHeight="false" outlineLevel="0" collapsed="false">
      <c r="A223" s="14" t="s">
        <v>236</v>
      </c>
      <c r="B223" s="15" t="s">
        <v>243</v>
      </c>
      <c r="C223" s="16" t="n">
        <v>8.89</v>
      </c>
      <c r="D223" s="16" t="n">
        <v>5.5</v>
      </c>
      <c r="E223" s="17" t="n">
        <f aca="false">C223+D223</f>
        <v>14.39</v>
      </c>
      <c r="F223" s="16" t="n">
        <v>34.99</v>
      </c>
      <c r="G223" s="18" t="n">
        <f aca="false">F223*$B$3+0.2</f>
        <v>8.77255</v>
      </c>
      <c r="H223" s="19" t="n">
        <f aca="false">F223-E223-G223</f>
        <v>11.82745</v>
      </c>
      <c r="I223" s="20" t="n">
        <f aca="false">IF(F223&gt;0,H223/F223,0)</f>
        <v>0.338023721063161</v>
      </c>
      <c r="J223" s="15" t="s">
        <v>17</v>
      </c>
    </row>
    <row r="224" customFormat="false" ht="15" hidden="false" customHeight="false" outlineLevel="0" collapsed="false">
      <c r="A224" s="7" t="s">
        <v>236</v>
      </c>
      <c r="B224" s="8" t="s">
        <v>244</v>
      </c>
      <c r="C224" s="9" t="n">
        <v>9.29</v>
      </c>
      <c r="D224" s="9" t="n">
        <v>6</v>
      </c>
      <c r="E224" s="10" t="n">
        <f aca="false">C224+D224</f>
        <v>15.29</v>
      </c>
      <c r="F224" s="9" t="n">
        <v>34.99</v>
      </c>
      <c r="G224" s="11" t="n">
        <f aca="false">F224*$B$3+0.2</f>
        <v>8.77255</v>
      </c>
      <c r="H224" s="12" t="n">
        <f aca="false">F224-E224-G224</f>
        <v>10.92745</v>
      </c>
      <c r="I224" s="13" t="n">
        <f aca="false">IF(F224&gt;0,H224/F224,0)</f>
        <v>0.312302086310375</v>
      </c>
      <c r="J224" s="8" t="s">
        <v>17</v>
      </c>
    </row>
    <row r="225" customFormat="false" ht="15" hidden="false" customHeight="false" outlineLevel="0" collapsed="false">
      <c r="A225" s="14" t="s">
        <v>245</v>
      </c>
      <c r="B225" s="15" t="s">
        <v>246</v>
      </c>
      <c r="C225" s="16" t="n">
        <v>7.39</v>
      </c>
      <c r="D225" s="16" t="n">
        <v>7</v>
      </c>
      <c r="E225" s="17" t="n">
        <f aca="false">C225+D225</f>
        <v>14.39</v>
      </c>
      <c r="F225" s="16" t="n">
        <v>34.99</v>
      </c>
      <c r="G225" s="18" t="n">
        <f aca="false">F225*$B$3+0.2</f>
        <v>8.77255</v>
      </c>
      <c r="H225" s="19" t="n">
        <f aca="false">F225-E225-G225</f>
        <v>11.82745</v>
      </c>
      <c r="I225" s="20" t="n">
        <f aca="false">IF(F225&gt;0,H225/F225,0)</f>
        <v>0.338023721063161</v>
      </c>
      <c r="J225" s="15" t="s">
        <v>17</v>
      </c>
    </row>
    <row r="226" customFormat="false" ht="15" hidden="false" customHeight="false" outlineLevel="0" collapsed="false">
      <c r="A226" s="7" t="s">
        <v>245</v>
      </c>
      <c r="B226" s="8" t="s">
        <v>247</v>
      </c>
      <c r="C226" s="9" t="n">
        <v>11.19</v>
      </c>
      <c r="D226" s="9" t="n">
        <v>8.5</v>
      </c>
      <c r="E226" s="10" t="n">
        <f aca="false">C226+D226</f>
        <v>19.69</v>
      </c>
      <c r="F226" s="9" t="n">
        <v>39.99</v>
      </c>
      <c r="G226" s="11" t="n">
        <f aca="false">F226*$B$3+0.2</f>
        <v>9.99755</v>
      </c>
      <c r="H226" s="12" t="n">
        <f aca="false">F226-E226-G226</f>
        <v>10.30245</v>
      </c>
      <c r="I226" s="13" t="n">
        <f aca="false">IF(F226&gt;0,H226/F226,0)</f>
        <v>0.257625656414104</v>
      </c>
      <c r="J226" s="8" t="s">
        <v>36</v>
      </c>
    </row>
    <row r="227" customFormat="false" ht="15" hidden="false" customHeight="false" outlineLevel="0" collapsed="false">
      <c r="A227" s="14" t="s">
        <v>245</v>
      </c>
      <c r="B227" s="15" t="s">
        <v>248</v>
      </c>
      <c r="C227" s="16" t="n">
        <v>11.19</v>
      </c>
      <c r="D227" s="16" t="n">
        <v>8.5</v>
      </c>
      <c r="E227" s="17" t="n">
        <f aca="false">C227+D227</f>
        <v>19.69</v>
      </c>
      <c r="F227" s="16" t="n">
        <v>39.99</v>
      </c>
      <c r="G227" s="18" t="n">
        <f aca="false">F227*$B$3+0.2</f>
        <v>9.99755</v>
      </c>
      <c r="H227" s="19" t="n">
        <f aca="false">F227-E227-G227</f>
        <v>10.30245</v>
      </c>
      <c r="I227" s="20" t="n">
        <f aca="false">IF(F227&gt;0,H227/F227,0)</f>
        <v>0.257625656414104</v>
      </c>
      <c r="J227" s="15" t="s">
        <v>28</v>
      </c>
    </row>
    <row r="228" customFormat="false" ht="15" hidden="false" customHeight="false" outlineLevel="0" collapsed="false">
      <c r="A228" s="7" t="s">
        <v>245</v>
      </c>
      <c r="B228" s="8" t="s">
        <v>249</v>
      </c>
      <c r="C228" s="9" t="n">
        <v>10.67</v>
      </c>
      <c r="D228" s="9" t="n">
        <v>8.5</v>
      </c>
      <c r="E228" s="10" t="n">
        <f aca="false">C228+D228</f>
        <v>19.17</v>
      </c>
      <c r="F228" s="9" t="n">
        <v>39.99</v>
      </c>
      <c r="G228" s="11" t="n">
        <f aca="false">F228*$B$3+0.2</f>
        <v>9.99755</v>
      </c>
      <c r="H228" s="12" t="n">
        <f aca="false">F228-E228-G228</f>
        <v>10.82245</v>
      </c>
      <c r="I228" s="13" t="n">
        <f aca="false">IF(F228&gt;0,H228/F228,0)</f>
        <v>0.270628907226807</v>
      </c>
      <c r="J228" s="8" t="s">
        <v>36</v>
      </c>
    </row>
    <row r="229" customFormat="false" ht="15" hidden="false" customHeight="false" outlineLevel="0" collapsed="false">
      <c r="A229" s="14" t="s">
        <v>245</v>
      </c>
      <c r="B229" s="15" t="s">
        <v>250</v>
      </c>
      <c r="C229" s="16" t="n">
        <v>8.79</v>
      </c>
      <c r="D229" s="16" t="n">
        <v>7.5</v>
      </c>
      <c r="E229" s="17" t="n">
        <f aca="false">C229+D229</f>
        <v>16.29</v>
      </c>
      <c r="F229" s="16" t="n">
        <v>34.99</v>
      </c>
      <c r="G229" s="18" t="n">
        <f aca="false">F229*$B$3+0.2</f>
        <v>8.77255</v>
      </c>
      <c r="H229" s="19" t="n">
        <f aca="false">F229-E229-G229</f>
        <v>9.92745</v>
      </c>
      <c r="I229" s="20" t="n">
        <f aca="false">IF(F229&gt;0,H229/F229,0)</f>
        <v>0.283722492140612</v>
      </c>
      <c r="J229" s="15" t="s">
        <v>17</v>
      </c>
    </row>
    <row r="230" customFormat="false" ht="15" hidden="false" customHeight="false" outlineLevel="0" collapsed="false">
      <c r="A230" s="7" t="s">
        <v>245</v>
      </c>
      <c r="B230" s="8" t="s">
        <v>251</v>
      </c>
      <c r="C230" s="9" t="n">
        <v>16.99</v>
      </c>
      <c r="D230" s="9" t="n">
        <v>9</v>
      </c>
      <c r="E230" s="10" t="n">
        <f aca="false">C230+D230</f>
        <v>25.99</v>
      </c>
      <c r="F230" s="9" t="n">
        <v>49.99</v>
      </c>
      <c r="G230" s="11" t="n">
        <f aca="false">F230*$B$3+0.2</f>
        <v>12.44755</v>
      </c>
      <c r="H230" s="12" t="n">
        <f aca="false">F230-E230-G230</f>
        <v>11.55245</v>
      </c>
      <c r="I230" s="13" t="n">
        <f aca="false">IF(F230&gt;0,H230/F230,0)</f>
        <v>0.231095219043809</v>
      </c>
      <c r="J230" s="8" t="s">
        <v>36</v>
      </c>
    </row>
    <row r="231" customFormat="false" ht="15" hidden="false" customHeight="false" outlineLevel="0" collapsed="false">
      <c r="A231" s="14" t="s">
        <v>245</v>
      </c>
      <c r="B231" s="15" t="s">
        <v>252</v>
      </c>
      <c r="C231" s="16" t="n">
        <v>18.49</v>
      </c>
      <c r="D231" s="16" t="n">
        <v>9.5</v>
      </c>
      <c r="E231" s="17" t="n">
        <f aca="false">C231+D231</f>
        <v>27.99</v>
      </c>
      <c r="F231" s="16" t="n">
        <v>54.99</v>
      </c>
      <c r="G231" s="18" t="n">
        <f aca="false">F231*$B$3+0.2</f>
        <v>13.67255</v>
      </c>
      <c r="H231" s="19" t="n">
        <f aca="false">F231-E231-G231</f>
        <v>13.32745</v>
      </c>
      <c r="I231" s="20" t="n">
        <f aca="false">IF(F231&gt;0,H231/F231,0)</f>
        <v>0.242361338425168</v>
      </c>
      <c r="J231" s="15" t="s">
        <v>36</v>
      </c>
    </row>
    <row r="232" customFormat="false" ht="15" hidden="false" customHeight="false" outlineLevel="0" collapsed="false">
      <c r="A232" s="7" t="s">
        <v>245</v>
      </c>
      <c r="B232" s="8" t="s">
        <v>253</v>
      </c>
      <c r="C232" s="9" t="n">
        <v>12.99</v>
      </c>
      <c r="D232" s="9" t="n">
        <v>9</v>
      </c>
      <c r="E232" s="10" t="n">
        <f aca="false">C232+D232</f>
        <v>21.99</v>
      </c>
      <c r="F232" s="9" t="n">
        <v>44.99</v>
      </c>
      <c r="G232" s="11" t="n">
        <f aca="false">F232*$B$3+0.2</f>
        <v>11.22255</v>
      </c>
      <c r="H232" s="12" t="n">
        <f aca="false">F232-E232-G232</f>
        <v>11.77745</v>
      </c>
      <c r="I232" s="13" t="n">
        <f aca="false">IF(F232&gt;0,H232/F232,0)</f>
        <v>0.261779284285397</v>
      </c>
      <c r="J232" s="8" t="s">
        <v>81</v>
      </c>
    </row>
    <row r="233" customFormat="false" ht="15" hidden="false" customHeight="false" outlineLevel="0" collapsed="false">
      <c r="A233" s="14" t="s">
        <v>245</v>
      </c>
      <c r="B233" s="15" t="s">
        <v>254</v>
      </c>
      <c r="C233" s="16" t="n">
        <v>13.39</v>
      </c>
      <c r="D233" s="16" t="n">
        <v>7.5</v>
      </c>
      <c r="E233" s="17" t="n">
        <f aca="false">C233+D233</f>
        <v>20.89</v>
      </c>
      <c r="F233" s="16" t="n">
        <v>34.99</v>
      </c>
      <c r="G233" s="18" t="n">
        <f aca="false">F233*$B$3+0.2</f>
        <v>8.77255</v>
      </c>
      <c r="H233" s="19" t="n">
        <f aca="false">F233-E233-G233</f>
        <v>5.32745</v>
      </c>
      <c r="I233" s="20" t="n">
        <f aca="false">IF(F233&gt;0,H233/F233,0)</f>
        <v>0.152256358959703</v>
      </c>
      <c r="J233" s="15" t="s">
        <v>36</v>
      </c>
    </row>
    <row r="234" customFormat="false" ht="15" hidden="false" customHeight="false" outlineLevel="0" collapsed="false">
      <c r="A234" s="7" t="s">
        <v>245</v>
      </c>
      <c r="B234" s="8" t="s">
        <v>255</v>
      </c>
      <c r="C234" s="9" t="n">
        <v>13.39</v>
      </c>
      <c r="D234" s="9" t="n">
        <v>8</v>
      </c>
      <c r="E234" s="10" t="n">
        <f aca="false">C234+D234</f>
        <v>21.39</v>
      </c>
      <c r="F234" s="9" t="n">
        <v>34.99</v>
      </c>
      <c r="G234" s="11" t="n">
        <f aca="false">F234*$B$3+0.2</f>
        <v>8.77255</v>
      </c>
      <c r="H234" s="12" t="n">
        <f aca="false">F234-E234-G234</f>
        <v>4.82745</v>
      </c>
      <c r="I234" s="13" t="n">
        <f aca="false">IF(F234&gt;0,H234/F234,0)</f>
        <v>0.137966561874821</v>
      </c>
      <c r="J234" s="8" t="s">
        <v>36</v>
      </c>
    </row>
    <row r="235" customFormat="false" ht="15" hidden="false" customHeight="false" outlineLevel="0" collapsed="false">
      <c r="A235" s="14" t="s">
        <v>245</v>
      </c>
      <c r="B235" s="15" t="s">
        <v>256</v>
      </c>
      <c r="C235" s="16" t="n">
        <v>23.49</v>
      </c>
      <c r="D235" s="16" t="n">
        <v>10.5</v>
      </c>
      <c r="E235" s="17" t="n">
        <f aca="false">C235+D235</f>
        <v>33.99</v>
      </c>
      <c r="F235" s="16" t="n">
        <v>64.99</v>
      </c>
      <c r="G235" s="18" t="n">
        <f aca="false">F235*$B$3+0.2</f>
        <v>16.12255</v>
      </c>
      <c r="H235" s="19" t="n">
        <f aca="false">F235-E235-G235</f>
        <v>14.87745</v>
      </c>
      <c r="I235" s="20" t="n">
        <f aca="false">IF(F235&gt;0,H235/F235,0)</f>
        <v>0.228919064471457</v>
      </c>
      <c r="J235" s="15" t="s">
        <v>81</v>
      </c>
    </row>
    <row r="236" customFormat="false" ht="15" hidden="false" customHeight="false" outlineLevel="0" collapsed="false">
      <c r="A236" s="7" t="s">
        <v>257</v>
      </c>
      <c r="B236" s="8" t="s">
        <v>258</v>
      </c>
      <c r="C236" s="9" t="n">
        <v>9.79</v>
      </c>
      <c r="D236" s="9" t="n">
        <v>7.5</v>
      </c>
      <c r="E236" s="10" t="n">
        <f aca="false">C236+D236</f>
        <v>17.29</v>
      </c>
      <c r="F236" s="9" t="n">
        <v>39.99</v>
      </c>
      <c r="G236" s="11" t="n">
        <f aca="false">F236*$B$3+0.2</f>
        <v>9.99755</v>
      </c>
      <c r="H236" s="12" t="n">
        <f aca="false">F236-E236-G236</f>
        <v>12.70245</v>
      </c>
      <c r="I236" s="13" t="n">
        <f aca="false">IF(F236&gt;0,H236/F236,0)</f>
        <v>0.317640660165041</v>
      </c>
      <c r="J236" s="8" t="s">
        <v>28</v>
      </c>
    </row>
    <row r="237" customFormat="false" ht="15" hidden="false" customHeight="false" outlineLevel="0" collapsed="false">
      <c r="A237" s="14" t="s">
        <v>257</v>
      </c>
      <c r="B237" s="15" t="s">
        <v>259</v>
      </c>
      <c r="C237" s="16" t="n">
        <v>12.59</v>
      </c>
      <c r="D237" s="16" t="n">
        <v>8.5</v>
      </c>
      <c r="E237" s="17" t="n">
        <f aca="false">C237+D237</f>
        <v>21.09</v>
      </c>
      <c r="F237" s="16" t="n">
        <v>44.99</v>
      </c>
      <c r="G237" s="18" t="n">
        <f aca="false">F237*$B$3+0.2</f>
        <v>11.22255</v>
      </c>
      <c r="H237" s="19" t="n">
        <f aca="false">F237-E237-G237</f>
        <v>12.67745</v>
      </c>
      <c r="I237" s="20" t="n">
        <f aca="false">IF(F237&gt;0,H237/F237,0)</f>
        <v>0.281783729717715</v>
      </c>
      <c r="J237" s="15" t="s">
        <v>36</v>
      </c>
    </row>
    <row r="238" customFormat="false" ht="15" hidden="false" customHeight="false" outlineLevel="0" collapsed="false">
      <c r="A238" s="7" t="s">
        <v>257</v>
      </c>
      <c r="B238" s="8" t="s">
        <v>260</v>
      </c>
      <c r="C238" s="9" t="n">
        <v>14.29</v>
      </c>
      <c r="D238" s="9" t="n">
        <v>9</v>
      </c>
      <c r="E238" s="10" t="n">
        <f aca="false">C238+D238</f>
        <v>23.29</v>
      </c>
      <c r="F238" s="9" t="n">
        <v>49.99</v>
      </c>
      <c r="G238" s="11" t="n">
        <f aca="false">F238*$B$3+0.2</f>
        <v>12.44755</v>
      </c>
      <c r="H238" s="12" t="n">
        <f aca="false">F238-E238-G238</f>
        <v>14.25245</v>
      </c>
      <c r="I238" s="13" t="n">
        <f aca="false">IF(F238&gt;0,H238/F238,0)</f>
        <v>0.285106021204241</v>
      </c>
      <c r="J238" s="8" t="s">
        <v>36</v>
      </c>
    </row>
    <row r="239" customFormat="false" ht="15" hidden="false" customHeight="false" outlineLevel="0" collapsed="false">
      <c r="A239" s="14" t="s">
        <v>257</v>
      </c>
      <c r="B239" s="15" t="s">
        <v>261</v>
      </c>
      <c r="C239" s="16" t="n">
        <v>23.49</v>
      </c>
      <c r="D239" s="16" t="n">
        <v>11</v>
      </c>
      <c r="E239" s="17" t="n">
        <f aca="false">C239+D239</f>
        <v>34.49</v>
      </c>
      <c r="F239" s="16" t="n">
        <v>69.99</v>
      </c>
      <c r="G239" s="18" t="n">
        <f aca="false">F239*$B$3+0.2</f>
        <v>17.34755</v>
      </c>
      <c r="H239" s="19" t="n">
        <f aca="false">F239-E239-G239</f>
        <v>18.15245</v>
      </c>
      <c r="I239" s="20" t="n">
        <f aca="false">IF(F239&gt;0,H239/F239,0)</f>
        <v>0.259357765395057</v>
      </c>
      <c r="J239" s="15" t="s">
        <v>81</v>
      </c>
    </row>
    <row r="240" customFormat="false" ht="15" hidden="false" customHeight="false" outlineLevel="0" collapsed="false">
      <c r="A240" s="7" t="s">
        <v>257</v>
      </c>
      <c r="B240" s="8" t="s">
        <v>262</v>
      </c>
      <c r="C240" s="9" t="n">
        <v>13.19</v>
      </c>
      <c r="D240" s="9" t="n">
        <v>8.5</v>
      </c>
      <c r="E240" s="10" t="n">
        <f aca="false">C240+D240</f>
        <v>21.69</v>
      </c>
      <c r="F240" s="9" t="n">
        <v>44.99</v>
      </c>
      <c r="G240" s="11" t="n">
        <f aca="false">F240*$B$3+0.2</f>
        <v>11.22255</v>
      </c>
      <c r="H240" s="12" t="n">
        <f aca="false">F240-E240-G240</f>
        <v>12.07745</v>
      </c>
      <c r="I240" s="13" t="n">
        <f aca="false">IF(F240&gt;0,H240/F240,0)</f>
        <v>0.268447432762836</v>
      </c>
      <c r="J240" s="8" t="s">
        <v>17</v>
      </c>
    </row>
    <row r="241" customFormat="false" ht="15" hidden="false" customHeight="false" outlineLevel="0" collapsed="false">
      <c r="A241" s="14" t="s">
        <v>257</v>
      </c>
      <c r="B241" s="15" t="s">
        <v>263</v>
      </c>
      <c r="C241" s="16" t="n">
        <v>11.99</v>
      </c>
      <c r="D241" s="16" t="n">
        <v>8</v>
      </c>
      <c r="E241" s="17" t="n">
        <f aca="false">C241+D241</f>
        <v>19.99</v>
      </c>
      <c r="F241" s="16" t="n">
        <v>44.99</v>
      </c>
      <c r="G241" s="18" t="n">
        <f aca="false">F241*$B$3+0.2</f>
        <v>11.22255</v>
      </c>
      <c r="H241" s="19" t="n">
        <f aca="false">F241-E241-G241</f>
        <v>13.77745</v>
      </c>
      <c r="I241" s="20" t="n">
        <f aca="false">IF(F241&gt;0,H241/F241,0)</f>
        <v>0.306233607468326</v>
      </c>
      <c r="J241" s="15" t="s">
        <v>36</v>
      </c>
    </row>
    <row r="242" customFormat="false" ht="15" hidden="false" customHeight="false" outlineLevel="0" collapsed="false">
      <c r="A242" s="7" t="s">
        <v>264</v>
      </c>
      <c r="B242" s="8" t="s">
        <v>265</v>
      </c>
      <c r="C242" s="9" t="n">
        <v>10.09</v>
      </c>
      <c r="D242" s="9" t="n">
        <v>8.5</v>
      </c>
      <c r="E242" s="10" t="n">
        <f aca="false">C242+D242</f>
        <v>18.59</v>
      </c>
      <c r="F242" s="9" t="n">
        <v>39.99</v>
      </c>
      <c r="G242" s="11" t="n">
        <f aca="false">F242*$B$3+0.2</f>
        <v>9.99755</v>
      </c>
      <c r="H242" s="12" t="n">
        <f aca="false">F242-E242-G242</f>
        <v>11.40245</v>
      </c>
      <c r="I242" s="13" t="n">
        <f aca="false">IF(F242&gt;0,H242/F242,0)</f>
        <v>0.285132533133283</v>
      </c>
      <c r="J242" s="8" t="s">
        <v>45</v>
      </c>
    </row>
    <row r="243" customFormat="false" ht="15" hidden="false" customHeight="false" outlineLevel="0" collapsed="false">
      <c r="A243" s="14" t="s">
        <v>264</v>
      </c>
      <c r="B243" s="15" t="s">
        <v>266</v>
      </c>
      <c r="C243" s="16" t="n">
        <v>10.22</v>
      </c>
      <c r="D243" s="16" t="n">
        <v>8.5</v>
      </c>
      <c r="E243" s="17" t="n">
        <f aca="false">C243+D243</f>
        <v>18.72</v>
      </c>
      <c r="F243" s="16" t="n">
        <v>39.99</v>
      </c>
      <c r="G243" s="18" t="n">
        <f aca="false">F243*$B$3+0.2</f>
        <v>9.99755</v>
      </c>
      <c r="H243" s="19" t="n">
        <f aca="false">F243-E243-G243</f>
        <v>11.27245</v>
      </c>
      <c r="I243" s="20" t="n">
        <f aca="false">IF(F243&gt;0,H243/F243,0)</f>
        <v>0.281881720430108</v>
      </c>
      <c r="J243" s="15" t="s">
        <v>45</v>
      </c>
    </row>
    <row r="244" customFormat="false" ht="15" hidden="false" customHeight="false" outlineLevel="0" collapsed="false">
      <c r="A244" s="7" t="s">
        <v>264</v>
      </c>
      <c r="B244" s="8" t="s">
        <v>267</v>
      </c>
      <c r="C244" s="9" t="n">
        <v>10.29</v>
      </c>
      <c r="D244" s="9" t="n">
        <v>8.5</v>
      </c>
      <c r="E244" s="10" t="n">
        <f aca="false">C244+D244</f>
        <v>18.79</v>
      </c>
      <c r="F244" s="9" t="n">
        <v>39.99</v>
      </c>
      <c r="G244" s="11" t="n">
        <f aca="false">F244*$B$3+0.2</f>
        <v>9.99755</v>
      </c>
      <c r="H244" s="12" t="n">
        <f aca="false">F244-E244-G244</f>
        <v>11.20245</v>
      </c>
      <c r="I244" s="13" t="n">
        <f aca="false">IF(F244&gt;0,H244/F244,0)</f>
        <v>0.280131282820705</v>
      </c>
      <c r="J244" s="8" t="s">
        <v>45</v>
      </c>
    </row>
    <row r="245" customFormat="false" ht="15" hidden="false" customHeight="false" outlineLevel="0" collapsed="false">
      <c r="A245" s="14" t="s">
        <v>264</v>
      </c>
      <c r="B245" s="15" t="s">
        <v>268</v>
      </c>
      <c r="C245" s="16" t="n">
        <v>8.59</v>
      </c>
      <c r="D245" s="16" t="n">
        <v>8</v>
      </c>
      <c r="E245" s="17" t="n">
        <f aca="false">C245+D245</f>
        <v>16.59</v>
      </c>
      <c r="F245" s="16" t="n">
        <v>34.99</v>
      </c>
      <c r="G245" s="18" t="n">
        <f aca="false">F245*$B$3+0.2</f>
        <v>8.77255</v>
      </c>
      <c r="H245" s="19" t="n">
        <f aca="false">F245-E245-G245</f>
        <v>9.62745</v>
      </c>
      <c r="I245" s="20" t="n">
        <f aca="false">IF(F245&gt;0,H245/F245,0)</f>
        <v>0.275148613889683</v>
      </c>
      <c r="J245" s="15" t="s">
        <v>36</v>
      </c>
    </row>
    <row r="246" customFormat="false" ht="15" hidden="false" customHeight="false" outlineLevel="0" collapsed="false">
      <c r="A246" s="7" t="s">
        <v>264</v>
      </c>
      <c r="B246" s="8" t="s">
        <v>269</v>
      </c>
      <c r="C246" s="9" t="n">
        <v>10.88</v>
      </c>
      <c r="D246" s="9" t="n">
        <v>8.5</v>
      </c>
      <c r="E246" s="10" t="n">
        <f aca="false">C246+D246</f>
        <v>19.38</v>
      </c>
      <c r="F246" s="9" t="n">
        <v>39.99</v>
      </c>
      <c r="G246" s="11" t="n">
        <f aca="false">F246*$B$3+0.2</f>
        <v>9.99755</v>
      </c>
      <c r="H246" s="12" t="n">
        <f aca="false">F246-E246-G246</f>
        <v>10.61245</v>
      </c>
      <c r="I246" s="13" t="n">
        <f aca="false">IF(F246&gt;0,H246/F246,0)</f>
        <v>0.2653775943986</v>
      </c>
      <c r="J246" s="8" t="s">
        <v>36</v>
      </c>
    </row>
    <row r="247" customFormat="false" ht="15" hidden="false" customHeight="false" outlineLevel="0" collapsed="false">
      <c r="A247" s="14" t="s">
        <v>264</v>
      </c>
      <c r="B247" s="15" t="s">
        <v>270</v>
      </c>
      <c r="C247" s="16" t="n">
        <v>12.99</v>
      </c>
      <c r="D247" s="16" t="n">
        <v>9</v>
      </c>
      <c r="E247" s="17" t="n">
        <f aca="false">C247+D247</f>
        <v>21.99</v>
      </c>
      <c r="F247" s="16" t="n">
        <v>49.99</v>
      </c>
      <c r="G247" s="18" t="n">
        <f aca="false">F247*$B$3+0.2</f>
        <v>12.44755</v>
      </c>
      <c r="H247" s="19" t="n">
        <f aca="false">F247-E247-G247</f>
        <v>15.55245</v>
      </c>
      <c r="I247" s="20" t="n">
        <f aca="false">IF(F247&gt;0,H247/F247,0)</f>
        <v>0.311111222244449</v>
      </c>
      <c r="J247" s="15" t="s">
        <v>81</v>
      </c>
    </row>
    <row r="248" customFormat="false" ht="15" hidden="false" customHeight="false" outlineLevel="0" collapsed="false">
      <c r="A248" s="7" t="s">
        <v>264</v>
      </c>
      <c r="B248" s="8" t="s">
        <v>271</v>
      </c>
      <c r="C248" s="9" t="n">
        <v>13.19</v>
      </c>
      <c r="D248" s="9" t="n">
        <v>10</v>
      </c>
      <c r="E248" s="10" t="n">
        <f aca="false">C248+D248</f>
        <v>23.19</v>
      </c>
      <c r="F248" s="9" t="n">
        <v>54.99</v>
      </c>
      <c r="G248" s="11" t="n">
        <f aca="false">F248*$B$3+0.2</f>
        <v>13.67255</v>
      </c>
      <c r="H248" s="12" t="n">
        <f aca="false">F248-E248-G248</f>
        <v>18.12745</v>
      </c>
      <c r="I248" s="13" t="n">
        <f aca="false">IF(F248&gt;0,H248/F248,0)</f>
        <v>0.329649936352064</v>
      </c>
      <c r="J248" s="8" t="s">
        <v>81</v>
      </c>
    </row>
    <row r="249" customFormat="false" ht="15" hidden="false" customHeight="false" outlineLevel="0" collapsed="false">
      <c r="A249" s="14" t="s">
        <v>264</v>
      </c>
      <c r="B249" s="15" t="s">
        <v>272</v>
      </c>
      <c r="C249" s="16" t="n">
        <v>12.89</v>
      </c>
      <c r="D249" s="16" t="n">
        <v>9</v>
      </c>
      <c r="E249" s="17" t="n">
        <f aca="false">C249+D249</f>
        <v>21.89</v>
      </c>
      <c r="F249" s="16" t="n">
        <v>49.99</v>
      </c>
      <c r="G249" s="18" t="n">
        <f aca="false">F249*$B$3+0.2</f>
        <v>12.44755</v>
      </c>
      <c r="H249" s="19" t="n">
        <f aca="false">F249-E249-G249</f>
        <v>15.65245</v>
      </c>
      <c r="I249" s="20" t="n">
        <f aca="false">IF(F249&gt;0,H249/F249,0)</f>
        <v>0.313111622324465</v>
      </c>
      <c r="J249" s="15" t="s">
        <v>45</v>
      </c>
    </row>
    <row r="250" customFormat="false" ht="15" hidden="false" customHeight="false" outlineLevel="0" collapsed="false">
      <c r="A250" s="7" t="s">
        <v>264</v>
      </c>
      <c r="B250" s="8" t="s">
        <v>273</v>
      </c>
      <c r="C250" s="9" t="n">
        <v>11.69</v>
      </c>
      <c r="D250" s="9" t="n">
        <v>9</v>
      </c>
      <c r="E250" s="10" t="n">
        <f aca="false">C250+D250</f>
        <v>20.69</v>
      </c>
      <c r="F250" s="9" t="n">
        <v>44.99</v>
      </c>
      <c r="G250" s="11" t="n">
        <f aca="false">F250*$B$3+0.2</f>
        <v>11.22255</v>
      </c>
      <c r="H250" s="12" t="n">
        <f aca="false">F250-E250-G250</f>
        <v>13.07745</v>
      </c>
      <c r="I250" s="13" t="n">
        <f aca="false">IF(F250&gt;0,H250/F250,0)</f>
        <v>0.290674594354301</v>
      </c>
      <c r="J250" s="8" t="s">
        <v>45</v>
      </c>
    </row>
    <row r="251" customFormat="false" ht="15" hidden="false" customHeight="false" outlineLevel="0" collapsed="false">
      <c r="A251" s="14" t="s">
        <v>264</v>
      </c>
      <c r="B251" s="15" t="s">
        <v>274</v>
      </c>
      <c r="C251" s="16" t="n">
        <v>16.79</v>
      </c>
      <c r="D251" s="16" t="n">
        <v>9.5</v>
      </c>
      <c r="E251" s="17" t="n">
        <f aca="false">C251+D251</f>
        <v>26.29</v>
      </c>
      <c r="F251" s="16" t="n">
        <v>59.99</v>
      </c>
      <c r="G251" s="18" t="n">
        <f aca="false">F251*$B$3+0.2</f>
        <v>14.89755</v>
      </c>
      <c r="H251" s="19" t="n">
        <f aca="false">F251-E251-G251</f>
        <v>18.80245</v>
      </c>
      <c r="I251" s="20" t="n">
        <f aca="false">IF(F251&gt;0,H251/F251,0)</f>
        <v>0.313426404400734</v>
      </c>
      <c r="J251" s="15" t="s">
        <v>81</v>
      </c>
    </row>
    <row r="252" customFormat="false" ht="15" hidden="false" customHeight="false" outlineLevel="0" collapsed="false">
      <c r="A252" s="7" t="s">
        <v>275</v>
      </c>
      <c r="B252" s="8" t="s">
        <v>276</v>
      </c>
      <c r="C252" s="9" t="n">
        <v>6.89</v>
      </c>
      <c r="D252" s="9" t="n">
        <v>8</v>
      </c>
      <c r="E252" s="10" t="n">
        <f aca="false">C252+D252</f>
        <v>14.89</v>
      </c>
      <c r="F252" s="9" t="n">
        <v>34.99</v>
      </c>
      <c r="G252" s="11" t="n">
        <f aca="false">F252*$B$3+0.2</f>
        <v>8.77255</v>
      </c>
      <c r="H252" s="12" t="n">
        <f aca="false">F252-E252-G252</f>
        <v>11.32745</v>
      </c>
      <c r="I252" s="13" t="n">
        <f aca="false">IF(F252&gt;0,H252/F252,0)</f>
        <v>0.32373392397828</v>
      </c>
      <c r="J252" s="8" t="s">
        <v>36</v>
      </c>
    </row>
    <row r="253" customFormat="false" ht="15" hidden="false" customHeight="false" outlineLevel="0" collapsed="false">
      <c r="A253" s="14" t="s">
        <v>275</v>
      </c>
      <c r="B253" s="15" t="s">
        <v>277</v>
      </c>
      <c r="C253" s="16" t="n">
        <v>9.79</v>
      </c>
      <c r="D253" s="16" t="n">
        <v>8.5</v>
      </c>
      <c r="E253" s="17" t="n">
        <f aca="false">C253+D253</f>
        <v>18.29</v>
      </c>
      <c r="F253" s="16" t="n">
        <v>39.99</v>
      </c>
      <c r="G253" s="18" t="n">
        <f aca="false">F253*$B$3+0.2</f>
        <v>9.99755</v>
      </c>
      <c r="H253" s="19" t="n">
        <f aca="false">F253-E253-G253</f>
        <v>11.70245</v>
      </c>
      <c r="I253" s="20" t="n">
        <f aca="false">IF(F253&gt;0,H253/F253,0)</f>
        <v>0.292634408602151</v>
      </c>
      <c r="J253" s="15" t="s">
        <v>81</v>
      </c>
    </row>
    <row r="254" customFormat="false" ht="15" hidden="false" customHeight="false" outlineLevel="0" collapsed="false">
      <c r="A254" s="7" t="s">
        <v>275</v>
      </c>
      <c r="B254" s="8" t="s">
        <v>278</v>
      </c>
      <c r="C254" s="9" t="n">
        <v>8.59</v>
      </c>
      <c r="D254" s="9" t="n">
        <v>8</v>
      </c>
      <c r="E254" s="10" t="n">
        <f aca="false">C254+D254</f>
        <v>16.59</v>
      </c>
      <c r="F254" s="9" t="n">
        <v>34.99</v>
      </c>
      <c r="G254" s="11" t="n">
        <f aca="false">F254*$B$3+0.2</f>
        <v>8.77255</v>
      </c>
      <c r="H254" s="12" t="n">
        <f aca="false">F254-E254-G254</f>
        <v>9.62745</v>
      </c>
      <c r="I254" s="13" t="n">
        <f aca="false">IF(F254&gt;0,H254/F254,0)</f>
        <v>0.275148613889683</v>
      </c>
      <c r="J254" s="8" t="s">
        <v>36</v>
      </c>
    </row>
    <row r="255" customFormat="false" ht="15" hidden="false" customHeight="false" outlineLevel="0" collapsed="false">
      <c r="A255" s="14" t="s">
        <v>275</v>
      </c>
      <c r="B255" s="15" t="s">
        <v>279</v>
      </c>
      <c r="C255" s="16" t="n">
        <v>8.6</v>
      </c>
      <c r="D255" s="16" t="n">
        <v>8</v>
      </c>
      <c r="E255" s="17" t="n">
        <f aca="false">C255+D255</f>
        <v>16.6</v>
      </c>
      <c r="F255" s="16" t="n">
        <v>34.99</v>
      </c>
      <c r="G255" s="18" t="n">
        <f aca="false">F255*$B$3+0.2</f>
        <v>8.77255</v>
      </c>
      <c r="H255" s="19" t="n">
        <f aca="false">F255-E255-G255</f>
        <v>9.61745</v>
      </c>
      <c r="I255" s="20" t="n">
        <f aca="false">IF(F255&gt;0,H255/F255,0)</f>
        <v>0.274862817947985</v>
      </c>
      <c r="J255" s="15" t="s">
        <v>36</v>
      </c>
    </row>
    <row r="256" customFormat="false" ht="15" hidden="false" customHeight="false" outlineLevel="0" collapsed="false">
      <c r="A256" s="7" t="s">
        <v>275</v>
      </c>
      <c r="B256" s="8" t="s">
        <v>280</v>
      </c>
      <c r="C256" s="9" t="n">
        <v>10.09</v>
      </c>
      <c r="D256" s="9" t="n">
        <v>8.5</v>
      </c>
      <c r="E256" s="10" t="n">
        <f aca="false">C256+D256</f>
        <v>18.59</v>
      </c>
      <c r="F256" s="9" t="n">
        <v>39.99</v>
      </c>
      <c r="G256" s="11" t="n">
        <f aca="false">F256*$B$3+0.2</f>
        <v>9.99755</v>
      </c>
      <c r="H256" s="12" t="n">
        <f aca="false">F256-E256-G256</f>
        <v>11.40245</v>
      </c>
      <c r="I256" s="13" t="n">
        <f aca="false">IF(F256&gt;0,H256/F256,0)</f>
        <v>0.285132533133283</v>
      </c>
      <c r="J256" s="8" t="s">
        <v>81</v>
      </c>
    </row>
    <row r="257" customFormat="false" ht="15" hidden="false" customHeight="false" outlineLevel="0" collapsed="false">
      <c r="A257" s="14" t="s">
        <v>275</v>
      </c>
      <c r="B257" s="15" t="s">
        <v>281</v>
      </c>
      <c r="C257" s="16" t="n">
        <v>10.69</v>
      </c>
      <c r="D257" s="16" t="n">
        <v>9</v>
      </c>
      <c r="E257" s="17" t="n">
        <f aca="false">C257+D257</f>
        <v>19.69</v>
      </c>
      <c r="F257" s="16" t="n">
        <v>44.99</v>
      </c>
      <c r="G257" s="18" t="n">
        <f aca="false">F257*$B$3+0.2</f>
        <v>11.22255</v>
      </c>
      <c r="H257" s="19" t="n">
        <f aca="false">F257-E257-G257</f>
        <v>14.07745</v>
      </c>
      <c r="I257" s="20" t="n">
        <f aca="false">IF(F257&gt;0,H257/F257,0)</f>
        <v>0.312901755945766</v>
      </c>
      <c r="J257" s="15" t="s">
        <v>81</v>
      </c>
    </row>
    <row r="258" customFormat="false" ht="15" hidden="false" customHeight="false" outlineLevel="0" collapsed="false">
      <c r="A258" s="7" t="s">
        <v>275</v>
      </c>
      <c r="B258" s="8" t="s">
        <v>282</v>
      </c>
      <c r="C258" s="9" t="n">
        <v>13.19</v>
      </c>
      <c r="D258" s="9" t="n">
        <v>9</v>
      </c>
      <c r="E258" s="10" t="n">
        <f aca="false">C258+D258</f>
        <v>22.19</v>
      </c>
      <c r="F258" s="9" t="n">
        <v>44.99</v>
      </c>
      <c r="G258" s="11" t="n">
        <f aca="false">F258*$B$3+0.2</f>
        <v>11.22255</v>
      </c>
      <c r="H258" s="12" t="n">
        <f aca="false">F258-E258-G258</f>
        <v>11.57745</v>
      </c>
      <c r="I258" s="13" t="n">
        <f aca="false">IF(F258&gt;0,H258/F258,0)</f>
        <v>0.257333851967104</v>
      </c>
      <c r="J258" s="8" t="s">
        <v>81</v>
      </c>
    </row>
    <row r="259" customFormat="false" ht="15" hidden="false" customHeight="false" outlineLevel="0" collapsed="false">
      <c r="A259" s="14" t="s">
        <v>275</v>
      </c>
      <c r="B259" s="15" t="s">
        <v>283</v>
      </c>
      <c r="C259" s="16" t="n">
        <v>13.39</v>
      </c>
      <c r="D259" s="16" t="n">
        <v>9</v>
      </c>
      <c r="E259" s="17" t="n">
        <f aca="false">C259+D259</f>
        <v>22.39</v>
      </c>
      <c r="F259" s="16" t="n">
        <v>44.99</v>
      </c>
      <c r="G259" s="18" t="n">
        <f aca="false">F259*$B$3+0.2</f>
        <v>11.22255</v>
      </c>
      <c r="H259" s="19" t="n">
        <f aca="false">F259-E259-G259</f>
        <v>11.37745</v>
      </c>
      <c r="I259" s="20" t="n">
        <f aca="false">IF(F259&gt;0,H259/F259,0)</f>
        <v>0.252888419648811</v>
      </c>
      <c r="J259" s="15" t="s">
        <v>81</v>
      </c>
    </row>
    <row r="260" customFormat="false" ht="15" hidden="false" customHeight="false" outlineLevel="0" collapsed="false">
      <c r="A260" s="7" t="s">
        <v>275</v>
      </c>
      <c r="B260" s="8" t="s">
        <v>284</v>
      </c>
      <c r="C260" s="9" t="n">
        <v>11.99</v>
      </c>
      <c r="D260" s="9" t="n">
        <v>9</v>
      </c>
      <c r="E260" s="10" t="n">
        <f aca="false">C260+D260</f>
        <v>20.99</v>
      </c>
      <c r="F260" s="9" t="n">
        <v>44.99</v>
      </c>
      <c r="G260" s="11" t="n">
        <f aca="false">F260*$B$3+0.2</f>
        <v>11.22255</v>
      </c>
      <c r="H260" s="12" t="n">
        <f aca="false">F260-E260-G260</f>
        <v>12.77745</v>
      </c>
      <c r="I260" s="13" t="n">
        <f aca="false">IF(F260&gt;0,H260/F260,0)</f>
        <v>0.284006445876862</v>
      </c>
      <c r="J260" s="8" t="s">
        <v>81</v>
      </c>
    </row>
    <row r="261" customFormat="false" ht="15" hidden="false" customHeight="false" outlineLevel="0" collapsed="false">
      <c r="A261" s="14" t="s">
        <v>285</v>
      </c>
      <c r="B261" s="15" t="s">
        <v>286</v>
      </c>
      <c r="C261" s="16" t="n">
        <v>4.39</v>
      </c>
      <c r="D261" s="16" t="n">
        <v>6</v>
      </c>
      <c r="E261" s="17" t="n">
        <f aca="false">C261+D261</f>
        <v>10.39</v>
      </c>
      <c r="F261" s="16" t="n">
        <v>24.99</v>
      </c>
      <c r="G261" s="18" t="n">
        <f aca="false">F261*$B$3+0.2</f>
        <v>6.32255</v>
      </c>
      <c r="H261" s="19" t="n">
        <f aca="false">F261-E261-G261</f>
        <v>8.27745</v>
      </c>
      <c r="I261" s="20" t="n">
        <f aca="false">IF(F261&gt;0,H261/F261,0)</f>
        <v>0.331230492196879</v>
      </c>
      <c r="J261" s="15" t="s">
        <v>17</v>
      </c>
    </row>
    <row r="262" customFormat="false" ht="15" hidden="false" customHeight="false" outlineLevel="0" collapsed="false">
      <c r="A262" s="7" t="s">
        <v>285</v>
      </c>
      <c r="B262" s="8" t="s">
        <v>287</v>
      </c>
      <c r="C262" s="9" t="n">
        <v>8.49</v>
      </c>
      <c r="D262" s="9" t="n">
        <v>7.5</v>
      </c>
      <c r="E262" s="10" t="n">
        <f aca="false">C262+D262</f>
        <v>15.99</v>
      </c>
      <c r="F262" s="9" t="n">
        <v>29.99</v>
      </c>
      <c r="G262" s="11" t="n">
        <f aca="false">F262*$B$3+0.2</f>
        <v>7.54755</v>
      </c>
      <c r="H262" s="12" t="n">
        <f aca="false">F262-E262-G262</f>
        <v>6.45245</v>
      </c>
      <c r="I262" s="13" t="n">
        <f aca="false">IF(F262&gt;0,H262/F262,0)</f>
        <v>0.215153384461487</v>
      </c>
      <c r="J262" s="8" t="s">
        <v>36</v>
      </c>
    </row>
    <row r="263" customFormat="false" ht="15" hidden="false" customHeight="false" outlineLevel="0" collapsed="false">
      <c r="A263" s="14" t="s">
        <v>285</v>
      </c>
      <c r="B263" s="15" t="s">
        <v>288</v>
      </c>
      <c r="C263" s="16" t="n">
        <v>10.39</v>
      </c>
      <c r="D263" s="16" t="n">
        <v>7.5</v>
      </c>
      <c r="E263" s="17" t="n">
        <f aca="false">C263+D263</f>
        <v>17.89</v>
      </c>
      <c r="F263" s="16" t="n">
        <v>34.99</v>
      </c>
      <c r="G263" s="18" t="n">
        <f aca="false">F263*$B$3+0.2</f>
        <v>8.77255</v>
      </c>
      <c r="H263" s="19" t="n">
        <f aca="false">F263-E263-G263</f>
        <v>8.32745</v>
      </c>
      <c r="I263" s="20" t="n">
        <f aca="false">IF(F263&gt;0,H263/F263,0)</f>
        <v>0.237995141468991</v>
      </c>
      <c r="J263" s="15" t="s">
        <v>17</v>
      </c>
    </row>
    <row r="264" customFormat="false" ht="15" hidden="false" customHeight="false" outlineLevel="0" collapsed="false">
      <c r="A264" s="7" t="s">
        <v>285</v>
      </c>
      <c r="B264" s="8" t="s">
        <v>289</v>
      </c>
      <c r="C264" s="9" t="n">
        <v>10.99</v>
      </c>
      <c r="D264" s="9" t="n">
        <v>8</v>
      </c>
      <c r="E264" s="10" t="n">
        <f aca="false">C264+D264</f>
        <v>18.99</v>
      </c>
      <c r="F264" s="9" t="n">
        <v>34.99</v>
      </c>
      <c r="G264" s="11" t="n">
        <f aca="false">F264*$B$3+0.2</f>
        <v>8.77255</v>
      </c>
      <c r="H264" s="12" t="n">
        <f aca="false">F264-E264-G264</f>
        <v>7.22745</v>
      </c>
      <c r="I264" s="13" t="n">
        <f aca="false">IF(F264&gt;0,H264/F264,0)</f>
        <v>0.206557587882252</v>
      </c>
      <c r="J264" s="8" t="s">
        <v>81</v>
      </c>
    </row>
    <row r="265" customFormat="false" ht="15" hidden="false" customHeight="false" outlineLevel="0" collapsed="false">
      <c r="A265" s="14" t="s">
        <v>285</v>
      </c>
      <c r="B265" s="15" t="s">
        <v>290</v>
      </c>
      <c r="C265" s="16" t="n">
        <v>10.99</v>
      </c>
      <c r="D265" s="16" t="n">
        <v>8.5</v>
      </c>
      <c r="E265" s="17" t="n">
        <f aca="false">C265+D265</f>
        <v>19.49</v>
      </c>
      <c r="F265" s="16" t="n">
        <v>39.99</v>
      </c>
      <c r="G265" s="18" t="n">
        <f aca="false">F265*$B$3+0.2</f>
        <v>9.99755</v>
      </c>
      <c r="H265" s="19" t="n">
        <f aca="false">F265-E265-G265</f>
        <v>10.50245</v>
      </c>
      <c r="I265" s="20" t="n">
        <f aca="false">IF(F265&gt;0,H265/F265,0)</f>
        <v>0.262626906726682</v>
      </c>
      <c r="J265" s="15" t="s">
        <v>28</v>
      </c>
    </row>
    <row r="266" customFormat="false" ht="15" hidden="false" customHeight="false" outlineLevel="0" collapsed="false">
      <c r="A266" s="7" t="s">
        <v>285</v>
      </c>
      <c r="B266" s="8" t="s">
        <v>291</v>
      </c>
      <c r="C266" s="9" t="n">
        <v>10.79</v>
      </c>
      <c r="D266" s="9" t="n">
        <v>8.5</v>
      </c>
      <c r="E266" s="10" t="n">
        <f aca="false">C266+D266</f>
        <v>19.29</v>
      </c>
      <c r="F266" s="9" t="n">
        <v>39.99</v>
      </c>
      <c r="G266" s="11" t="n">
        <f aca="false">F266*$B$3+0.2</f>
        <v>9.99755</v>
      </c>
      <c r="H266" s="12" t="n">
        <f aca="false">F266-E266-G266</f>
        <v>10.70245</v>
      </c>
      <c r="I266" s="13" t="n">
        <f aca="false">IF(F266&gt;0,H266/F266,0)</f>
        <v>0.26762815703926</v>
      </c>
      <c r="J266" s="8" t="s">
        <v>17</v>
      </c>
    </row>
    <row r="267" customFormat="false" ht="15" hidden="false" customHeight="false" outlineLevel="0" collapsed="false">
      <c r="A267" s="14" t="s">
        <v>285</v>
      </c>
      <c r="B267" s="15" t="s">
        <v>292</v>
      </c>
      <c r="C267" s="16" t="n">
        <v>10.88</v>
      </c>
      <c r="D267" s="16" t="n">
        <v>8.5</v>
      </c>
      <c r="E267" s="17" t="n">
        <f aca="false">C267+D267</f>
        <v>19.38</v>
      </c>
      <c r="F267" s="16" t="n">
        <v>39.99</v>
      </c>
      <c r="G267" s="18" t="n">
        <f aca="false">F267*$B$3+0.2</f>
        <v>9.99755</v>
      </c>
      <c r="H267" s="19" t="n">
        <f aca="false">F267-E267-G267</f>
        <v>10.61245</v>
      </c>
      <c r="I267" s="20" t="n">
        <f aca="false">IF(F267&gt;0,H267/F267,0)</f>
        <v>0.2653775943986</v>
      </c>
      <c r="J267" s="15" t="s">
        <v>36</v>
      </c>
    </row>
    <row r="268" customFormat="false" ht="15" hidden="false" customHeight="false" outlineLevel="0" collapsed="false">
      <c r="A268" s="7" t="s">
        <v>285</v>
      </c>
      <c r="B268" s="8" t="s">
        <v>293</v>
      </c>
      <c r="C268" s="9" t="n">
        <v>8.99</v>
      </c>
      <c r="D268" s="9" t="n">
        <v>7.5</v>
      </c>
      <c r="E268" s="10" t="n">
        <f aca="false">C268+D268</f>
        <v>16.49</v>
      </c>
      <c r="F268" s="9" t="n">
        <v>34.99</v>
      </c>
      <c r="G268" s="11" t="n">
        <f aca="false">F268*$B$3+0.2</f>
        <v>8.77255</v>
      </c>
      <c r="H268" s="12" t="n">
        <f aca="false">F268-E268-G268</f>
        <v>9.72745</v>
      </c>
      <c r="I268" s="13" t="n">
        <f aca="false">IF(F268&gt;0,H268/F268,0)</f>
        <v>0.278006573306659</v>
      </c>
      <c r="J268" s="8" t="s">
        <v>17</v>
      </c>
    </row>
    <row r="269" customFormat="false" ht="15" hidden="false" customHeight="false" outlineLevel="0" collapsed="false">
      <c r="A269" s="14" t="s">
        <v>285</v>
      </c>
      <c r="B269" s="15" t="s">
        <v>294</v>
      </c>
      <c r="C269" s="16" t="n">
        <v>12.49</v>
      </c>
      <c r="D269" s="16" t="n">
        <v>9</v>
      </c>
      <c r="E269" s="17" t="n">
        <f aca="false">C269+D269</f>
        <v>21.49</v>
      </c>
      <c r="F269" s="16" t="n">
        <v>44.99</v>
      </c>
      <c r="G269" s="18" t="n">
        <f aca="false">F269*$B$3+0.2</f>
        <v>11.22255</v>
      </c>
      <c r="H269" s="19" t="n">
        <f aca="false">F269-E269-G269</f>
        <v>12.27745</v>
      </c>
      <c r="I269" s="20" t="n">
        <f aca="false">IF(F269&gt;0,H269/F269,0)</f>
        <v>0.272892865081129</v>
      </c>
      <c r="J269" s="15" t="s">
        <v>28</v>
      </c>
    </row>
    <row r="270" customFormat="false" ht="15" hidden="false" customHeight="false" outlineLevel="0" collapsed="false">
      <c r="A270" s="7" t="s">
        <v>285</v>
      </c>
      <c r="B270" s="8" t="s">
        <v>295</v>
      </c>
      <c r="C270" s="9" t="n">
        <v>11.59</v>
      </c>
      <c r="D270" s="9" t="n">
        <v>8.5</v>
      </c>
      <c r="E270" s="10" t="n">
        <f aca="false">C270+D270</f>
        <v>20.09</v>
      </c>
      <c r="F270" s="9" t="n">
        <v>44.99</v>
      </c>
      <c r="G270" s="11" t="n">
        <f aca="false">F270*$B$3+0.2</f>
        <v>11.22255</v>
      </c>
      <c r="H270" s="12" t="n">
        <f aca="false">F270-E270-G270</f>
        <v>13.67745</v>
      </c>
      <c r="I270" s="13" t="n">
        <f aca="false">IF(F270&gt;0,H270/F270,0)</f>
        <v>0.30401089130918</v>
      </c>
      <c r="J270" s="8" t="s">
        <v>17</v>
      </c>
    </row>
    <row r="271" customFormat="false" ht="15" hidden="false" customHeight="false" outlineLevel="0" collapsed="false">
      <c r="A271" s="14" t="s">
        <v>285</v>
      </c>
      <c r="B271" s="15" t="s">
        <v>296</v>
      </c>
      <c r="C271" s="16" t="n">
        <v>8.29</v>
      </c>
      <c r="D271" s="16" t="n">
        <v>7.5</v>
      </c>
      <c r="E271" s="17" t="n">
        <f aca="false">C271+D271</f>
        <v>15.79</v>
      </c>
      <c r="F271" s="16" t="n">
        <v>34.99</v>
      </c>
      <c r="G271" s="18" t="n">
        <f aca="false">F271*$B$3+0.2</f>
        <v>8.77255</v>
      </c>
      <c r="H271" s="19" t="n">
        <f aca="false">F271-E271-G271</f>
        <v>10.42745</v>
      </c>
      <c r="I271" s="20" t="n">
        <f aca="false">IF(F271&gt;0,H271/F271,0)</f>
        <v>0.298012289225493</v>
      </c>
      <c r="J271" s="15" t="s">
        <v>17</v>
      </c>
    </row>
    <row r="272" customFormat="false" ht="15" hidden="false" customHeight="false" outlineLevel="0" collapsed="false">
      <c r="A272" s="7" t="s">
        <v>297</v>
      </c>
      <c r="B272" s="8" t="s">
        <v>298</v>
      </c>
      <c r="C272" s="9" t="n">
        <v>7.25</v>
      </c>
      <c r="D272" s="9" t="n">
        <v>7</v>
      </c>
      <c r="E272" s="10" t="n">
        <f aca="false">C272+D272</f>
        <v>14.25</v>
      </c>
      <c r="F272" s="9" t="n">
        <v>34.99</v>
      </c>
      <c r="G272" s="11" t="n">
        <f aca="false">F272*$B$3+0.2</f>
        <v>8.77255</v>
      </c>
      <c r="H272" s="12" t="n">
        <f aca="false">F272-E272-G272</f>
        <v>11.96745</v>
      </c>
      <c r="I272" s="13" t="n">
        <f aca="false">IF(F272&gt;0,H272/F272,0)</f>
        <v>0.342024864246928</v>
      </c>
      <c r="J272" s="8" t="s">
        <v>17</v>
      </c>
    </row>
    <row r="273" customFormat="false" ht="15" hidden="false" customHeight="false" outlineLevel="0" collapsed="false">
      <c r="A273" s="14" t="s">
        <v>297</v>
      </c>
      <c r="B273" s="15" t="s">
        <v>299</v>
      </c>
      <c r="C273" s="16" t="n">
        <v>8.79</v>
      </c>
      <c r="D273" s="16" t="n">
        <v>8</v>
      </c>
      <c r="E273" s="17" t="n">
        <f aca="false">C273+D273</f>
        <v>16.79</v>
      </c>
      <c r="F273" s="16" t="n">
        <v>34.99</v>
      </c>
      <c r="G273" s="18" t="n">
        <f aca="false">F273*$B$3+0.2</f>
        <v>8.77255</v>
      </c>
      <c r="H273" s="19" t="n">
        <f aca="false">F273-E273-G273</f>
        <v>9.42745</v>
      </c>
      <c r="I273" s="20" t="n">
        <f aca="false">IF(F273&gt;0,H273/F273,0)</f>
        <v>0.26943269505573</v>
      </c>
      <c r="J273" s="15" t="s">
        <v>17</v>
      </c>
    </row>
    <row r="274" customFormat="false" ht="15" hidden="false" customHeight="false" outlineLevel="0" collapsed="false">
      <c r="A274" s="7" t="s">
        <v>297</v>
      </c>
      <c r="B274" s="8" t="s">
        <v>300</v>
      </c>
      <c r="C274" s="9" t="n">
        <v>13.39</v>
      </c>
      <c r="D274" s="9" t="n">
        <v>8.5</v>
      </c>
      <c r="E274" s="10" t="n">
        <f aca="false">C274+D274</f>
        <v>21.89</v>
      </c>
      <c r="F274" s="9" t="n">
        <v>39.99</v>
      </c>
      <c r="G274" s="11" t="n">
        <f aca="false">F274*$B$3+0.2</f>
        <v>9.99755</v>
      </c>
      <c r="H274" s="12" t="n">
        <f aca="false">F274-E274-G274</f>
        <v>8.10245</v>
      </c>
      <c r="I274" s="13" t="n">
        <f aca="false">IF(F274&gt;0,H274/F274,0)</f>
        <v>0.202611902975744</v>
      </c>
      <c r="J274" s="8" t="s">
        <v>17</v>
      </c>
    </row>
    <row r="275" customFormat="false" ht="15" hidden="false" customHeight="false" outlineLevel="0" collapsed="false">
      <c r="A275" s="14" t="s">
        <v>297</v>
      </c>
      <c r="B275" s="15" t="s">
        <v>301</v>
      </c>
      <c r="C275" s="16" t="n">
        <v>10.59</v>
      </c>
      <c r="D275" s="16" t="n">
        <v>8</v>
      </c>
      <c r="E275" s="17" t="n">
        <f aca="false">C275+D275</f>
        <v>18.59</v>
      </c>
      <c r="F275" s="16" t="n">
        <v>34.99</v>
      </c>
      <c r="G275" s="18" t="n">
        <f aca="false">F275*$B$3+0.2</f>
        <v>8.77255</v>
      </c>
      <c r="H275" s="19" t="n">
        <f aca="false">F275-E275-G275</f>
        <v>7.62745</v>
      </c>
      <c r="I275" s="20" t="n">
        <f aca="false">IF(F275&gt;0,H275/F275,0)</f>
        <v>0.217989425550157</v>
      </c>
      <c r="J275" s="15" t="s">
        <v>17</v>
      </c>
    </row>
    <row r="276" customFormat="false" ht="15" hidden="false" customHeight="false" outlineLevel="0" collapsed="false">
      <c r="A276" s="7" t="s">
        <v>297</v>
      </c>
      <c r="B276" s="8" t="s">
        <v>302</v>
      </c>
      <c r="C276" s="9" t="n">
        <v>17.79</v>
      </c>
      <c r="D276" s="9" t="n">
        <v>9.5</v>
      </c>
      <c r="E276" s="10" t="n">
        <f aca="false">C276+D276</f>
        <v>27.29</v>
      </c>
      <c r="F276" s="9" t="n">
        <v>54.99</v>
      </c>
      <c r="G276" s="11" t="n">
        <f aca="false">F276*$B$3+0.2</f>
        <v>13.67255</v>
      </c>
      <c r="H276" s="12" t="n">
        <f aca="false">F276-E276-G276</f>
        <v>14.02745</v>
      </c>
      <c r="I276" s="13" t="n">
        <f aca="false">IF(F276&gt;0,H276/F276,0)</f>
        <v>0.255090925622841</v>
      </c>
      <c r="J276" s="8" t="s">
        <v>45</v>
      </c>
    </row>
    <row r="277" customFormat="false" ht="15" hidden="false" customHeight="false" outlineLevel="0" collapsed="false">
      <c r="A277" s="14" t="s">
        <v>297</v>
      </c>
      <c r="B277" s="15" t="s">
        <v>303</v>
      </c>
      <c r="C277" s="16" t="n">
        <v>12.99</v>
      </c>
      <c r="D277" s="16" t="n">
        <v>8.5</v>
      </c>
      <c r="E277" s="17" t="n">
        <f aca="false">C277+D277</f>
        <v>21.49</v>
      </c>
      <c r="F277" s="16" t="n">
        <v>44.99</v>
      </c>
      <c r="G277" s="18" t="n">
        <f aca="false">F277*$B$3+0.2</f>
        <v>11.22255</v>
      </c>
      <c r="H277" s="19" t="n">
        <f aca="false">F277-E277-G277</f>
        <v>12.27745</v>
      </c>
      <c r="I277" s="20" t="n">
        <f aca="false">IF(F277&gt;0,H277/F277,0)</f>
        <v>0.272892865081129</v>
      </c>
      <c r="J277" s="15" t="s">
        <v>17</v>
      </c>
    </row>
    <row r="278" customFormat="false" ht="15" hidden="false" customHeight="false" outlineLevel="0" collapsed="false">
      <c r="A278" s="7" t="s">
        <v>297</v>
      </c>
      <c r="B278" s="8" t="s">
        <v>304</v>
      </c>
      <c r="C278" s="9" t="n">
        <v>14.99</v>
      </c>
      <c r="D278" s="9" t="n">
        <v>9</v>
      </c>
      <c r="E278" s="10" t="n">
        <f aca="false">C278+D278</f>
        <v>23.99</v>
      </c>
      <c r="F278" s="9" t="n">
        <v>49.99</v>
      </c>
      <c r="G278" s="11" t="n">
        <f aca="false">F278*$B$3+0.2</f>
        <v>12.44755</v>
      </c>
      <c r="H278" s="12" t="n">
        <f aca="false">F278-E278-G278</f>
        <v>13.55245</v>
      </c>
      <c r="I278" s="13" t="n">
        <f aca="false">IF(F278&gt;0,H278/F278,0)</f>
        <v>0.271103220644129</v>
      </c>
      <c r="J278" s="8" t="s">
        <v>28</v>
      </c>
    </row>
    <row r="279" customFormat="false" ht="15" hidden="false" customHeight="false" outlineLevel="0" collapsed="false">
      <c r="A279" s="14" t="s">
        <v>305</v>
      </c>
      <c r="B279" s="15" t="s">
        <v>306</v>
      </c>
      <c r="C279" s="16" t="n">
        <v>4.19</v>
      </c>
      <c r="D279" s="16" t="n">
        <v>4.5</v>
      </c>
      <c r="E279" s="17" t="n">
        <f aca="false">C279+D279</f>
        <v>8.69</v>
      </c>
      <c r="F279" s="16" t="n">
        <v>14.99</v>
      </c>
      <c r="G279" s="18" t="n">
        <f aca="false">F279*$B$3+0.2</f>
        <v>3.87255</v>
      </c>
      <c r="H279" s="19" t="n">
        <f aca="false">F279-E279-G279</f>
        <v>2.42745</v>
      </c>
      <c r="I279" s="20" t="n">
        <f aca="false">IF(F279&gt;0,H279/F279,0)</f>
        <v>0.161937958639093</v>
      </c>
      <c r="J279" s="15" t="s">
        <v>36</v>
      </c>
    </row>
    <row r="280" customFormat="false" ht="15" hidden="false" customHeight="false" outlineLevel="0" collapsed="false">
      <c r="A280" s="7" t="s">
        <v>305</v>
      </c>
      <c r="B280" s="8" t="s">
        <v>307</v>
      </c>
      <c r="C280" s="9" t="n">
        <v>4.69</v>
      </c>
      <c r="D280" s="9" t="n">
        <v>4.5</v>
      </c>
      <c r="E280" s="10" t="n">
        <f aca="false">C280+D280</f>
        <v>9.19</v>
      </c>
      <c r="F280" s="9" t="n">
        <v>14.99</v>
      </c>
      <c r="G280" s="11" t="n">
        <f aca="false">F280*$B$3+0.2</f>
        <v>3.87255</v>
      </c>
      <c r="H280" s="12" t="n">
        <f aca="false">F280-E280-G280</f>
        <v>1.92745</v>
      </c>
      <c r="I280" s="13" t="n">
        <f aca="false">IF(F280&gt;0,H280/F280,0)</f>
        <v>0.128582388258839</v>
      </c>
      <c r="J280" s="8" t="s">
        <v>36</v>
      </c>
    </row>
    <row r="281" customFormat="false" ht="15" hidden="false" customHeight="false" outlineLevel="0" collapsed="false">
      <c r="A281" s="14" t="s">
        <v>305</v>
      </c>
      <c r="B281" s="15" t="s">
        <v>308</v>
      </c>
      <c r="C281" s="16" t="n">
        <v>4.69</v>
      </c>
      <c r="D281" s="16" t="n">
        <v>4.5</v>
      </c>
      <c r="E281" s="17" t="n">
        <f aca="false">C281+D281</f>
        <v>9.19</v>
      </c>
      <c r="F281" s="16" t="n">
        <v>14.99</v>
      </c>
      <c r="G281" s="18" t="n">
        <f aca="false">F281*$B$3+0.2</f>
        <v>3.87255</v>
      </c>
      <c r="H281" s="19" t="n">
        <f aca="false">F281-E281-G281</f>
        <v>1.92745</v>
      </c>
      <c r="I281" s="20" t="n">
        <f aca="false">IF(F281&gt;0,H281/F281,0)</f>
        <v>0.128582388258839</v>
      </c>
      <c r="J281" s="15" t="s">
        <v>36</v>
      </c>
    </row>
    <row r="282" customFormat="false" ht="15" hidden="false" customHeight="false" outlineLevel="0" collapsed="false">
      <c r="A282" s="7" t="s">
        <v>305</v>
      </c>
      <c r="B282" s="8" t="s">
        <v>309</v>
      </c>
      <c r="C282" s="9" t="n">
        <v>4.95</v>
      </c>
      <c r="D282" s="9" t="n">
        <v>4.5</v>
      </c>
      <c r="E282" s="10" t="n">
        <f aca="false">C282+D282</f>
        <v>9.45</v>
      </c>
      <c r="F282" s="9" t="n">
        <v>14.99</v>
      </c>
      <c r="G282" s="11" t="n">
        <f aca="false">F282*$B$3+0.2</f>
        <v>3.87255</v>
      </c>
      <c r="H282" s="12" t="n">
        <f aca="false">F282-E282-G282</f>
        <v>1.66745</v>
      </c>
      <c r="I282" s="13" t="n">
        <f aca="false">IF(F282&gt;0,H282/F282,0)</f>
        <v>0.111237491661107</v>
      </c>
      <c r="J282" s="8" t="s">
        <v>36</v>
      </c>
    </row>
    <row r="283" customFormat="false" ht="15" hidden="false" customHeight="false" outlineLevel="0" collapsed="false">
      <c r="A283" s="14" t="s">
        <v>305</v>
      </c>
      <c r="B283" s="15" t="s">
        <v>310</v>
      </c>
      <c r="C283" s="16" t="n">
        <v>6.99</v>
      </c>
      <c r="D283" s="16" t="n">
        <v>5</v>
      </c>
      <c r="E283" s="17" t="n">
        <f aca="false">C283+D283</f>
        <v>11.99</v>
      </c>
      <c r="F283" s="16" t="n">
        <v>24.99</v>
      </c>
      <c r="G283" s="18" t="n">
        <f aca="false">F283*$B$3+0.2</f>
        <v>6.32255</v>
      </c>
      <c r="H283" s="19" t="n">
        <f aca="false">F283-E283-G283</f>
        <v>6.67745</v>
      </c>
      <c r="I283" s="20" t="n">
        <f aca="false">IF(F283&gt;0,H283/F283,0)</f>
        <v>0.267204881952781</v>
      </c>
      <c r="J283" s="15" t="s">
        <v>36</v>
      </c>
    </row>
    <row r="284" customFormat="false" ht="15" hidden="false" customHeight="false" outlineLevel="0" collapsed="false">
      <c r="A284" s="7" t="s">
        <v>305</v>
      </c>
      <c r="B284" s="8" t="s">
        <v>311</v>
      </c>
      <c r="C284" s="9" t="n">
        <v>8.49</v>
      </c>
      <c r="D284" s="9" t="n">
        <v>6</v>
      </c>
      <c r="E284" s="10" t="n">
        <f aca="false">C284+D284</f>
        <v>14.49</v>
      </c>
      <c r="F284" s="9" t="n">
        <v>29.99</v>
      </c>
      <c r="G284" s="11" t="n">
        <f aca="false">F284*$B$3+0.2</f>
        <v>7.54755</v>
      </c>
      <c r="H284" s="12" t="n">
        <f aca="false">F284-E284-G284</f>
        <v>7.95245</v>
      </c>
      <c r="I284" s="13" t="n">
        <f aca="false">IF(F284&gt;0,H284/F284,0)</f>
        <v>0.265170056685562</v>
      </c>
      <c r="J284" s="8" t="s">
        <v>36</v>
      </c>
    </row>
    <row r="286" customFormat="false" ht="15" hidden="false" customHeight="false" outlineLevel="0" collapsed="false">
      <c r="A286" s="21" t="s">
        <v>312</v>
      </c>
      <c r="B286" s="22"/>
      <c r="C286" s="22"/>
      <c r="D286" s="22"/>
      <c r="E286" s="22"/>
      <c r="F286" s="22"/>
      <c r="G286" s="22"/>
      <c r="H286" s="22"/>
      <c r="I286" s="22"/>
      <c r="J286" s="22"/>
    </row>
    <row r="287" customFormat="false" ht="15" hidden="false" customHeight="false" outlineLevel="0" collapsed="false">
      <c r="A287" s="3" t="s">
        <v>313</v>
      </c>
      <c r="C287" s="3" t="s">
        <v>314</v>
      </c>
      <c r="D287" s="23" t="n">
        <f aca="false">AVERAGE(C6:C284)</f>
        <v>9.14953405017921</v>
      </c>
      <c r="F287" s="3" t="s">
        <v>315</v>
      </c>
      <c r="G287" s="23" t="n">
        <f aca="false">AVERAGE(F6:F284)</f>
        <v>34.900394265233</v>
      </c>
      <c r="H287" s="24" t="n">
        <f aca="false">AVERAGE(H6:H284)</f>
        <v>9.69219910394265</v>
      </c>
      <c r="I287" s="25" t="n">
        <f aca="false">AVERAGE(I6:I284)</f>
        <v>0.27523982475356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8" min="6" style="0" width="10"/>
    <col collapsed="false" customWidth="true" hidden="false" outlineLevel="0" max="9" min="9" style="0" width="9"/>
    <col collapsed="false" customWidth="true" hidden="false" outlineLevel="0" max="10" min="10" style="0" width="50"/>
    <col collapsed="false" customWidth="true" hidden="false" outlineLevel="0" max="11" min="11" style="0" width="30"/>
  </cols>
  <sheetData>
    <row r="1" customFormat="false" ht="17.35" hidden="false" customHeight="true" outlineLevel="0" collapsed="false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317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6.85" hidden="false" customHeight="false" outlineLevel="0" collapsed="false">
      <c r="A4" s="6" t="s">
        <v>318</v>
      </c>
      <c r="B4" s="6" t="s">
        <v>5</v>
      </c>
      <c r="C4" s="6" t="s">
        <v>6</v>
      </c>
      <c r="D4" s="6" t="s">
        <v>319</v>
      </c>
      <c r="E4" s="6" t="s">
        <v>320</v>
      </c>
      <c r="F4" s="6" t="s">
        <v>321</v>
      </c>
      <c r="G4" s="6" t="s">
        <v>322</v>
      </c>
      <c r="H4" s="6" t="s">
        <v>323</v>
      </c>
      <c r="I4" s="6" t="s">
        <v>13</v>
      </c>
      <c r="J4" s="6" t="s">
        <v>324</v>
      </c>
      <c r="K4" s="6" t="s">
        <v>325</v>
      </c>
    </row>
    <row r="5" customFormat="false" ht="26.85" hidden="false" customHeight="false" outlineLevel="0" collapsed="false">
      <c r="A5" s="26" t="s">
        <v>326</v>
      </c>
      <c r="B5" s="7" t="s">
        <v>236</v>
      </c>
      <c r="C5" s="8" t="s">
        <v>240</v>
      </c>
      <c r="D5" s="9" t="n">
        <v>7.29</v>
      </c>
      <c r="E5" s="9" t="n">
        <v>5.5</v>
      </c>
      <c r="F5" s="10" t="n">
        <f aca="false">D5+E5</f>
        <v>12.79</v>
      </c>
      <c r="G5" s="9" t="n">
        <v>29.99</v>
      </c>
      <c r="H5" s="12" t="n">
        <f aca="false">G5-F5-(G5*0.245+0.2)</f>
        <v>9.65245</v>
      </c>
      <c r="I5" s="13" t="n">
        <f aca="false">IF(G5&gt;0,H5/G5,0)</f>
        <v>0.321855618539513</v>
      </c>
      <c r="J5" s="8" t="s">
        <v>327</v>
      </c>
      <c r="K5" s="8" t="s">
        <v>328</v>
      </c>
    </row>
    <row r="6" customFormat="false" ht="26.85" hidden="false" customHeight="false" outlineLevel="0" collapsed="false">
      <c r="A6" s="26" t="s">
        <v>326</v>
      </c>
      <c r="B6" s="14" t="s">
        <v>236</v>
      </c>
      <c r="C6" s="15" t="s">
        <v>237</v>
      </c>
      <c r="D6" s="16" t="n">
        <v>8.69</v>
      </c>
      <c r="E6" s="16" t="n">
        <v>5.5</v>
      </c>
      <c r="F6" s="17" t="n">
        <f aca="false">D6+E6</f>
        <v>14.19</v>
      </c>
      <c r="G6" s="16" t="n">
        <v>34.99</v>
      </c>
      <c r="H6" s="19" t="n">
        <f aca="false">G6-F6-(G6*0.245+0.2)</f>
        <v>12.02745</v>
      </c>
      <c r="I6" s="20" t="n">
        <f aca="false">IF(G6&gt;0,H6/G6,0)</f>
        <v>0.343739639897114</v>
      </c>
      <c r="J6" s="15" t="s">
        <v>329</v>
      </c>
      <c r="K6" s="15" t="s">
        <v>330</v>
      </c>
    </row>
    <row r="7" customFormat="false" ht="26.85" hidden="false" customHeight="false" outlineLevel="0" collapsed="false">
      <c r="A7" s="26" t="s">
        <v>326</v>
      </c>
      <c r="B7" s="7" t="s">
        <v>236</v>
      </c>
      <c r="C7" s="8" t="s">
        <v>238</v>
      </c>
      <c r="D7" s="9" t="n">
        <v>8.49</v>
      </c>
      <c r="E7" s="9" t="n">
        <v>6</v>
      </c>
      <c r="F7" s="10" t="n">
        <f aca="false">D7+E7</f>
        <v>14.49</v>
      </c>
      <c r="G7" s="9" t="n">
        <v>34.99</v>
      </c>
      <c r="H7" s="12" t="n">
        <f aca="false">G7-F7-(G7*0.245+0.2)</f>
        <v>11.72745</v>
      </c>
      <c r="I7" s="13" t="n">
        <f aca="false">IF(G7&gt;0,H7/G7,0)</f>
        <v>0.335165761646185</v>
      </c>
      <c r="J7" s="8" t="s">
        <v>331</v>
      </c>
      <c r="K7" s="8" t="s">
        <v>332</v>
      </c>
    </row>
    <row r="8" customFormat="false" ht="26.85" hidden="false" customHeight="false" outlineLevel="0" collapsed="false">
      <c r="A8" s="26" t="s">
        <v>326</v>
      </c>
      <c r="B8" s="14" t="s">
        <v>236</v>
      </c>
      <c r="C8" s="15" t="s">
        <v>242</v>
      </c>
      <c r="D8" s="16" t="n">
        <v>8.99</v>
      </c>
      <c r="E8" s="16" t="n">
        <v>7</v>
      </c>
      <c r="F8" s="17" t="n">
        <f aca="false">D8+E8</f>
        <v>15.99</v>
      </c>
      <c r="G8" s="16" t="n">
        <v>34.99</v>
      </c>
      <c r="H8" s="19" t="n">
        <f aca="false">G8-F8-(G8*0.245+0.2)</f>
        <v>10.22745</v>
      </c>
      <c r="I8" s="20" t="n">
        <f aca="false">IF(G8&gt;0,H8/G8,0)</f>
        <v>0.29229637039154</v>
      </c>
      <c r="J8" s="15" t="s">
        <v>333</v>
      </c>
      <c r="K8" s="15" t="s">
        <v>334</v>
      </c>
    </row>
    <row r="9" customFormat="false" ht="26.85" hidden="false" customHeight="false" outlineLevel="0" collapsed="false">
      <c r="A9" s="26" t="s">
        <v>326</v>
      </c>
      <c r="B9" s="7" t="s">
        <v>15</v>
      </c>
      <c r="C9" s="8" t="s">
        <v>27</v>
      </c>
      <c r="D9" s="9" t="n">
        <v>4.39</v>
      </c>
      <c r="E9" s="9" t="n">
        <v>5.5</v>
      </c>
      <c r="F9" s="10" t="n">
        <f aca="false">D9+E9</f>
        <v>9.89</v>
      </c>
      <c r="G9" s="9" t="n">
        <v>24.99</v>
      </c>
      <c r="H9" s="12" t="n">
        <f aca="false">G9-F9-(G9*0.245+0.2)</f>
        <v>8.77745</v>
      </c>
      <c r="I9" s="13" t="n">
        <f aca="false">IF(G9&gt;0,H9/G9,0)</f>
        <v>0.351238495398159</v>
      </c>
      <c r="J9" s="8" t="s">
        <v>335</v>
      </c>
      <c r="K9" s="8" t="s">
        <v>336</v>
      </c>
    </row>
    <row r="10" customFormat="false" ht="26.85" hidden="false" customHeight="false" outlineLevel="0" collapsed="false">
      <c r="A10" s="26" t="s">
        <v>326</v>
      </c>
      <c r="B10" s="14" t="s">
        <v>15</v>
      </c>
      <c r="C10" s="15" t="s">
        <v>337</v>
      </c>
      <c r="D10" s="16" t="n">
        <v>5.19</v>
      </c>
      <c r="E10" s="16" t="n">
        <v>6</v>
      </c>
      <c r="F10" s="17" t="n">
        <f aca="false">D10+E10</f>
        <v>11.19</v>
      </c>
      <c r="G10" s="16" t="n">
        <v>24.99</v>
      </c>
      <c r="H10" s="19" t="n">
        <f aca="false">G10-F10-(G10*0.245+0.2)</f>
        <v>7.47745</v>
      </c>
      <c r="I10" s="20" t="n">
        <f aca="false">IF(G10&gt;0,H10/G10,0)</f>
        <v>0.29921768707483</v>
      </c>
      <c r="J10" s="15" t="s">
        <v>338</v>
      </c>
      <c r="K10" s="15" t="s">
        <v>339</v>
      </c>
    </row>
    <row r="11" customFormat="false" ht="26.85" hidden="false" customHeight="false" outlineLevel="0" collapsed="false">
      <c r="A11" s="26" t="s">
        <v>326</v>
      </c>
      <c r="B11" s="7" t="s">
        <v>285</v>
      </c>
      <c r="C11" s="8" t="s">
        <v>286</v>
      </c>
      <c r="D11" s="9" t="n">
        <v>4.39</v>
      </c>
      <c r="E11" s="9" t="n">
        <v>6</v>
      </c>
      <c r="F11" s="10" t="n">
        <f aca="false">D11+E11</f>
        <v>10.39</v>
      </c>
      <c r="G11" s="9" t="n">
        <v>24.99</v>
      </c>
      <c r="H11" s="12" t="n">
        <f aca="false">G11-F11-(G11*0.245+0.2)</f>
        <v>8.27745</v>
      </c>
      <c r="I11" s="13" t="n">
        <f aca="false">IF(G11&gt;0,H11/G11,0)</f>
        <v>0.331230492196879</v>
      </c>
      <c r="J11" s="8" t="s">
        <v>340</v>
      </c>
      <c r="K11" s="8" t="s">
        <v>341</v>
      </c>
    </row>
    <row r="12" customFormat="false" ht="26.85" hidden="false" customHeight="false" outlineLevel="0" collapsed="false">
      <c r="A12" s="26" t="s">
        <v>326</v>
      </c>
      <c r="B12" s="14" t="s">
        <v>113</v>
      </c>
      <c r="C12" s="15" t="s">
        <v>116</v>
      </c>
      <c r="D12" s="16" t="n">
        <v>7.25</v>
      </c>
      <c r="E12" s="16" t="n">
        <v>7</v>
      </c>
      <c r="F12" s="17" t="n">
        <f aca="false">D12+E12</f>
        <v>14.25</v>
      </c>
      <c r="G12" s="16" t="n">
        <v>29.99</v>
      </c>
      <c r="H12" s="19" t="n">
        <f aca="false">G12-F12-(G12*0.245+0.2)</f>
        <v>8.19245</v>
      </c>
      <c r="I12" s="20" t="n">
        <f aca="false">IF(G12&gt;0,H12/G12,0)</f>
        <v>0.273172724241414</v>
      </c>
      <c r="J12" s="15" t="s">
        <v>342</v>
      </c>
      <c r="K12" s="15" t="s">
        <v>343</v>
      </c>
    </row>
    <row r="13" customFormat="false" ht="26.85" hidden="false" customHeight="false" outlineLevel="0" collapsed="false">
      <c r="A13" s="26" t="s">
        <v>326</v>
      </c>
      <c r="B13" s="7" t="s">
        <v>113</v>
      </c>
      <c r="C13" s="8" t="s">
        <v>118</v>
      </c>
      <c r="D13" s="9" t="n">
        <v>7.25</v>
      </c>
      <c r="E13" s="9" t="n">
        <v>7</v>
      </c>
      <c r="F13" s="10" t="n">
        <f aca="false">D13+E13</f>
        <v>14.25</v>
      </c>
      <c r="G13" s="9" t="n">
        <v>29.99</v>
      </c>
      <c r="H13" s="12" t="n">
        <f aca="false">G13-F13-(G13*0.245+0.2)</f>
        <v>8.19245</v>
      </c>
      <c r="I13" s="13" t="n">
        <f aca="false">IF(G13&gt;0,H13/G13,0)</f>
        <v>0.273172724241414</v>
      </c>
      <c r="J13" s="8" t="s">
        <v>344</v>
      </c>
      <c r="K13" s="8" t="s">
        <v>345</v>
      </c>
    </row>
    <row r="14" customFormat="false" ht="26.85" hidden="false" customHeight="false" outlineLevel="0" collapsed="false">
      <c r="A14" s="26" t="s">
        <v>326</v>
      </c>
      <c r="B14" s="14" t="s">
        <v>113</v>
      </c>
      <c r="C14" s="15" t="s">
        <v>114</v>
      </c>
      <c r="D14" s="16" t="n">
        <v>7.03</v>
      </c>
      <c r="E14" s="16" t="n">
        <v>7.5</v>
      </c>
      <c r="F14" s="17" t="n">
        <f aca="false">D14+E14</f>
        <v>14.53</v>
      </c>
      <c r="G14" s="16" t="n">
        <v>29.99</v>
      </c>
      <c r="H14" s="19" t="n">
        <f aca="false">G14-F14-(G14*0.245+0.2)</f>
        <v>7.91245</v>
      </c>
      <c r="I14" s="20" t="n">
        <f aca="false">IF(G14&gt;0,H14/G14,0)</f>
        <v>0.263836278759587</v>
      </c>
      <c r="J14" s="15" t="s">
        <v>346</v>
      </c>
      <c r="K14" s="15" t="s">
        <v>347</v>
      </c>
    </row>
    <row r="15" customFormat="false" ht="26.85" hidden="false" customHeight="false" outlineLevel="0" collapsed="false">
      <c r="A15" s="26" t="s">
        <v>326</v>
      </c>
      <c r="B15" s="7" t="s">
        <v>113</v>
      </c>
      <c r="C15" s="8" t="s">
        <v>115</v>
      </c>
      <c r="D15" s="9" t="n">
        <v>7.12</v>
      </c>
      <c r="E15" s="9" t="n">
        <v>7</v>
      </c>
      <c r="F15" s="10" t="n">
        <f aca="false">D15+E15</f>
        <v>14.12</v>
      </c>
      <c r="G15" s="9" t="n">
        <v>29.99</v>
      </c>
      <c r="H15" s="12" t="n">
        <f aca="false">G15-F15-(G15*0.245+0.2)</f>
        <v>8.32245</v>
      </c>
      <c r="I15" s="13" t="n">
        <f aca="false">IF(G15&gt;0,H15/G15,0)</f>
        <v>0.277507502500834</v>
      </c>
      <c r="J15" s="8" t="s">
        <v>348</v>
      </c>
      <c r="K15" s="8" t="s">
        <v>349</v>
      </c>
    </row>
    <row r="16" customFormat="false" ht="26.85" hidden="false" customHeight="false" outlineLevel="0" collapsed="false">
      <c r="A16" s="26" t="s">
        <v>326</v>
      </c>
      <c r="B16" s="14" t="s">
        <v>113</v>
      </c>
      <c r="C16" s="15" t="s">
        <v>138</v>
      </c>
      <c r="D16" s="16" t="n">
        <v>8.89</v>
      </c>
      <c r="E16" s="16" t="n">
        <v>7.5</v>
      </c>
      <c r="F16" s="17" t="n">
        <f aca="false">D16+E16</f>
        <v>16.39</v>
      </c>
      <c r="G16" s="16" t="n">
        <v>34.99</v>
      </c>
      <c r="H16" s="19" t="n">
        <f aca="false">G16-F16-(G16*0.245+0.2)</f>
        <v>9.82745</v>
      </c>
      <c r="I16" s="20" t="n">
        <f aca="false">IF(G16&gt;0,H16/G16,0)</f>
        <v>0.280864532723635</v>
      </c>
      <c r="J16" s="15" t="s">
        <v>350</v>
      </c>
      <c r="K16" s="15" t="s">
        <v>351</v>
      </c>
    </row>
    <row r="17" customFormat="false" ht="26.85" hidden="false" customHeight="false" outlineLevel="0" collapsed="false">
      <c r="A17" s="26" t="s">
        <v>326</v>
      </c>
      <c r="B17" s="7" t="s">
        <v>113</v>
      </c>
      <c r="C17" s="8" t="s">
        <v>125</v>
      </c>
      <c r="D17" s="9" t="n">
        <v>7.89</v>
      </c>
      <c r="E17" s="9" t="n">
        <v>7.5</v>
      </c>
      <c r="F17" s="10" t="n">
        <f aca="false">D17+E17</f>
        <v>15.39</v>
      </c>
      <c r="G17" s="9" t="n">
        <v>34.99</v>
      </c>
      <c r="H17" s="12" t="n">
        <f aca="false">G17-F17-(G17*0.245+0.2)</f>
        <v>10.82745</v>
      </c>
      <c r="I17" s="13" t="n">
        <f aca="false">IF(G17&gt;0,H17/G17,0)</f>
        <v>0.309444126893398</v>
      </c>
      <c r="J17" s="8" t="s">
        <v>352</v>
      </c>
      <c r="K17" s="8" t="s">
        <v>353</v>
      </c>
    </row>
    <row r="18" customFormat="false" ht="26.85" hidden="false" customHeight="false" outlineLevel="0" collapsed="false">
      <c r="A18" s="26" t="s">
        <v>326</v>
      </c>
      <c r="B18" s="14" t="s">
        <v>113</v>
      </c>
      <c r="C18" s="15" t="s">
        <v>126</v>
      </c>
      <c r="D18" s="16" t="n">
        <v>7.99</v>
      </c>
      <c r="E18" s="16" t="n">
        <v>7.5</v>
      </c>
      <c r="F18" s="17" t="n">
        <f aca="false">D18+E18</f>
        <v>15.49</v>
      </c>
      <c r="G18" s="16" t="n">
        <v>34.99</v>
      </c>
      <c r="H18" s="19" t="n">
        <f aca="false">G18-F18-(G18*0.245+0.2)</f>
        <v>10.72745</v>
      </c>
      <c r="I18" s="20" t="n">
        <f aca="false">IF(G18&gt;0,H18/G18,0)</f>
        <v>0.306586167476422</v>
      </c>
      <c r="J18" s="15" t="s">
        <v>354</v>
      </c>
      <c r="K18" s="15" t="s">
        <v>355</v>
      </c>
    </row>
    <row r="19" customFormat="false" ht="26.85" hidden="false" customHeight="false" outlineLevel="0" collapsed="false">
      <c r="A19" s="26" t="s">
        <v>326</v>
      </c>
      <c r="B19" s="7" t="s">
        <v>113</v>
      </c>
      <c r="C19" s="8" t="s">
        <v>164</v>
      </c>
      <c r="D19" s="9" t="n">
        <v>10.29</v>
      </c>
      <c r="E19" s="9" t="n">
        <v>8</v>
      </c>
      <c r="F19" s="10" t="n">
        <f aca="false">D19+E19</f>
        <v>18.29</v>
      </c>
      <c r="G19" s="9" t="n">
        <v>39.99</v>
      </c>
      <c r="H19" s="12" t="n">
        <f aca="false">G19-F19-(G19*0.245+0.2)</f>
        <v>11.70245</v>
      </c>
      <c r="I19" s="13" t="n">
        <f aca="false">IF(G19&gt;0,H19/G19,0)</f>
        <v>0.292634408602151</v>
      </c>
      <c r="J19" s="8" t="s">
        <v>356</v>
      </c>
      <c r="K19" s="8" t="s">
        <v>357</v>
      </c>
    </row>
    <row r="20" customFormat="false" ht="26.85" hidden="false" customHeight="false" outlineLevel="0" collapsed="false">
      <c r="A20" s="26" t="s">
        <v>326</v>
      </c>
      <c r="B20" s="14" t="s">
        <v>113</v>
      </c>
      <c r="C20" s="15" t="s">
        <v>171</v>
      </c>
      <c r="D20" s="16" t="n">
        <v>13.29</v>
      </c>
      <c r="E20" s="16" t="n">
        <v>9</v>
      </c>
      <c r="F20" s="17" t="n">
        <f aca="false">D20+E20</f>
        <v>22.29</v>
      </c>
      <c r="G20" s="16" t="n">
        <v>54.99</v>
      </c>
      <c r="H20" s="19" t="n">
        <f aca="false">G20-F20-(G20*0.245+0.2)</f>
        <v>19.02745</v>
      </c>
      <c r="I20" s="20" t="n">
        <f aca="false">IF(G20&gt;0,H20/G20,0)</f>
        <v>0.346016548463357</v>
      </c>
      <c r="J20" s="15" t="s">
        <v>358</v>
      </c>
      <c r="K20" s="15" t="s">
        <v>359</v>
      </c>
    </row>
    <row r="21" customFormat="false" ht="26.85" hidden="false" customHeight="false" outlineLevel="0" collapsed="false">
      <c r="A21" s="26" t="s">
        <v>326</v>
      </c>
      <c r="B21" s="7" t="s">
        <v>201</v>
      </c>
      <c r="C21" s="8" t="s">
        <v>202</v>
      </c>
      <c r="D21" s="9" t="n">
        <v>4.69</v>
      </c>
      <c r="E21" s="9" t="n">
        <v>6</v>
      </c>
      <c r="F21" s="10" t="n">
        <f aca="false">D21+E21</f>
        <v>10.69</v>
      </c>
      <c r="G21" s="9" t="n">
        <v>22.99</v>
      </c>
      <c r="H21" s="12" t="n">
        <f aca="false">G21-F21-(G21*0.245+0.2)</f>
        <v>6.46745</v>
      </c>
      <c r="I21" s="13" t="n">
        <f aca="false">IF(G21&gt;0,H21/G21,0)</f>
        <v>0.281315789473684</v>
      </c>
      <c r="J21" s="8" t="s">
        <v>360</v>
      </c>
      <c r="K21" s="8" t="s">
        <v>361</v>
      </c>
    </row>
    <row r="22" customFormat="false" ht="26.85" hidden="false" customHeight="false" outlineLevel="0" collapsed="false">
      <c r="A22" s="26" t="s">
        <v>326</v>
      </c>
      <c r="B22" s="14" t="s">
        <v>201</v>
      </c>
      <c r="C22" s="15" t="s">
        <v>206</v>
      </c>
      <c r="D22" s="16" t="n">
        <v>6.99</v>
      </c>
      <c r="E22" s="16" t="n">
        <v>7.5</v>
      </c>
      <c r="F22" s="17" t="n">
        <f aca="false">D22+E22</f>
        <v>14.49</v>
      </c>
      <c r="G22" s="16" t="n">
        <v>34.99</v>
      </c>
      <c r="H22" s="19" t="n">
        <f aca="false">G22-F22-(G22*0.245+0.2)</f>
        <v>11.72745</v>
      </c>
      <c r="I22" s="20" t="n">
        <f aca="false">IF(G22&gt;0,H22/G22,0)</f>
        <v>0.335165761646185</v>
      </c>
      <c r="J22" s="15" t="s">
        <v>362</v>
      </c>
      <c r="K22" s="15" t="s">
        <v>363</v>
      </c>
    </row>
    <row r="23" customFormat="false" ht="26.85" hidden="false" customHeight="false" outlineLevel="0" collapsed="false">
      <c r="A23" s="26" t="s">
        <v>326</v>
      </c>
      <c r="B23" s="7" t="s">
        <v>201</v>
      </c>
      <c r="C23" s="8" t="s">
        <v>214</v>
      </c>
      <c r="D23" s="9" t="n">
        <v>11.59</v>
      </c>
      <c r="E23" s="9" t="n">
        <v>8</v>
      </c>
      <c r="F23" s="10" t="n">
        <f aca="false">D23+E23</f>
        <v>19.59</v>
      </c>
      <c r="G23" s="9" t="n">
        <v>39.99</v>
      </c>
      <c r="H23" s="12" t="n">
        <f aca="false">G23-F23-(G23*0.245+0.2)</f>
        <v>10.40245</v>
      </c>
      <c r="I23" s="13" t="n">
        <f aca="false">IF(G23&gt;0,H23/G23,0)</f>
        <v>0.260126281570393</v>
      </c>
      <c r="J23" s="8" t="s">
        <v>364</v>
      </c>
      <c r="K23" s="8" t="s">
        <v>365</v>
      </c>
    </row>
    <row r="24" customFormat="false" ht="26.85" hidden="false" customHeight="false" outlineLevel="0" collapsed="false">
      <c r="A24" s="26" t="s">
        <v>326</v>
      </c>
      <c r="B24" s="14" t="s">
        <v>285</v>
      </c>
      <c r="C24" s="15" t="s">
        <v>293</v>
      </c>
      <c r="D24" s="16" t="n">
        <v>8.99</v>
      </c>
      <c r="E24" s="16" t="n">
        <v>7.5</v>
      </c>
      <c r="F24" s="17" t="n">
        <f aca="false">D24+E24</f>
        <v>16.49</v>
      </c>
      <c r="G24" s="16" t="n">
        <v>34.99</v>
      </c>
      <c r="H24" s="19" t="n">
        <f aca="false">G24-F24-(G24*0.245+0.2)</f>
        <v>9.72745</v>
      </c>
      <c r="I24" s="20" t="n">
        <f aca="false">IF(G24&gt;0,H24/G24,0)</f>
        <v>0.278006573306659</v>
      </c>
      <c r="J24" s="15" t="s">
        <v>366</v>
      </c>
      <c r="K24" s="15" t="s">
        <v>367</v>
      </c>
    </row>
    <row r="25" customFormat="false" ht="26.85" hidden="false" customHeight="false" outlineLevel="0" collapsed="false">
      <c r="A25" s="26" t="s">
        <v>326</v>
      </c>
      <c r="B25" s="7" t="s">
        <v>285</v>
      </c>
      <c r="C25" s="8" t="s">
        <v>294</v>
      </c>
      <c r="D25" s="9" t="n">
        <v>12.49</v>
      </c>
      <c r="E25" s="9" t="n">
        <v>9</v>
      </c>
      <c r="F25" s="10" t="n">
        <f aca="false">D25+E25</f>
        <v>21.49</v>
      </c>
      <c r="G25" s="9" t="n">
        <v>44.99</v>
      </c>
      <c r="H25" s="12" t="n">
        <f aca="false">G25-F25-(G25*0.245+0.2)</f>
        <v>12.27745</v>
      </c>
      <c r="I25" s="13" t="n">
        <f aca="false">IF(G25&gt;0,H25/G25,0)</f>
        <v>0.272892865081129</v>
      </c>
      <c r="J25" s="8" t="s">
        <v>368</v>
      </c>
      <c r="K25" s="8" t="s">
        <v>328</v>
      </c>
    </row>
    <row r="26" customFormat="false" ht="26.85" hidden="false" customHeight="false" outlineLevel="0" collapsed="false">
      <c r="A26" s="26" t="s">
        <v>326</v>
      </c>
      <c r="B26" s="14" t="s">
        <v>257</v>
      </c>
      <c r="C26" s="15" t="s">
        <v>258</v>
      </c>
      <c r="D26" s="16" t="n">
        <v>9.79</v>
      </c>
      <c r="E26" s="16" t="n">
        <v>7.5</v>
      </c>
      <c r="F26" s="17" t="n">
        <f aca="false">D26+E26</f>
        <v>17.29</v>
      </c>
      <c r="G26" s="16" t="n">
        <v>39.99</v>
      </c>
      <c r="H26" s="19" t="n">
        <f aca="false">G26-F26-(G26*0.245+0.2)</f>
        <v>12.70245</v>
      </c>
      <c r="I26" s="20" t="n">
        <f aca="false">IF(G26&gt;0,H26/G26,0)</f>
        <v>0.317640660165041</v>
      </c>
      <c r="J26" s="15" t="s">
        <v>369</v>
      </c>
      <c r="K26" s="15" t="s">
        <v>370</v>
      </c>
    </row>
    <row r="27" customFormat="false" ht="26.85" hidden="false" customHeight="false" outlineLevel="0" collapsed="false">
      <c r="A27" s="26" t="s">
        <v>326</v>
      </c>
      <c r="B27" s="7" t="s">
        <v>257</v>
      </c>
      <c r="C27" s="8" t="s">
        <v>262</v>
      </c>
      <c r="D27" s="9" t="n">
        <v>13.19</v>
      </c>
      <c r="E27" s="9" t="n">
        <v>8.5</v>
      </c>
      <c r="F27" s="10" t="n">
        <f aca="false">D27+E27</f>
        <v>21.69</v>
      </c>
      <c r="G27" s="9" t="n">
        <v>44.99</v>
      </c>
      <c r="H27" s="12" t="n">
        <f aca="false">G27-F27-(G27*0.245+0.2)</f>
        <v>12.07745</v>
      </c>
      <c r="I27" s="13" t="n">
        <f aca="false">IF(G27&gt;0,H27/G27,0)</f>
        <v>0.268447432762836</v>
      </c>
      <c r="J27" s="8" t="s">
        <v>371</v>
      </c>
      <c r="K27" s="8" t="s">
        <v>334</v>
      </c>
    </row>
    <row r="28" customFormat="false" ht="26.85" hidden="false" customHeight="false" outlineLevel="0" collapsed="false">
      <c r="A28" s="26" t="s">
        <v>326</v>
      </c>
      <c r="B28" s="14" t="s">
        <v>297</v>
      </c>
      <c r="C28" s="15" t="s">
        <v>298</v>
      </c>
      <c r="D28" s="16" t="n">
        <v>7.25</v>
      </c>
      <c r="E28" s="16" t="n">
        <v>7</v>
      </c>
      <c r="F28" s="17" t="n">
        <f aca="false">D28+E28</f>
        <v>14.25</v>
      </c>
      <c r="G28" s="16" t="n">
        <v>34.99</v>
      </c>
      <c r="H28" s="19" t="n">
        <f aca="false">G28-F28-(G28*0.245+0.2)</f>
        <v>11.96745</v>
      </c>
      <c r="I28" s="20" t="n">
        <f aca="false">IF(G28&gt;0,H28/G28,0)</f>
        <v>0.342024864246928</v>
      </c>
      <c r="J28" s="15" t="s">
        <v>372</v>
      </c>
      <c r="K28" s="15" t="s">
        <v>373</v>
      </c>
    </row>
    <row r="29" customFormat="false" ht="26.85" hidden="false" customHeight="false" outlineLevel="0" collapsed="false">
      <c r="A29" s="26" t="s">
        <v>326</v>
      </c>
      <c r="B29" s="7" t="s">
        <v>297</v>
      </c>
      <c r="C29" s="8" t="s">
        <v>301</v>
      </c>
      <c r="D29" s="9" t="n">
        <v>10.59</v>
      </c>
      <c r="E29" s="9" t="n">
        <v>8</v>
      </c>
      <c r="F29" s="10" t="n">
        <f aca="false">D29+E29</f>
        <v>18.59</v>
      </c>
      <c r="G29" s="9" t="n">
        <v>34.99</v>
      </c>
      <c r="H29" s="12" t="n">
        <f aca="false">G29-F29-(G29*0.245+0.2)</f>
        <v>7.62745</v>
      </c>
      <c r="I29" s="13" t="n">
        <f aca="false">IF(G29&gt;0,H29/G29,0)</f>
        <v>0.217989425550157</v>
      </c>
      <c r="J29" s="8" t="s">
        <v>374</v>
      </c>
      <c r="K29" s="8" t="s">
        <v>353</v>
      </c>
    </row>
    <row r="30" customFormat="false" ht="26.85" hidden="false" customHeight="false" outlineLevel="0" collapsed="false">
      <c r="A30" s="26" t="s">
        <v>326</v>
      </c>
      <c r="B30" s="14" t="s">
        <v>275</v>
      </c>
      <c r="C30" s="15" t="s">
        <v>276</v>
      </c>
      <c r="D30" s="16" t="n">
        <v>6.89</v>
      </c>
      <c r="E30" s="16" t="n">
        <v>8</v>
      </c>
      <c r="F30" s="17" t="n">
        <f aca="false">D30+E30</f>
        <v>14.89</v>
      </c>
      <c r="G30" s="16" t="n">
        <v>34.99</v>
      </c>
      <c r="H30" s="19" t="n">
        <f aca="false">G30-F30-(G30*0.245+0.2)</f>
        <v>11.32745</v>
      </c>
      <c r="I30" s="20" t="n">
        <f aca="false">IF(G30&gt;0,H30/G30,0)</f>
        <v>0.32373392397828</v>
      </c>
      <c r="J30" s="15" t="s">
        <v>375</v>
      </c>
      <c r="K30" s="15" t="s">
        <v>349</v>
      </c>
    </row>
    <row r="31" customFormat="false" ht="26.85" hidden="false" customHeight="false" outlineLevel="0" collapsed="false">
      <c r="A31" s="26" t="s">
        <v>326</v>
      </c>
      <c r="B31" s="7" t="s">
        <v>264</v>
      </c>
      <c r="C31" s="8" t="s">
        <v>273</v>
      </c>
      <c r="D31" s="9" t="n">
        <v>11.69</v>
      </c>
      <c r="E31" s="9" t="n">
        <v>9</v>
      </c>
      <c r="F31" s="10" t="n">
        <f aca="false">D31+E31</f>
        <v>20.69</v>
      </c>
      <c r="G31" s="9" t="n">
        <v>44.99</v>
      </c>
      <c r="H31" s="12" t="n">
        <f aca="false">G31-F31-(G31*0.245+0.2)</f>
        <v>13.07745</v>
      </c>
      <c r="I31" s="13" t="n">
        <f aca="false">IF(G31&gt;0,H31/G31,0)</f>
        <v>0.290674594354301</v>
      </c>
      <c r="J31" s="8" t="s">
        <v>376</v>
      </c>
      <c r="K31" s="8" t="s">
        <v>377</v>
      </c>
    </row>
    <row r="32" customFormat="false" ht="26.85" hidden="false" customHeight="false" outlineLevel="0" collapsed="false">
      <c r="A32" s="26" t="s">
        <v>326</v>
      </c>
      <c r="B32" s="14" t="s">
        <v>264</v>
      </c>
      <c r="C32" s="15" t="s">
        <v>272</v>
      </c>
      <c r="D32" s="16" t="n">
        <v>12.89</v>
      </c>
      <c r="E32" s="16" t="n">
        <v>9</v>
      </c>
      <c r="F32" s="17" t="n">
        <f aca="false">D32+E32</f>
        <v>21.89</v>
      </c>
      <c r="G32" s="16" t="n">
        <v>49.99</v>
      </c>
      <c r="H32" s="19" t="n">
        <f aca="false">G32-F32-(G32*0.245+0.2)</f>
        <v>15.65245</v>
      </c>
      <c r="I32" s="20" t="n">
        <f aca="false">IF(G32&gt;0,H32/G32,0)</f>
        <v>0.313111622324465</v>
      </c>
      <c r="J32" s="15" t="s">
        <v>378</v>
      </c>
      <c r="K32" s="15" t="s">
        <v>379</v>
      </c>
    </row>
    <row r="33" customFormat="false" ht="26.85" hidden="false" customHeight="false" outlineLevel="0" collapsed="false">
      <c r="A33" s="26" t="s">
        <v>326</v>
      </c>
      <c r="B33" s="7" t="s">
        <v>217</v>
      </c>
      <c r="C33" s="8" t="s">
        <v>223</v>
      </c>
      <c r="D33" s="9" t="n">
        <v>10.77</v>
      </c>
      <c r="E33" s="9" t="n">
        <v>8.5</v>
      </c>
      <c r="F33" s="10" t="n">
        <f aca="false">D33+E33</f>
        <v>19.27</v>
      </c>
      <c r="G33" s="9" t="n">
        <v>39.99</v>
      </c>
      <c r="H33" s="12" t="n">
        <f aca="false">G33-F33-(G33*0.245+0.2)</f>
        <v>10.72245</v>
      </c>
      <c r="I33" s="13" t="n">
        <f aca="false">IF(G33&gt;0,H33/G33,0)</f>
        <v>0.268128282070518</v>
      </c>
      <c r="J33" s="8" t="s">
        <v>380</v>
      </c>
      <c r="K33" s="8" t="s">
        <v>381</v>
      </c>
    </row>
    <row r="34" customFormat="false" ht="26.85" hidden="false" customHeight="false" outlineLevel="0" collapsed="false">
      <c r="A34" s="26" t="s">
        <v>326</v>
      </c>
      <c r="B34" s="14" t="s">
        <v>217</v>
      </c>
      <c r="C34" s="15" t="s">
        <v>234</v>
      </c>
      <c r="D34" s="16" t="n">
        <v>14.29</v>
      </c>
      <c r="E34" s="16" t="n">
        <v>9.5</v>
      </c>
      <c r="F34" s="17" t="n">
        <f aca="false">D34+E34</f>
        <v>23.79</v>
      </c>
      <c r="G34" s="16" t="n">
        <v>49.99</v>
      </c>
      <c r="H34" s="19" t="n">
        <f aca="false">G34-F34-(G34*0.245+0.2)</f>
        <v>13.75245</v>
      </c>
      <c r="I34" s="20" t="n">
        <f aca="false">IF(G34&gt;0,H34/G34,0)</f>
        <v>0.275104020804161</v>
      </c>
      <c r="J34" s="15" t="s">
        <v>382</v>
      </c>
      <c r="K34" s="15" t="s">
        <v>383</v>
      </c>
    </row>
    <row r="35" customFormat="false" ht="26.85" hidden="false" customHeight="false" outlineLevel="0" collapsed="false">
      <c r="A35" s="26" t="s">
        <v>326</v>
      </c>
      <c r="B35" s="7" t="s">
        <v>245</v>
      </c>
      <c r="C35" s="8" t="s">
        <v>246</v>
      </c>
      <c r="D35" s="9" t="n">
        <v>7.39</v>
      </c>
      <c r="E35" s="9" t="n">
        <v>7</v>
      </c>
      <c r="F35" s="10" t="n">
        <f aca="false">D35+E35</f>
        <v>14.39</v>
      </c>
      <c r="G35" s="9" t="n">
        <v>34.99</v>
      </c>
      <c r="H35" s="12" t="n">
        <f aca="false">G35-F35-(G35*0.245+0.2)</f>
        <v>11.82745</v>
      </c>
      <c r="I35" s="13" t="n">
        <f aca="false">IF(G35&gt;0,H35/G35,0)</f>
        <v>0.338023721063161</v>
      </c>
      <c r="J35" s="8" t="s">
        <v>384</v>
      </c>
      <c r="K35" s="8" t="s">
        <v>385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2"/>
    <col collapsed="false" customWidth="true" hidden="false" outlineLevel="0" max="7" min="7" style="0" width="10"/>
    <col collapsed="false" customWidth="true" hidden="false" outlineLevel="0" max="8" min="8" style="0" width="52"/>
  </cols>
  <sheetData>
    <row r="1" customFormat="false" ht="17.35" hidden="false" customHeight="true" outlineLevel="0" collapsed="false">
      <c r="A1" s="1" t="s">
        <v>386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6" t="s">
        <v>5</v>
      </c>
      <c r="B3" s="6" t="s">
        <v>387</v>
      </c>
      <c r="C3" s="6" t="s">
        <v>388</v>
      </c>
      <c r="D3" s="6" t="s">
        <v>389</v>
      </c>
      <c r="E3" s="6" t="s">
        <v>390</v>
      </c>
      <c r="F3" s="6" t="s">
        <v>391</v>
      </c>
      <c r="G3" s="6" t="s">
        <v>392</v>
      </c>
      <c r="H3" s="6" t="s">
        <v>393</v>
      </c>
    </row>
    <row r="4" customFormat="false" ht="15" hidden="false" customHeight="false" outlineLevel="0" collapsed="false">
      <c r="A4" s="7" t="s">
        <v>15</v>
      </c>
      <c r="B4" s="8" t="n">
        <v>141</v>
      </c>
      <c r="C4" s="9" t="n">
        <v>6.27</v>
      </c>
      <c r="D4" s="11" t="n">
        <v>12.21</v>
      </c>
      <c r="E4" s="9" t="n">
        <v>25.86</v>
      </c>
      <c r="F4" s="12" t="n">
        <v>7.22</v>
      </c>
      <c r="G4" s="27" t="n">
        <v>0.279</v>
      </c>
      <c r="H4" s="28" t="s">
        <v>394</v>
      </c>
    </row>
    <row r="5" customFormat="false" ht="23.85" hidden="false" customHeight="false" outlineLevel="0" collapsed="false">
      <c r="A5" s="14" t="s">
        <v>113</v>
      </c>
      <c r="B5" s="15" t="n">
        <v>124</v>
      </c>
      <c r="C5" s="16" t="n">
        <v>10.62</v>
      </c>
      <c r="D5" s="18" t="n">
        <v>18.77</v>
      </c>
      <c r="E5" s="16" t="n">
        <v>40.33</v>
      </c>
      <c r="F5" s="19" t="n">
        <v>11.55</v>
      </c>
      <c r="G5" s="27" t="n">
        <v>0.286</v>
      </c>
      <c r="H5" s="29" t="s">
        <v>395</v>
      </c>
    </row>
    <row r="6" customFormat="false" ht="15" hidden="false" customHeight="false" outlineLevel="0" collapsed="false">
      <c r="A6" s="7" t="s">
        <v>183</v>
      </c>
      <c r="B6" s="8" t="n">
        <v>46</v>
      </c>
      <c r="C6" s="9" t="n">
        <v>7.2</v>
      </c>
      <c r="D6" s="11" t="n">
        <v>14</v>
      </c>
      <c r="E6" s="9" t="n">
        <v>31.23</v>
      </c>
      <c r="F6" s="12" t="n">
        <v>9.47</v>
      </c>
      <c r="G6" s="30" t="n">
        <v>0.303</v>
      </c>
      <c r="H6" s="28" t="s">
        <v>396</v>
      </c>
    </row>
    <row r="7" customFormat="false" ht="15" hidden="false" customHeight="false" outlineLevel="0" collapsed="false">
      <c r="A7" s="14" t="s">
        <v>201</v>
      </c>
      <c r="B7" s="15" t="n">
        <v>31</v>
      </c>
      <c r="C7" s="16" t="n">
        <v>9.05</v>
      </c>
      <c r="D7" s="18" t="n">
        <v>16.39</v>
      </c>
      <c r="E7" s="16" t="n">
        <v>33.54</v>
      </c>
      <c r="F7" s="19" t="n">
        <v>8.94</v>
      </c>
      <c r="G7" s="27" t="n">
        <v>0.267</v>
      </c>
      <c r="H7" s="15" t="s">
        <v>397</v>
      </c>
    </row>
    <row r="8" customFormat="false" ht="15" hidden="false" customHeight="false" outlineLevel="0" collapsed="false">
      <c r="A8" s="7" t="s">
        <v>217</v>
      </c>
      <c r="B8" s="8" t="n">
        <v>39</v>
      </c>
      <c r="C8" s="9" t="n">
        <v>11.53</v>
      </c>
      <c r="D8" s="11" t="n">
        <v>20.53</v>
      </c>
      <c r="E8" s="9" t="n">
        <v>45.82</v>
      </c>
      <c r="F8" s="12" t="n">
        <v>14.05</v>
      </c>
      <c r="G8" s="30" t="n">
        <v>0.307</v>
      </c>
      <c r="H8" s="29" t="s">
        <v>398</v>
      </c>
    </row>
    <row r="9" customFormat="false" ht="15" hidden="false" customHeight="false" outlineLevel="0" collapsed="false">
      <c r="A9" s="14" t="s">
        <v>236</v>
      </c>
      <c r="B9" s="15" t="n">
        <v>12</v>
      </c>
      <c r="C9" s="16" t="n">
        <v>8.71</v>
      </c>
      <c r="D9" s="18" t="n">
        <v>14.56</v>
      </c>
      <c r="E9" s="16" t="n">
        <v>33.74</v>
      </c>
      <c r="F9" s="19" t="n">
        <v>10.9</v>
      </c>
      <c r="G9" s="30" t="n">
        <v>0.323</v>
      </c>
      <c r="H9" s="29" t="s">
        <v>399</v>
      </c>
    </row>
    <row r="10" customFormat="false" ht="15" hidden="false" customHeight="false" outlineLevel="0" collapsed="false">
      <c r="A10" s="7" t="s">
        <v>245</v>
      </c>
      <c r="B10" s="8" t="n">
        <v>22</v>
      </c>
      <c r="C10" s="9" t="n">
        <v>12.93</v>
      </c>
      <c r="D10" s="11" t="n">
        <v>21.25</v>
      </c>
      <c r="E10" s="9" t="n">
        <v>42.26</v>
      </c>
      <c r="F10" s="12" t="n">
        <v>10.66</v>
      </c>
      <c r="G10" s="27" t="n">
        <v>0.252</v>
      </c>
      <c r="H10" s="8" t="s">
        <v>400</v>
      </c>
    </row>
    <row r="11" customFormat="false" ht="15" hidden="false" customHeight="false" outlineLevel="0" collapsed="false">
      <c r="A11" s="14" t="s">
        <v>285</v>
      </c>
      <c r="B11" s="15" t="n">
        <v>20</v>
      </c>
      <c r="C11" s="16" t="n">
        <v>9.16</v>
      </c>
      <c r="D11" s="18" t="n">
        <v>16.72</v>
      </c>
      <c r="E11" s="16" t="n">
        <v>35.79</v>
      </c>
      <c r="F11" s="19" t="n">
        <v>10.3</v>
      </c>
      <c r="G11" s="27" t="n">
        <v>0.288</v>
      </c>
      <c r="H11" s="28" t="s">
        <v>401</v>
      </c>
    </row>
    <row r="12" customFormat="false" ht="15" hidden="false" customHeight="false" outlineLevel="0" collapsed="false">
      <c r="A12" s="7" t="s">
        <v>257</v>
      </c>
      <c r="B12" s="8" t="n">
        <v>9</v>
      </c>
      <c r="C12" s="9" t="n">
        <v>14.21</v>
      </c>
      <c r="D12" s="11" t="n">
        <v>23</v>
      </c>
      <c r="E12" s="9" t="n">
        <v>49.16</v>
      </c>
      <c r="F12" s="12" t="n">
        <v>14.12</v>
      </c>
      <c r="G12" s="27" t="n">
        <v>0.287</v>
      </c>
      <c r="H12" s="29" t="s">
        <v>402</v>
      </c>
    </row>
    <row r="13" customFormat="false" ht="15" hidden="false" customHeight="false" outlineLevel="0" collapsed="false">
      <c r="A13" s="14" t="s">
        <v>264</v>
      </c>
      <c r="B13" s="15" t="n">
        <v>11</v>
      </c>
      <c r="C13" s="16" t="n">
        <v>12.41</v>
      </c>
      <c r="D13" s="18" t="n">
        <v>21.31</v>
      </c>
      <c r="E13" s="16" t="n">
        <v>44.9</v>
      </c>
      <c r="F13" s="19" t="n">
        <v>12.59</v>
      </c>
      <c r="G13" s="27" t="n">
        <v>0.28</v>
      </c>
      <c r="H13" s="15" t="s">
        <v>403</v>
      </c>
    </row>
    <row r="14" customFormat="false" ht="15" hidden="false" customHeight="false" outlineLevel="0" collapsed="false">
      <c r="A14" s="7" t="s">
        <v>275</v>
      </c>
      <c r="B14" s="8" t="n">
        <v>23</v>
      </c>
      <c r="C14" s="9" t="n">
        <v>10.44</v>
      </c>
      <c r="D14" s="11" t="n">
        <v>18.92</v>
      </c>
      <c r="E14" s="9" t="n">
        <v>39.99</v>
      </c>
      <c r="F14" s="12" t="n">
        <v>11.27</v>
      </c>
      <c r="G14" s="27" t="n">
        <v>0.282</v>
      </c>
      <c r="H14" s="8" t="s">
        <v>404</v>
      </c>
    </row>
    <row r="15" customFormat="false" ht="15" hidden="false" customHeight="false" outlineLevel="0" collapsed="false">
      <c r="A15" s="14" t="s">
        <v>297</v>
      </c>
      <c r="B15" s="15" t="n">
        <v>12</v>
      </c>
      <c r="C15" s="16" t="n">
        <v>11.89</v>
      </c>
      <c r="D15" s="18" t="n">
        <v>20.15</v>
      </c>
      <c r="E15" s="16" t="n">
        <v>41.42</v>
      </c>
      <c r="F15" s="19" t="n">
        <v>11.12</v>
      </c>
      <c r="G15" s="27" t="n">
        <v>0.268</v>
      </c>
      <c r="H15" s="28" t="s">
        <v>405</v>
      </c>
    </row>
    <row r="16" customFormat="false" ht="15" hidden="false" customHeight="false" outlineLevel="0" collapsed="false">
      <c r="A16" s="7" t="s">
        <v>305</v>
      </c>
      <c r="B16" s="8" t="n">
        <v>10</v>
      </c>
      <c r="C16" s="9" t="n">
        <v>5.67</v>
      </c>
      <c r="D16" s="11" t="n">
        <v>10.45</v>
      </c>
      <c r="E16" s="9" t="n">
        <v>19.16</v>
      </c>
      <c r="F16" s="12" t="n">
        <v>4.02</v>
      </c>
      <c r="G16" s="31" t="n">
        <v>0.21</v>
      </c>
      <c r="H16" s="8" t="s">
        <v>406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6" min="3" style="0" width="10"/>
    <col collapsed="false" customWidth="true" hidden="false" outlineLevel="0" max="7" min="7" style="0" width="16"/>
    <col collapsed="false" customWidth="true" hidden="false" outlineLevel="0" max="8" min="8" style="0" width="52"/>
  </cols>
  <sheetData>
    <row r="1" customFormat="false" ht="17.35" hidden="false" customHeight="true" outlineLevel="0" collapsed="false">
      <c r="A1" s="1" t="s">
        <v>407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6" t="s">
        <v>408</v>
      </c>
      <c r="B3" s="6" t="s">
        <v>409</v>
      </c>
      <c r="C3" s="6" t="s">
        <v>5</v>
      </c>
      <c r="D3" s="6" t="s">
        <v>410</v>
      </c>
      <c r="E3" s="6" t="s">
        <v>411</v>
      </c>
      <c r="F3" s="6" t="s">
        <v>412</v>
      </c>
      <c r="G3" s="6" t="s">
        <v>413</v>
      </c>
      <c r="H3" s="6" t="s">
        <v>414</v>
      </c>
    </row>
    <row r="4" customFormat="false" ht="23.85" hidden="false" customHeight="false" outlineLevel="0" collapsed="false">
      <c r="A4" s="32" t="s">
        <v>415</v>
      </c>
      <c r="B4" s="8" t="s">
        <v>160</v>
      </c>
      <c r="C4" s="7" t="s">
        <v>416</v>
      </c>
      <c r="D4" s="9" t="n">
        <v>11.59</v>
      </c>
      <c r="E4" s="9" t="n">
        <v>44.99</v>
      </c>
      <c r="F4" s="12" t="n">
        <f aca="false">E4-D4-6.5-(E4*0.245+0.2)</f>
        <v>15.67745</v>
      </c>
      <c r="G4" s="8" t="s">
        <v>417</v>
      </c>
      <c r="H4" s="8" t="s">
        <v>418</v>
      </c>
    </row>
    <row r="5" customFormat="false" ht="15" hidden="false" customHeight="false" outlineLevel="0" collapsed="false">
      <c r="A5" s="32" t="s">
        <v>419</v>
      </c>
      <c r="B5" s="15" t="s">
        <v>159</v>
      </c>
      <c r="C5" s="14" t="s">
        <v>416</v>
      </c>
      <c r="D5" s="16" t="n">
        <v>11.69</v>
      </c>
      <c r="E5" s="16" t="n">
        <v>39.99</v>
      </c>
      <c r="F5" s="19" t="n">
        <f aca="false">E5-D5-6.5-(E5*0.245+0.2)</f>
        <v>11.80245</v>
      </c>
      <c r="G5" s="15" t="s">
        <v>420</v>
      </c>
      <c r="H5" s="15" t="s">
        <v>421</v>
      </c>
    </row>
    <row r="6" customFormat="false" ht="15" hidden="false" customHeight="false" outlineLevel="0" collapsed="false">
      <c r="A6" s="32" t="s">
        <v>419</v>
      </c>
      <c r="B6" s="8" t="s">
        <v>422</v>
      </c>
      <c r="C6" s="7" t="s">
        <v>423</v>
      </c>
      <c r="D6" s="9" t="n">
        <v>8.49</v>
      </c>
      <c r="E6" s="9" t="n">
        <v>34.99</v>
      </c>
      <c r="F6" s="12" t="n">
        <f aca="false">E6-D6-6.5-(E6*0.245+0.2)</f>
        <v>11.22745</v>
      </c>
      <c r="G6" s="8" t="s">
        <v>424</v>
      </c>
      <c r="H6" s="8" t="s">
        <v>425</v>
      </c>
    </row>
    <row r="7" customFormat="false" ht="15" hidden="false" customHeight="false" outlineLevel="0" collapsed="false">
      <c r="A7" s="32" t="s">
        <v>419</v>
      </c>
      <c r="B7" s="15" t="s">
        <v>116</v>
      </c>
      <c r="C7" s="14" t="s">
        <v>416</v>
      </c>
      <c r="D7" s="16" t="n">
        <v>7.25</v>
      </c>
      <c r="E7" s="16" t="n">
        <v>29.99</v>
      </c>
      <c r="F7" s="19" t="n">
        <f aca="false">E7-D7-6.5-(E7*0.245+0.2)</f>
        <v>8.69245</v>
      </c>
      <c r="G7" s="15" t="s">
        <v>426</v>
      </c>
      <c r="H7" s="15" t="s">
        <v>427</v>
      </c>
    </row>
    <row r="8" customFormat="false" ht="15" hidden="false" customHeight="false" outlineLevel="0" collapsed="false">
      <c r="A8" s="32" t="s">
        <v>419</v>
      </c>
      <c r="B8" s="8" t="s">
        <v>240</v>
      </c>
      <c r="C8" s="7" t="s">
        <v>428</v>
      </c>
      <c r="D8" s="9" t="n">
        <v>7.29</v>
      </c>
      <c r="E8" s="9" t="n">
        <v>29.99</v>
      </c>
      <c r="F8" s="12" t="n">
        <f aca="false">E8-D8-6.5-(E8*0.245+0.2)</f>
        <v>8.65245</v>
      </c>
      <c r="G8" s="8" t="s">
        <v>429</v>
      </c>
      <c r="H8" s="8" t="s">
        <v>430</v>
      </c>
    </row>
    <row r="9" customFormat="false" ht="15" hidden="false" customHeight="false" outlineLevel="0" collapsed="false">
      <c r="A9" s="32" t="s">
        <v>419</v>
      </c>
      <c r="B9" s="15" t="s">
        <v>238</v>
      </c>
      <c r="C9" s="14" t="s">
        <v>428</v>
      </c>
      <c r="D9" s="16" t="n">
        <v>8.49</v>
      </c>
      <c r="E9" s="16" t="n">
        <v>34.99</v>
      </c>
      <c r="F9" s="19" t="n">
        <f aca="false">E9-D9-6.5-(E9*0.245+0.2)</f>
        <v>11.22745</v>
      </c>
      <c r="G9" s="15" t="s">
        <v>426</v>
      </c>
      <c r="H9" s="15" t="s">
        <v>431</v>
      </c>
    </row>
    <row r="10" customFormat="false" ht="15" hidden="false" customHeight="false" outlineLevel="0" collapsed="false">
      <c r="A10" s="32" t="s">
        <v>419</v>
      </c>
      <c r="B10" s="8" t="s">
        <v>337</v>
      </c>
      <c r="C10" s="7" t="s">
        <v>432</v>
      </c>
      <c r="D10" s="9" t="n">
        <v>5.19</v>
      </c>
      <c r="E10" s="9" t="n">
        <v>24.99</v>
      </c>
      <c r="F10" s="12" t="n">
        <f aca="false">E10-D10-6.5-(E10*0.245+0.2)</f>
        <v>6.97745</v>
      </c>
      <c r="G10" s="8" t="s">
        <v>433</v>
      </c>
      <c r="H10" s="8" t="s">
        <v>434</v>
      </c>
    </row>
    <row r="11" customFormat="false" ht="15" hidden="false" customHeight="false" outlineLevel="0" collapsed="false">
      <c r="A11" s="32" t="s">
        <v>419</v>
      </c>
      <c r="B11" s="15" t="s">
        <v>276</v>
      </c>
      <c r="C11" s="14" t="s">
        <v>435</v>
      </c>
      <c r="D11" s="16" t="n">
        <v>6.89</v>
      </c>
      <c r="E11" s="16" t="n">
        <v>34.99</v>
      </c>
      <c r="F11" s="19" t="n">
        <f aca="false">E11-D11-6.5-(E11*0.245+0.2)</f>
        <v>12.82745</v>
      </c>
      <c r="G11" s="15" t="s">
        <v>436</v>
      </c>
      <c r="H11" s="15" t="s">
        <v>437</v>
      </c>
    </row>
    <row r="12" customFormat="false" ht="23.85" hidden="false" customHeight="false" outlineLevel="0" collapsed="false">
      <c r="A12" s="33" t="s">
        <v>438</v>
      </c>
      <c r="B12" s="8" t="s">
        <v>237</v>
      </c>
      <c r="C12" s="7" t="s">
        <v>428</v>
      </c>
      <c r="D12" s="9" t="n">
        <v>8.69</v>
      </c>
      <c r="E12" s="9" t="n">
        <v>34.99</v>
      </c>
      <c r="F12" s="12" t="n">
        <f aca="false">E12-D12-6.5-(E12*0.245+0.2)</f>
        <v>11.02745</v>
      </c>
      <c r="G12" s="8" t="s">
        <v>439</v>
      </c>
      <c r="H12" s="8" t="s">
        <v>440</v>
      </c>
    </row>
    <row r="13" customFormat="false" ht="15" hidden="false" customHeight="false" outlineLevel="0" collapsed="false">
      <c r="A13" s="33" t="s">
        <v>441</v>
      </c>
      <c r="B13" s="15" t="s">
        <v>242</v>
      </c>
      <c r="C13" s="14" t="s">
        <v>428</v>
      </c>
      <c r="D13" s="16" t="n">
        <v>8.99</v>
      </c>
      <c r="E13" s="16" t="n">
        <v>34.99</v>
      </c>
      <c r="F13" s="19" t="n">
        <f aca="false">E13-D13-6.5-(E13*0.245+0.2)</f>
        <v>10.72745</v>
      </c>
      <c r="G13" s="15" t="s">
        <v>442</v>
      </c>
      <c r="H13" s="15" t="s">
        <v>443</v>
      </c>
    </row>
    <row r="14" customFormat="false" ht="15" hidden="false" customHeight="false" outlineLevel="0" collapsed="false">
      <c r="A14" s="33" t="s">
        <v>441</v>
      </c>
      <c r="B14" s="8" t="s">
        <v>118</v>
      </c>
      <c r="C14" s="7" t="s">
        <v>416</v>
      </c>
      <c r="D14" s="9" t="n">
        <v>7.25</v>
      </c>
      <c r="E14" s="9" t="n">
        <v>29.99</v>
      </c>
      <c r="F14" s="12" t="n">
        <f aca="false">E14-D14-6.5-(E14*0.245+0.2)</f>
        <v>8.69245</v>
      </c>
      <c r="G14" s="8" t="s">
        <v>420</v>
      </c>
      <c r="H14" s="8" t="s">
        <v>444</v>
      </c>
    </row>
    <row r="15" customFormat="false" ht="15" hidden="false" customHeight="false" outlineLevel="0" collapsed="false">
      <c r="A15" s="33" t="s">
        <v>441</v>
      </c>
      <c r="B15" s="15" t="s">
        <v>125</v>
      </c>
      <c r="C15" s="14" t="s">
        <v>416</v>
      </c>
      <c r="D15" s="16" t="n">
        <v>7.89</v>
      </c>
      <c r="E15" s="16" t="n">
        <v>34.99</v>
      </c>
      <c r="F15" s="19" t="n">
        <f aca="false">E15-D15-6.5-(E15*0.245+0.2)</f>
        <v>11.82745</v>
      </c>
      <c r="G15" s="15" t="s">
        <v>424</v>
      </c>
      <c r="H15" s="15" t="s">
        <v>445</v>
      </c>
    </row>
    <row r="16" customFormat="false" ht="15" hidden="false" customHeight="false" outlineLevel="0" collapsed="false">
      <c r="A16" s="33" t="s">
        <v>441</v>
      </c>
      <c r="B16" s="8" t="s">
        <v>126</v>
      </c>
      <c r="C16" s="7" t="s">
        <v>416</v>
      </c>
      <c r="D16" s="9" t="n">
        <v>7.99</v>
      </c>
      <c r="E16" s="9" t="n">
        <v>34.99</v>
      </c>
      <c r="F16" s="12" t="n">
        <f aca="false">E16-D16-6.5-(E16*0.245+0.2)</f>
        <v>11.72745</v>
      </c>
      <c r="G16" s="8" t="s">
        <v>420</v>
      </c>
      <c r="H16" s="8" t="s">
        <v>446</v>
      </c>
    </row>
    <row r="17" customFormat="false" ht="15" hidden="false" customHeight="false" outlineLevel="0" collapsed="false">
      <c r="A17" s="33" t="s">
        <v>441</v>
      </c>
      <c r="B17" s="15" t="s">
        <v>293</v>
      </c>
      <c r="C17" s="14" t="s">
        <v>447</v>
      </c>
      <c r="D17" s="16" t="n">
        <v>8.99</v>
      </c>
      <c r="E17" s="16" t="n">
        <v>34.99</v>
      </c>
      <c r="F17" s="19" t="n">
        <f aca="false">E17-D17-6.5-(E17*0.245+0.2)</f>
        <v>10.72745</v>
      </c>
      <c r="G17" s="15" t="s">
        <v>424</v>
      </c>
      <c r="H17" s="15" t="s">
        <v>448</v>
      </c>
    </row>
    <row r="18" customFormat="false" ht="15" hidden="false" customHeight="false" outlineLevel="0" collapsed="false">
      <c r="A18" s="33" t="s">
        <v>441</v>
      </c>
      <c r="B18" s="8" t="s">
        <v>27</v>
      </c>
      <c r="C18" s="7" t="s">
        <v>432</v>
      </c>
      <c r="D18" s="9" t="n">
        <v>4.39</v>
      </c>
      <c r="E18" s="9" t="n">
        <v>24.99</v>
      </c>
      <c r="F18" s="12" t="n">
        <f aca="false">E18-D18-6.5-(E18*0.245+0.2)</f>
        <v>7.77745</v>
      </c>
      <c r="G18" s="8" t="s">
        <v>449</v>
      </c>
      <c r="H18" s="8" t="s">
        <v>450</v>
      </c>
    </row>
    <row r="19" customFormat="false" ht="15" hidden="false" customHeight="false" outlineLevel="0" collapsed="false">
      <c r="A19" s="33" t="s">
        <v>441</v>
      </c>
      <c r="B19" s="15" t="s">
        <v>298</v>
      </c>
      <c r="C19" s="14" t="s">
        <v>451</v>
      </c>
      <c r="D19" s="16" t="n">
        <v>7.25</v>
      </c>
      <c r="E19" s="16" t="n">
        <v>34.99</v>
      </c>
      <c r="F19" s="19" t="n">
        <f aca="false">E19-D19-6.5-(E19*0.245+0.2)</f>
        <v>12.46745</v>
      </c>
      <c r="G19" s="15" t="s">
        <v>433</v>
      </c>
      <c r="H19" s="15" t="s">
        <v>452</v>
      </c>
    </row>
    <row r="20" customFormat="false" ht="23.85" hidden="false" customHeight="false" outlineLevel="0" collapsed="false">
      <c r="A20" s="34" t="s">
        <v>453</v>
      </c>
      <c r="B20" s="8" t="s">
        <v>164</v>
      </c>
      <c r="C20" s="7" t="s">
        <v>416</v>
      </c>
      <c r="D20" s="9" t="n">
        <v>10.29</v>
      </c>
      <c r="E20" s="9" t="n">
        <v>39.99</v>
      </c>
      <c r="F20" s="12" t="n">
        <f aca="false">E20-D20-6.5-(E20*0.245+0.2)</f>
        <v>13.20245</v>
      </c>
      <c r="G20" s="8" t="s">
        <v>420</v>
      </c>
      <c r="H20" s="8" t="s">
        <v>454</v>
      </c>
    </row>
    <row r="21" customFormat="false" ht="15" hidden="false" customHeight="false" outlineLevel="0" collapsed="false">
      <c r="A21" s="34" t="s">
        <v>455</v>
      </c>
      <c r="B21" s="15" t="s">
        <v>294</v>
      </c>
      <c r="C21" s="14" t="s">
        <v>447</v>
      </c>
      <c r="D21" s="16" t="n">
        <v>12.49</v>
      </c>
      <c r="E21" s="16" t="n">
        <v>44.99</v>
      </c>
      <c r="F21" s="19" t="n">
        <f aca="false">E21-D21-6.5-(E21*0.245+0.2)</f>
        <v>14.77745</v>
      </c>
      <c r="G21" s="15" t="s">
        <v>424</v>
      </c>
      <c r="H21" s="15" t="s">
        <v>456</v>
      </c>
    </row>
    <row r="22" customFormat="false" ht="15" hidden="false" customHeight="false" outlineLevel="0" collapsed="false">
      <c r="A22" s="34" t="s">
        <v>455</v>
      </c>
      <c r="B22" s="8" t="s">
        <v>457</v>
      </c>
      <c r="C22" s="7" t="s">
        <v>458</v>
      </c>
      <c r="D22" s="9" t="n">
        <v>9.79</v>
      </c>
      <c r="E22" s="9" t="n">
        <v>39.99</v>
      </c>
      <c r="F22" s="12" t="n">
        <f aca="false">E22-D22-6.5-(E22*0.245+0.2)</f>
        <v>13.70245</v>
      </c>
      <c r="G22" s="8" t="s">
        <v>424</v>
      </c>
      <c r="H22" s="8" t="s">
        <v>459</v>
      </c>
    </row>
    <row r="23" customFormat="false" ht="15" hidden="false" customHeight="false" outlineLevel="0" collapsed="false">
      <c r="A23" s="34" t="s">
        <v>455</v>
      </c>
      <c r="B23" s="15" t="s">
        <v>214</v>
      </c>
      <c r="C23" s="14" t="s">
        <v>423</v>
      </c>
      <c r="D23" s="16" t="n">
        <v>11.59</v>
      </c>
      <c r="E23" s="16" t="n">
        <v>39.99</v>
      </c>
      <c r="F23" s="19" t="n">
        <f aca="false">E23-D23-6.5-(E23*0.245+0.2)</f>
        <v>11.90245</v>
      </c>
      <c r="G23" s="15" t="s">
        <v>424</v>
      </c>
      <c r="H23" s="15" t="s">
        <v>460</v>
      </c>
    </row>
    <row r="24" customFormat="false" ht="15" hidden="false" customHeight="false" outlineLevel="0" collapsed="false">
      <c r="A24" s="34" t="s">
        <v>455</v>
      </c>
      <c r="B24" s="8" t="s">
        <v>206</v>
      </c>
      <c r="C24" s="7" t="s">
        <v>423</v>
      </c>
      <c r="D24" s="9" t="n">
        <v>6.99</v>
      </c>
      <c r="E24" s="9" t="n">
        <v>34.99</v>
      </c>
      <c r="F24" s="12" t="n">
        <f aca="false">E24-D24-6.5-(E24*0.245+0.2)</f>
        <v>12.72745</v>
      </c>
      <c r="G24" s="8" t="s">
        <v>461</v>
      </c>
      <c r="H24" s="8" t="s">
        <v>462</v>
      </c>
    </row>
    <row r="25" customFormat="false" ht="15" hidden="false" customHeight="false" outlineLevel="0" collapsed="false">
      <c r="A25" s="34" t="s">
        <v>455</v>
      </c>
      <c r="B25" s="15" t="s">
        <v>138</v>
      </c>
      <c r="C25" s="14" t="s">
        <v>416</v>
      </c>
      <c r="D25" s="16" t="n">
        <v>8.89</v>
      </c>
      <c r="E25" s="16" t="n">
        <v>34.99</v>
      </c>
      <c r="F25" s="19" t="n">
        <f aca="false">E25-D25-6.5-(E25*0.245+0.2)</f>
        <v>10.82745</v>
      </c>
      <c r="G25" s="15" t="s">
        <v>424</v>
      </c>
      <c r="H25" s="15" t="s">
        <v>463</v>
      </c>
    </row>
    <row r="26" customFormat="false" ht="15" hidden="false" customHeight="false" outlineLevel="0" collapsed="false">
      <c r="A26" s="34" t="s">
        <v>455</v>
      </c>
      <c r="B26" s="8" t="s">
        <v>272</v>
      </c>
      <c r="C26" s="7" t="s">
        <v>464</v>
      </c>
      <c r="D26" s="9" t="n">
        <v>12.89</v>
      </c>
      <c r="E26" s="9" t="n">
        <v>49.99</v>
      </c>
      <c r="F26" s="12" t="n">
        <f aca="false">E26-D26-6.5-(E26*0.245+0.2)</f>
        <v>18.15245</v>
      </c>
      <c r="G26" s="8" t="s">
        <v>420</v>
      </c>
      <c r="H26" s="8" t="s">
        <v>465</v>
      </c>
    </row>
    <row r="27" customFormat="false" ht="15" hidden="false" customHeight="false" outlineLevel="0" collapsed="false">
      <c r="A27" s="34" t="s">
        <v>455</v>
      </c>
      <c r="B27" s="15" t="s">
        <v>246</v>
      </c>
      <c r="C27" s="14" t="s">
        <v>466</v>
      </c>
      <c r="D27" s="16" t="n">
        <v>7.39</v>
      </c>
      <c r="E27" s="16" t="n">
        <v>34.99</v>
      </c>
      <c r="F27" s="19" t="n">
        <f aca="false">E27-D27-6.5-(E27*0.245+0.2)</f>
        <v>12.32745</v>
      </c>
      <c r="G27" s="15" t="s">
        <v>461</v>
      </c>
      <c r="H27" s="15" t="s">
        <v>467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42"/>
    <col collapsed="false" customWidth="true" hidden="false" outlineLevel="0" max="9" min="9" style="0" width="10"/>
  </cols>
  <sheetData>
    <row r="1" customFormat="false" ht="17.35" hidden="false" customHeight="true" outlineLevel="0" collapsed="false">
      <c r="A1" s="1" t="s">
        <v>468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false" outlineLevel="0" collapsed="false">
      <c r="A3" s="6" t="s">
        <v>469</v>
      </c>
      <c r="B3" s="6" t="s">
        <v>470</v>
      </c>
      <c r="C3" s="6" t="s">
        <v>471</v>
      </c>
      <c r="D3" s="6" t="s">
        <v>472</v>
      </c>
      <c r="E3" s="6" t="s">
        <v>473</v>
      </c>
      <c r="F3" s="6" t="s">
        <v>474</v>
      </c>
      <c r="G3" s="6" t="s">
        <v>475</v>
      </c>
      <c r="H3" s="6" t="s">
        <v>476</v>
      </c>
      <c r="I3" s="6" t="s">
        <v>477</v>
      </c>
    </row>
    <row r="4" customFormat="false" ht="15" hidden="false" customHeight="false" outlineLevel="0" collapsed="false">
      <c r="A4" s="7" t="s">
        <v>478</v>
      </c>
      <c r="B4" s="35" t="n">
        <v>165000</v>
      </c>
      <c r="C4" s="11" t="n">
        <v>0.28</v>
      </c>
      <c r="D4" s="36" t="n">
        <v>1</v>
      </c>
      <c r="E4" s="37" t="n">
        <v>201000</v>
      </c>
      <c r="F4" s="37" t="n">
        <v>301000</v>
      </c>
      <c r="G4" s="38" t="n">
        <v>33100</v>
      </c>
      <c r="H4" s="8" t="s">
        <v>479</v>
      </c>
      <c r="I4" s="39" t="n">
        <f aca="false">IF(D4&gt;0,(B4+MAX(E4,F4))/D4/1000,B4/1000)</f>
        <v>466</v>
      </c>
    </row>
    <row r="5" customFormat="false" ht="15" hidden="false" customHeight="false" outlineLevel="0" collapsed="false">
      <c r="A5" s="14" t="s">
        <v>480</v>
      </c>
      <c r="B5" s="35" t="n">
        <v>33100</v>
      </c>
      <c r="C5" s="18" t="n">
        <v>0.34</v>
      </c>
      <c r="D5" s="40" t="n">
        <v>1</v>
      </c>
      <c r="E5" s="37" t="n">
        <v>49500</v>
      </c>
      <c r="F5" s="37" t="n">
        <v>33100</v>
      </c>
      <c r="G5" s="41" t="n">
        <v>12100</v>
      </c>
      <c r="H5" s="15" t="s">
        <v>481</v>
      </c>
      <c r="I5" s="42" t="n">
        <f aca="false">IF(D5&gt;0,(B5+MAX(E5,F5))/D5/1000,B5/1000)</f>
        <v>82.6</v>
      </c>
    </row>
    <row r="6" customFormat="false" ht="15" hidden="false" customHeight="false" outlineLevel="0" collapsed="false">
      <c r="A6" s="7" t="s">
        <v>482</v>
      </c>
      <c r="B6" s="35" t="n">
        <v>14800</v>
      </c>
      <c r="C6" s="11" t="n">
        <v>0.38</v>
      </c>
      <c r="D6" s="36" t="n">
        <v>1</v>
      </c>
      <c r="E6" s="37" t="n">
        <v>22200</v>
      </c>
      <c r="F6" s="37" t="n">
        <v>33100</v>
      </c>
      <c r="G6" s="38" t="n">
        <v>2400</v>
      </c>
      <c r="H6" s="8" t="s">
        <v>483</v>
      </c>
      <c r="I6" s="39" t="n">
        <f aca="false">IF(D6&gt;0,(B6+MAX(E6,F6))/D6/1000,B6/1000)</f>
        <v>47.9</v>
      </c>
    </row>
    <row r="7" customFormat="false" ht="15" hidden="false" customHeight="false" outlineLevel="0" collapsed="false">
      <c r="A7" s="14" t="s">
        <v>484</v>
      </c>
      <c r="B7" s="35" t="n">
        <v>12100</v>
      </c>
      <c r="C7" s="18" t="n">
        <v>0.35</v>
      </c>
      <c r="D7" s="40" t="n">
        <v>1</v>
      </c>
      <c r="E7" s="37" t="n">
        <v>18100</v>
      </c>
      <c r="F7" s="37" t="n">
        <v>27100</v>
      </c>
      <c r="G7" s="41" t="n">
        <v>4400</v>
      </c>
      <c r="H7" s="15" t="s">
        <v>485</v>
      </c>
      <c r="I7" s="42" t="n">
        <f aca="false">IF(D7&gt;0,(B7+MAX(E7,F7))/D7/1000,B7/1000)</f>
        <v>39.2</v>
      </c>
    </row>
    <row r="8" customFormat="false" ht="15" hidden="false" customHeight="false" outlineLevel="0" collapsed="false">
      <c r="A8" s="7" t="s">
        <v>486</v>
      </c>
      <c r="B8" s="35" t="n">
        <v>6600</v>
      </c>
      <c r="C8" s="11" t="n">
        <v>0.37</v>
      </c>
      <c r="D8" s="36" t="n">
        <v>1</v>
      </c>
      <c r="E8" s="37" t="n">
        <v>6600</v>
      </c>
      <c r="F8" s="37" t="n">
        <v>5400</v>
      </c>
      <c r="G8" s="38" t="n">
        <v>8100</v>
      </c>
      <c r="H8" s="8" t="s">
        <v>487</v>
      </c>
      <c r="I8" s="39" t="n">
        <f aca="false">IF(D8&gt;0,(B8+MAX(E8,F8))/D8/1000,B8/1000)</f>
        <v>13.2</v>
      </c>
    </row>
    <row r="9" customFormat="false" ht="15" hidden="false" customHeight="false" outlineLevel="0" collapsed="false">
      <c r="A9" s="14" t="s">
        <v>488</v>
      </c>
      <c r="B9" s="35" t="n">
        <v>6600</v>
      </c>
      <c r="C9" s="18" t="n">
        <v>0.28</v>
      </c>
      <c r="D9" s="40" t="n">
        <v>1</v>
      </c>
      <c r="E9" s="37" t="n">
        <v>8100</v>
      </c>
      <c r="F9" s="37" t="n">
        <v>6600</v>
      </c>
      <c r="G9" s="41" t="n">
        <v>4400</v>
      </c>
      <c r="H9" s="15" t="s">
        <v>489</v>
      </c>
      <c r="I9" s="42" t="n">
        <f aca="false">IF(D9&gt;0,(B9+MAX(E9,F9))/D9/1000,B9/1000)</f>
        <v>14.7</v>
      </c>
    </row>
    <row r="10" customFormat="false" ht="15" hidden="false" customHeight="false" outlineLevel="0" collapsed="false">
      <c r="A10" s="7" t="s">
        <v>490</v>
      </c>
      <c r="B10" s="35" t="n">
        <v>6600</v>
      </c>
      <c r="C10" s="11" t="n">
        <v>0.42</v>
      </c>
      <c r="D10" s="36" t="n">
        <v>1</v>
      </c>
      <c r="E10" s="43" t="n">
        <v>4400</v>
      </c>
      <c r="F10" s="43" t="n">
        <v>2400</v>
      </c>
      <c r="G10" s="38" t="n">
        <v>8100</v>
      </c>
      <c r="H10" s="8" t="s">
        <v>272</v>
      </c>
      <c r="I10" s="39" t="n">
        <f aca="false">IF(D10&gt;0,(B10+MAX(E10,F10))/D10/1000,B10/1000)</f>
        <v>11</v>
      </c>
    </row>
    <row r="11" customFormat="false" ht="15" hidden="false" customHeight="false" outlineLevel="0" collapsed="false">
      <c r="A11" s="14" t="s">
        <v>491</v>
      </c>
      <c r="B11" s="35" t="n">
        <v>5400</v>
      </c>
      <c r="C11" s="18" t="n">
        <v>0.39</v>
      </c>
      <c r="D11" s="40" t="n">
        <v>1</v>
      </c>
      <c r="E11" s="43" t="n">
        <v>3600</v>
      </c>
      <c r="F11" s="43" t="n">
        <v>1900</v>
      </c>
      <c r="G11" s="41" t="n">
        <v>12100</v>
      </c>
      <c r="H11" s="15" t="s">
        <v>492</v>
      </c>
      <c r="I11" s="42" t="n">
        <f aca="false">IF(D11&gt;0,(B11+MAX(E11,F11))/D11/1000,B11/1000)</f>
        <v>9</v>
      </c>
    </row>
    <row r="12" customFormat="false" ht="15" hidden="false" customHeight="false" outlineLevel="0" collapsed="false">
      <c r="A12" s="7" t="s">
        <v>493</v>
      </c>
      <c r="B12" s="35" t="n">
        <v>5400</v>
      </c>
      <c r="C12" s="11" t="n">
        <v>0.71</v>
      </c>
      <c r="D12" s="36" t="n">
        <v>1</v>
      </c>
      <c r="E12" s="43" t="n">
        <v>2400</v>
      </c>
      <c r="F12" s="43" t="n">
        <v>2400</v>
      </c>
      <c r="G12" s="38" t="n">
        <v>12100</v>
      </c>
      <c r="H12" s="8" t="s">
        <v>494</v>
      </c>
      <c r="I12" s="39" t="n">
        <f aca="false">IF(D12&gt;0,(B12+MAX(E12,F12))/D12/1000,B12/1000)</f>
        <v>7.8</v>
      </c>
    </row>
    <row r="13" customFormat="false" ht="15" hidden="false" customHeight="false" outlineLevel="0" collapsed="false">
      <c r="A13" s="14" t="s">
        <v>495</v>
      </c>
      <c r="B13" s="44" t="n">
        <v>3600</v>
      </c>
      <c r="C13" s="18" t="n">
        <v>0.43</v>
      </c>
      <c r="D13" s="40" t="n">
        <v>0.99</v>
      </c>
      <c r="E13" s="43" t="n">
        <v>4400</v>
      </c>
      <c r="F13" s="43" t="n">
        <v>4400</v>
      </c>
      <c r="G13" s="41" t="n">
        <v>1600</v>
      </c>
      <c r="H13" s="15" t="s">
        <v>496</v>
      </c>
      <c r="I13" s="42" t="n">
        <f aca="false">IF(D13&gt;0,(B13+MAX(E13,F13))/D13/1000,B13/1000)</f>
        <v>8.08080808080808</v>
      </c>
    </row>
    <row r="14" customFormat="false" ht="15" hidden="false" customHeight="false" outlineLevel="0" collapsed="false">
      <c r="A14" s="7" t="s">
        <v>497</v>
      </c>
      <c r="B14" s="44" t="n">
        <v>2900</v>
      </c>
      <c r="C14" s="11" t="n">
        <v>0.38</v>
      </c>
      <c r="D14" s="36" t="n">
        <v>1</v>
      </c>
      <c r="E14" s="37" t="n">
        <v>5400</v>
      </c>
      <c r="F14" s="43" t="n">
        <v>3600</v>
      </c>
      <c r="G14" s="38" t="n">
        <v>720</v>
      </c>
      <c r="H14" s="8" t="s">
        <v>498</v>
      </c>
      <c r="I14" s="39" t="n">
        <f aca="false">IF(D14&gt;0,(B14+MAX(E14,F14))/D14/1000,B14/1000)</f>
        <v>8.3</v>
      </c>
    </row>
    <row r="15" customFormat="false" ht="15" hidden="false" customHeight="false" outlineLevel="0" collapsed="false">
      <c r="A15" s="14" t="s">
        <v>499</v>
      </c>
      <c r="B15" s="44" t="n">
        <v>2900</v>
      </c>
      <c r="C15" s="18" t="n">
        <v>0.44</v>
      </c>
      <c r="D15" s="40" t="n">
        <v>1</v>
      </c>
      <c r="E15" s="43" t="n">
        <v>3600</v>
      </c>
      <c r="F15" s="43" t="n">
        <v>3600</v>
      </c>
      <c r="G15" s="41" t="n">
        <v>1600</v>
      </c>
      <c r="H15" s="15" t="s">
        <v>500</v>
      </c>
      <c r="I15" s="42" t="n">
        <f aca="false">IF(D15&gt;0,(B15+MAX(E15,F15))/D15/1000,B15/1000)</f>
        <v>6.5</v>
      </c>
    </row>
    <row r="16" customFormat="false" ht="15" hidden="false" customHeight="false" outlineLevel="0" collapsed="false">
      <c r="A16" s="7" t="s">
        <v>501</v>
      </c>
      <c r="B16" s="44" t="n">
        <v>2900</v>
      </c>
      <c r="C16" s="11" t="n">
        <v>0.5</v>
      </c>
      <c r="D16" s="36" t="n">
        <v>1</v>
      </c>
      <c r="E16" s="43" t="n">
        <v>2400</v>
      </c>
      <c r="F16" s="43" t="n">
        <v>2400</v>
      </c>
      <c r="G16" s="38" t="n">
        <v>2900</v>
      </c>
      <c r="H16" s="8" t="s">
        <v>502</v>
      </c>
      <c r="I16" s="39" t="n">
        <f aca="false">IF(D16&gt;0,(B16+MAX(E16,F16))/D16/1000,B16/1000)</f>
        <v>5.3</v>
      </c>
    </row>
    <row r="17" customFormat="false" ht="15" hidden="false" customHeight="false" outlineLevel="0" collapsed="false">
      <c r="A17" s="14" t="s">
        <v>503</v>
      </c>
      <c r="B17" s="44" t="n">
        <v>2900</v>
      </c>
      <c r="C17" s="18" t="n">
        <v>0.45</v>
      </c>
      <c r="D17" s="40" t="n">
        <v>1</v>
      </c>
      <c r="E17" s="43" t="n">
        <v>2900</v>
      </c>
      <c r="F17" s="43" t="n">
        <v>2400</v>
      </c>
      <c r="G17" s="41" t="n">
        <v>3600</v>
      </c>
      <c r="H17" s="15" t="s">
        <v>504</v>
      </c>
      <c r="I17" s="42" t="n">
        <f aca="false">IF(D17&gt;0,(B17+MAX(E17,F17))/D17/1000,B17/1000)</f>
        <v>5.8</v>
      </c>
    </row>
    <row r="18" customFormat="false" ht="15" hidden="false" customHeight="false" outlineLevel="0" collapsed="false">
      <c r="A18" s="7" t="s">
        <v>505</v>
      </c>
      <c r="B18" s="44" t="n">
        <v>2900</v>
      </c>
      <c r="C18" s="11" t="n">
        <v>0.33</v>
      </c>
      <c r="D18" s="36" t="n">
        <v>1</v>
      </c>
      <c r="E18" s="43" t="n">
        <v>4400</v>
      </c>
      <c r="F18" s="43" t="n">
        <v>2900</v>
      </c>
      <c r="G18" s="38" t="n">
        <v>1300</v>
      </c>
      <c r="H18" s="8" t="s">
        <v>506</v>
      </c>
      <c r="I18" s="39" t="n">
        <f aca="false">IF(D18&gt;0,(B18+MAX(E18,F18))/D18/1000,B18/1000)</f>
        <v>7.3</v>
      </c>
    </row>
    <row r="19" customFormat="false" ht="15" hidden="false" customHeight="false" outlineLevel="0" collapsed="false">
      <c r="A19" s="14" t="s">
        <v>507</v>
      </c>
      <c r="B19" s="44" t="n">
        <v>2900</v>
      </c>
      <c r="C19" s="18" t="n">
        <v>0.35</v>
      </c>
      <c r="D19" s="40" t="n">
        <v>1</v>
      </c>
      <c r="E19" s="43" t="n">
        <v>4400</v>
      </c>
      <c r="F19" s="43" t="n">
        <v>3600</v>
      </c>
      <c r="G19" s="41" t="n">
        <v>720</v>
      </c>
      <c r="H19" s="15" t="s">
        <v>508</v>
      </c>
      <c r="I19" s="42" t="n">
        <f aca="false">IF(D19&gt;0,(B19+MAX(E19,F19))/D19/1000,B19/1000)</f>
        <v>7.3</v>
      </c>
    </row>
    <row r="20" customFormat="false" ht="15" hidden="false" customHeight="false" outlineLevel="0" collapsed="false">
      <c r="A20" s="7" t="s">
        <v>509</v>
      </c>
      <c r="B20" s="44" t="n">
        <v>1900</v>
      </c>
      <c r="C20" s="11" t="n">
        <v>0.39</v>
      </c>
      <c r="D20" s="36" t="n">
        <v>0.92</v>
      </c>
      <c r="E20" s="43" t="n">
        <v>1900</v>
      </c>
      <c r="F20" s="43" t="n">
        <v>1900</v>
      </c>
      <c r="G20" s="38" t="n">
        <v>1000</v>
      </c>
      <c r="H20" s="8" t="s">
        <v>510</v>
      </c>
      <c r="I20" s="39" t="n">
        <f aca="false">IF(D20&gt;0,(B20+MAX(E20,F20))/D20/1000,B20/1000)</f>
        <v>4.1304347826087</v>
      </c>
    </row>
    <row r="21" customFormat="false" ht="15" hidden="false" customHeight="false" outlineLevel="0" collapsed="false">
      <c r="A21" s="14" t="s">
        <v>511</v>
      </c>
      <c r="B21" s="44" t="n">
        <v>1600</v>
      </c>
      <c r="C21" s="18" t="n">
        <v>0.32</v>
      </c>
      <c r="D21" s="40" t="n">
        <v>1</v>
      </c>
      <c r="E21" s="43" t="n">
        <v>2400</v>
      </c>
      <c r="F21" s="43" t="n">
        <v>1900</v>
      </c>
      <c r="G21" s="41" t="n">
        <v>880</v>
      </c>
      <c r="H21" s="15" t="s">
        <v>512</v>
      </c>
      <c r="I21" s="42" t="n">
        <f aca="false">IF(D21&gt;0,(B21+MAX(E21,F21))/D21/1000,B21/1000)</f>
        <v>4</v>
      </c>
    </row>
    <row r="22" customFormat="false" ht="15" hidden="false" customHeight="false" outlineLevel="0" collapsed="false">
      <c r="A22" s="7" t="s">
        <v>513</v>
      </c>
      <c r="B22" s="44" t="n">
        <v>1300</v>
      </c>
      <c r="C22" s="11" t="n">
        <v>0.45</v>
      </c>
      <c r="D22" s="36" t="n">
        <v>1</v>
      </c>
      <c r="E22" s="38" t="n">
        <v>720</v>
      </c>
      <c r="F22" s="38" t="n">
        <v>1000</v>
      </c>
      <c r="G22" s="38" t="n">
        <v>2900</v>
      </c>
      <c r="H22" s="8" t="s">
        <v>514</v>
      </c>
      <c r="I22" s="39" t="n">
        <f aca="false">IF(D22&gt;0,(B22+MAX(E22,F22))/D22/1000,B22/1000)</f>
        <v>2.3</v>
      </c>
    </row>
    <row r="23" customFormat="false" ht="15" hidden="false" customHeight="false" outlineLevel="0" collapsed="false">
      <c r="A23" s="14" t="s">
        <v>515</v>
      </c>
      <c r="B23" s="44" t="n">
        <v>1300</v>
      </c>
      <c r="C23" s="18" t="n">
        <v>0.43</v>
      </c>
      <c r="D23" s="40" t="n">
        <v>1</v>
      </c>
      <c r="E23" s="43" t="n">
        <v>1900</v>
      </c>
      <c r="F23" s="41" t="n">
        <v>1300</v>
      </c>
      <c r="G23" s="41" t="n">
        <v>260</v>
      </c>
      <c r="H23" s="15" t="s">
        <v>516</v>
      </c>
      <c r="I23" s="42" t="n">
        <f aca="false">IF(D23&gt;0,(B23+MAX(E23,F23))/D23/1000,B23/1000)</f>
        <v>3.2</v>
      </c>
    </row>
    <row r="24" customFormat="false" ht="15" hidden="false" customHeight="false" outlineLevel="0" collapsed="false">
      <c r="A24" s="7" t="s">
        <v>517</v>
      </c>
      <c r="B24" s="45" t="n">
        <v>880</v>
      </c>
      <c r="C24" s="11" t="n">
        <v>0.38</v>
      </c>
      <c r="D24" s="36" t="n">
        <v>0.95</v>
      </c>
      <c r="E24" s="38" t="n">
        <v>1300</v>
      </c>
      <c r="F24" s="38" t="n">
        <v>880</v>
      </c>
      <c r="G24" s="38" t="n">
        <v>320</v>
      </c>
      <c r="H24" s="8" t="s">
        <v>518</v>
      </c>
      <c r="I24" s="39" t="n">
        <f aca="false">IF(D24&gt;0,(B24+MAX(E24,F24))/D24/1000,B24/1000)</f>
        <v>2.29473684210526</v>
      </c>
    </row>
    <row r="25" customFormat="false" ht="15" hidden="false" customHeight="false" outlineLevel="0" collapsed="false">
      <c r="A25" s="14" t="s">
        <v>519</v>
      </c>
      <c r="B25" s="46" t="n">
        <v>880</v>
      </c>
      <c r="C25" s="18" t="n">
        <v>0.4</v>
      </c>
      <c r="D25" s="40" t="n">
        <v>1</v>
      </c>
      <c r="E25" s="41" t="n">
        <v>320</v>
      </c>
      <c r="F25" s="41" t="n">
        <v>260</v>
      </c>
      <c r="G25" s="41" t="n">
        <v>2400</v>
      </c>
      <c r="H25" s="15" t="s">
        <v>520</v>
      </c>
      <c r="I25" s="42" t="n">
        <f aca="false">IF(D25&gt;0,(B25+MAX(E25,F25))/D25/1000,B25/1000)</f>
        <v>1.2</v>
      </c>
    </row>
    <row r="26" customFormat="false" ht="15" hidden="false" customHeight="false" outlineLevel="0" collapsed="false">
      <c r="A26" s="7" t="s">
        <v>521</v>
      </c>
      <c r="B26" s="45" t="n">
        <v>880</v>
      </c>
      <c r="C26" s="11" t="n">
        <v>0.43</v>
      </c>
      <c r="D26" s="36" t="n">
        <v>0.99</v>
      </c>
      <c r="E26" s="38" t="n">
        <v>720</v>
      </c>
      <c r="F26" s="38" t="n">
        <v>720</v>
      </c>
      <c r="G26" s="38" t="n">
        <v>880</v>
      </c>
      <c r="H26" s="8" t="s">
        <v>522</v>
      </c>
      <c r="I26" s="39" t="n">
        <f aca="false">IF(D26&gt;0,(B26+MAX(E26,F26))/D26/1000,B26/1000)</f>
        <v>1.61616161616162</v>
      </c>
    </row>
    <row r="27" customFormat="false" ht="15" hidden="false" customHeight="false" outlineLevel="0" collapsed="false">
      <c r="A27" s="14" t="s">
        <v>523</v>
      </c>
      <c r="B27" s="46" t="n">
        <v>720</v>
      </c>
      <c r="C27" s="18" t="n">
        <v>0.35</v>
      </c>
      <c r="D27" s="40" t="n">
        <v>1</v>
      </c>
      <c r="E27" s="43" t="n">
        <v>1900</v>
      </c>
      <c r="F27" s="43" t="n">
        <v>2400</v>
      </c>
      <c r="G27" s="41" t="n">
        <v>140</v>
      </c>
      <c r="H27" s="15" t="s">
        <v>524</v>
      </c>
      <c r="I27" s="42" t="n">
        <f aca="false">IF(D27&gt;0,(B27+MAX(E27,F27))/D27/1000,B27/1000)</f>
        <v>3.12</v>
      </c>
    </row>
    <row r="28" customFormat="false" ht="15" hidden="false" customHeight="false" outlineLevel="0" collapsed="false">
      <c r="A28" s="7" t="s">
        <v>525</v>
      </c>
      <c r="B28" s="45" t="n">
        <v>590</v>
      </c>
      <c r="C28" s="11" t="n">
        <v>0.33</v>
      </c>
      <c r="D28" s="36" t="n">
        <v>0.95</v>
      </c>
      <c r="E28" s="38" t="n">
        <v>720</v>
      </c>
      <c r="F28" s="38" t="n">
        <v>590</v>
      </c>
      <c r="G28" s="38" t="n">
        <v>390</v>
      </c>
      <c r="H28" s="8" t="s">
        <v>526</v>
      </c>
      <c r="I28" s="39" t="n">
        <f aca="false">IF(D28&gt;0,(B28+MAX(E28,F28))/D28/1000,B28/1000)</f>
        <v>1.37894736842105</v>
      </c>
    </row>
    <row r="29" customFormat="false" ht="15" hidden="false" customHeight="false" outlineLevel="0" collapsed="false">
      <c r="A29" s="14" t="s">
        <v>527</v>
      </c>
      <c r="B29" s="46" t="n">
        <v>590</v>
      </c>
      <c r="C29" s="18" t="n">
        <v>0.41</v>
      </c>
      <c r="D29" s="40" t="n">
        <v>1</v>
      </c>
      <c r="E29" s="41" t="n">
        <v>590</v>
      </c>
      <c r="F29" s="41" t="n">
        <v>320</v>
      </c>
      <c r="G29" s="41" t="n">
        <v>880</v>
      </c>
      <c r="H29" s="15" t="s">
        <v>492</v>
      </c>
      <c r="I29" s="42" t="n">
        <f aca="false">IF(D29&gt;0,(B29+MAX(E29,F29))/D29/1000,B29/1000)</f>
        <v>1.18</v>
      </c>
    </row>
    <row r="30" customFormat="false" ht="15" hidden="false" customHeight="false" outlineLevel="0" collapsed="false">
      <c r="A30" s="7" t="s">
        <v>528</v>
      </c>
      <c r="B30" s="45" t="n">
        <v>480</v>
      </c>
      <c r="C30" s="11" t="n">
        <v>0.22</v>
      </c>
      <c r="D30" s="36" t="n">
        <v>0.98</v>
      </c>
      <c r="E30" s="38" t="n">
        <v>480</v>
      </c>
      <c r="F30" s="38" t="n">
        <v>480</v>
      </c>
      <c r="G30" s="38" t="n">
        <v>260</v>
      </c>
      <c r="H30" s="8" t="s">
        <v>529</v>
      </c>
      <c r="I30" s="39" t="n">
        <f aca="false">IF(D30&gt;0,(B30+MAX(E30,F30))/D30/1000,B30/1000)</f>
        <v>0.979591836734694</v>
      </c>
    </row>
    <row r="31" customFormat="false" ht="15" hidden="false" customHeight="false" outlineLevel="0" collapsed="false">
      <c r="A31" s="14" t="s">
        <v>530</v>
      </c>
      <c r="B31" s="46" t="n">
        <v>480</v>
      </c>
      <c r="C31" s="18" t="n">
        <v>0.38</v>
      </c>
      <c r="D31" s="40" t="n">
        <v>1</v>
      </c>
      <c r="E31" s="41" t="n">
        <v>260</v>
      </c>
      <c r="F31" s="41" t="n">
        <v>140</v>
      </c>
      <c r="G31" s="41" t="n">
        <v>880</v>
      </c>
      <c r="H31" s="15" t="s">
        <v>531</v>
      </c>
      <c r="I31" s="42" t="n">
        <f aca="false">IF(D31&gt;0,(B31+MAX(E31,F31))/D31/1000,B31/1000)</f>
        <v>0.74</v>
      </c>
    </row>
    <row r="32" customFormat="false" ht="15" hidden="false" customHeight="false" outlineLevel="0" collapsed="false">
      <c r="A32" s="7" t="s">
        <v>532</v>
      </c>
      <c r="B32" s="45" t="n">
        <v>390</v>
      </c>
      <c r="C32" s="11" t="n">
        <v>0.52</v>
      </c>
      <c r="D32" s="36" t="n">
        <v>1</v>
      </c>
      <c r="E32" s="38" t="n">
        <v>390</v>
      </c>
      <c r="F32" s="38" t="n">
        <v>390</v>
      </c>
      <c r="G32" s="38" t="n">
        <v>590</v>
      </c>
      <c r="H32" s="8" t="s">
        <v>219</v>
      </c>
      <c r="I32" s="39" t="n">
        <f aca="false">IF(D32&gt;0,(B32+MAX(E32,F32))/D32/1000,B32/1000)</f>
        <v>0.78</v>
      </c>
    </row>
    <row r="33" customFormat="false" ht="15" hidden="false" customHeight="false" outlineLevel="0" collapsed="false">
      <c r="A33" s="14" t="s">
        <v>533</v>
      </c>
      <c r="B33" s="46" t="n">
        <v>110</v>
      </c>
      <c r="C33" s="18" t="n">
        <v>0.38</v>
      </c>
      <c r="D33" s="40" t="n">
        <v>0.98</v>
      </c>
      <c r="E33" s="41" t="n">
        <v>140</v>
      </c>
      <c r="F33" s="41" t="n">
        <v>110</v>
      </c>
      <c r="G33" s="41" t="n">
        <v>50</v>
      </c>
      <c r="H33" s="15" t="s">
        <v>502</v>
      </c>
      <c r="I33" s="42" t="n">
        <f aca="false">IF(D33&gt;0,(B33+MAX(E33,F33))/D33/1000,B33/1000)</f>
        <v>0.255102040816327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36"/>
    <col collapsed="false" customWidth="true" hidden="false" outlineLevel="0" max="6" min="6" style="0" width="20"/>
  </cols>
  <sheetData>
    <row r="1" customFormat="false" ht="17.35" hidden="false" customHeight="true" outlineLevel="0" collapsed="false">
      <c r="A1" s="1" t="s">
        <v>534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535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6" t="s">
        <v>536</v>
      </c>
      <c r="B4" s="6" t="s">
        <v>537</v>
      </c>
      <c r="C4" s="6" t="s">
        <v>538</v>
      </c>
      <c r="D4" s="6" t="s">
        <v>539</v>
      </c>
      <c r="E4" s="6" t="s">
        <v>540</v>
      </c>
      <c r="F4" s="6" t="s">
        <v>541</v>
      </c>
    </row>
    <row r="5" customFormat="false" ht="15" hidden="false" customHeight="false" outlineLevel="0" collapsed="false">
      <c r="A5" s="7" t="s">
        <v>542</v>
      </c>
      <c r="B5" s="8" t="s">
        <v>543</v>
      </c>
      <c r="C5" s="8" t="s">
        <v>544</v>
      </c>
      <c r="D5" s="8" t="s">
        <v>545</v>
      </c>
      <c r="E5" s="8" t="s">
        <v>546</v>
      </c>
      <c r="F5" s="29" t="s">
        <v>547</v>
      </c>
    </row>
    <row r="6" customFormat="false" ht="15" hidden="false" customHeight="false" outlineLevel="0" collapsed="false">
      <c r="A6" s="14" t="s">
        <v>548</v>
      </c>
      <c r="B6" s="15" t="s">
        <v>549</v>
      </c>
      <c r="C6" s="15" t="s">
        <v>550</v>
      </c>
      <c r="D6" s="15" t="s">
        <v>551</v>
      </c>
      <c r="E6" s="15" t="s">
        <v>552</v>
      </c>
      <c r="F6" s="29" t="s">
        <v>547</v>
      </c>
    </row>
    <row r="7" customFormat="false" ht="15" hidden="false" customHeight="false" outlineLevel="0" collapsed="false">
      <c r="A7" s="7" t="s">
        <v>553</v>
      </c>
      <c r="B7" s="8" t="s">
        <v>554</v>
      </c>
      <c r="C7" s="8" t="s">
        <v>555</v>
      </c>
      <c r="D7" s="8" t="s">
        <v>556</v>
      </c>
      <c r="E7" s="8" t="s">
        <v>557</v>
      </c>
      <c r="F7" s="29" t="s">
        <v>558</v>
      </c>
    </row>
    <row r="8" customFormat="false" ht="15" hidden="false" customHeight="false" outlineLevel="0" collapsed="false">
      <c r="A8" s="14" t="s">
        <v>559</v>
      </c>
      <c r="B8" s="15" t="s">
        <v>560</v>
      </c>
      <c r="C8" s="15" t="s">
        <v>561</v>
      </c>
      <c r="D8" s="15" t="s">
        <v>562</v>
      </c>
      <c r="E8" s="15" t="s">
        <v>563</v>
      </c>
      <c r="F8" s="28" t="s">
        <v>564</v>
      </c>
    </row>
    <row r="9" customFormat="false" ht="15" hidden="false" customHeight="false" outlineLevel="0" collapsed="false">
      <c r="A9" s="7" t="s">
        <v>565</v>
      </c>
      <c r="B9" s="8" t="s">
        <v>566</v>
      </c>
      <c r="C9" s="8" t="s">
        <v>555</v>
      </c>
      <c r="D9" s="8" t="s">
        <v>567</v>
      </c>
      <c r="E9" s="8" t="s">
        <v>568</v>
      </c>
      <c r="F9" s="28" t="s">
        <v>569</v>
      </c>
    </row>
    <row r="10" customFormat="false" ht="15" hidden="false" customHeight="false" outlineLevel="0" collapsed="false">
      <c r="A10" s="14" t="s">
        <v>570</v>
      </c>
      <c r="B10" s="15" t="s">
        <v>571</v>
      </c>
      <c r="C10" s="15" t="s">
        <v>572</v>
      </c>
      <c r="D10" s="15" t="s">
        <v>573</v>
      </c>
      <c r="E10" s="15" t="s">
        <v>574</v>
      </c>
      <c r="F10" s="47" t="s">
        <v>575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2026-02-24T04:34:41Z</dcterms:created>
  <dc:creator>openpyxl</dc:creator>
  <dc:description/>
  <dc:language>en-US</dc:language>
  <cp:lastModifiedBy/>
  <dcterms:modified xsi:type="dcterms:W3CDTF">2026-02-24T04:34:41Z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