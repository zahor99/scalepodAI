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cket Catalog" sheetId="1" state="visible" r:id="rId3"/>
    <sheet name="Profitability Analysis" sheetId="2" state="visible" r:id="rId4"/>
    <sheet name="Keyword Research" sheetId="3" state="visible" r:id="rId5"/>
    <sheet name="vs Existing Products" sheetId="4" state="visible" r:id="rId6"/>
    <sheet name="Recommend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<sst xmlns="http://schemas.openxmlformats.org/spreadsheetml/2006/main" count="419" uniqueCount="279">
  <si>
    <t xml:space="preserve">#</t>
  </si>
  <si>
    <t xml:space="preserve">Product Name</t>
  </si>
  <si>
    <t xml:space="preserve">Blueprint</t>
  </si>
  <si>
    <t xml:space="preserve">Brand</t>
  </si>
  <si>
    <t xml:space="preserve">Print Type</t>
  </si>
  <si>
    <t xml:space="preserve">AOP?</t>
  </si>
  <si>
    <t xml:space="preserve">Provider</t>
  </si>
  <si>
    <t xml:space="preserve">Provider Rating</t>
  </si>
  <si>
    <t xml:space="preserve">Location</t>
  </si>
  <si>
    <t xml:space="preserve">Material</t>
  </si>
  <si>
    <t xml:space="preserve">Weight</t>
  </si>
  <si>
    <t xml:space="preserve">Sizes</t>
  </si>
  <si>
    <t xml:space="preserve">Colors</t>
  </si>
  <si>
    <t xml:space="preserve">COGS (CAD)</t>
  </si>
  <si>
    <t xml:space="preserve">COGS (USD ~0.72)</t>
  </si>
  <si>
    <t xml:space="preserve">Premium COGS (CAD)</t>
  </si>
  <si>
    <t xml:space="preserve">Premium COGS (USD)</t>
  </si>
  <si>
    <t xml:space="preserve">Shipping (CAD)</t>
  </si>
  <si>
    <t xml:space="preserve">Shipping (USD)</t>
  </si>
  <si>
    <t xml:space="preserve">Avg Production</t>
  </si>
  <si>
    <t xml:space="preserve">Tariff Rate</t>
  </si>
  <si>
    <t xml:space="preserve">Notes</t>
  </si>
  <si>
    <t xml:space="preserve">Unisex Heavyweight Letterman Jacket</t>
  </si>
  <si>
    <t xml:space="preserve">BP 1690</t>
  </si>
  <si>
    <t xml:space="preserve">AWDIS JH043</t>
  </si>
  <si>
    <t xml:space="preserve">DTG</t>
  </si>
  <si>
    <t xml:space="preserve">No</t>
  </si>
  <si>
    <t xml:space="preserve">Dimona Tee</t>
  </si>
  <si>
    <t xml:space="preserve">USA</t>
  </si>
  <si>
    <t xml:space="preserve">80% cotton / 20% polyester</t>
  </si>
  <si>
    <t xml:space="preserve">330 g/m²</t>
  </si>
  <si>
    <t xml:space="preserve">S-3XL (6)</t>
  </si>
  <si>
    <t xml:space="preserve">2.4 days</t>
  </si>
  <si>
    <t xml:space="preserve">0%</t>
  </si>
  <si>
    <t xml:space="preserve">5 print areas (chest, back, sleeves). NOT AOP.</t>
  </si>
  <si>
    <t xml:space="preserve">Champion Packable Anorak Jacket</t>
  </si>
  <si>
    <t xml:space="preserve">BP 1581</t>
  </si>
  <si>
    <t xml:space="preserve">Champion 1720TU</t>
  </si>
  <si>
    <t xml:space="preserve">Embroidery</t>
  </si>
  <si>
    <t xml:space="preserve">Printify Choice (2 providers)</t>
  </si>
  <si>
    <t xml:space="preserve">N/A</t>
  </si>
  <si>
    <t xml:space="preserve">100% polyester</t>
  </si>
  <si>
    <t xml:space="preserve">Water-resistant</t>
  </si>
  <si>
    <t xml:space="preserve">S-2XL (5)</t>
  </si>
  <si>
    <t xml:space="preserve">1.4 days</t>
  </si>
  <si>
    <t xml:space="preserve">EMBROIDERY ONLY. No print capability. Not suitable for AOP designs.</t>
  </si>
  <si>
    <t xml:space="preserve">Women's Arcadia Jacket</t>
  </si>
  <si>
    <t xml:space="preserve">BP 2014</t>
  </si>
  <si>
    <t xml:space="preserve">Columbia 212481</t>
  </si>
  <si>
    <t xml:space="preserve">Fulfill Engine</t>
  </si>
  <si>
    <t xml:space="preserve">100% nylon shell / polyester lining</t>
  </si>
  <si>
    <t xml:space="preserve">Omni-TECH waterproof</t>
  </si>
  <si>
    <t xml:space="preserve">2.3 days</t>
  </si>
  <si>
    <t xml:space="preserve">Columbia brand. Early Access. 1 color only. Extremely high COGS.</t>
  </si>
  <si>
    <t xml:space="preserve">Women's Denim Jacket</t>
  </si>
  <si>
    <t xml:space="preserve">BP 1396</t>
  </si>
  <si>
    <t xml:space="preserve">Generic</t>
  </si>
  <si>
    <t xml:space="preserve">MWW On Demand</t>
  </si>
  <si>
    <t xml:space="preserve">90% cotton / 6% poly / 3% rayon / 1% spandex</t>
  </si>
  <si>
    <t xml:space="preserve">Denim</t>
  </si>
  <si>
    <t xml:space="preserve">1.3 days</t>
  </si>
  <si>
    <t xml:space="preserve">Back panel ONLY print area. 1 color (denim blue). Relaxed oversized fit.</t>
  </si>
  <si>
    <t xml:space="preserve">Windbreaker Jacket (AOP)</t>
  </si>
  <si>
    <t xml:space="preserve">BP 1397</t>
  </si>
  <si>
    <t xml:space="preserve">AOP Sublimation</t>
  </si>
  <si>
    <t xml:space="preserve">YES</t>
  </si>
  <si>
    <t xml:space="preserve">165 g/m² (light)</t>
  </si>
  <si>
    <t xml:space="preserve">XS-2XL (6)</t>
  </si>
  <si>
    <t xml:space="preserve">4.0+ days</t>
  </si>
  <si>
    <t xml:space="preserve">BEST US-BASED AOP OPTION. Same provider as AOP Hoodie (BP450). Runs small.</t>
  </si>
  <si>
    <t xml:space="preserve">Women's Puffer Jacket (AOP)</t>
  </si>
  <si>
    <t xml:space="preserve">BP 1391</t>
  </si>
  <si>
    <t xml:space="preserve">ArtsAdd</t>
  </si>
  <si>
    <t xml:space="preserve">CHINA</t>
  </si>
  <si>
    <t xml:space="preserve">100% polyester shell + cotton-like padding</t>
  </si>
  <si>
    <t xml:space="preserve">262 g/m² (medium)</t>
  </si>
  <si>
    <t xml:space="preserve">XS-3XL (7)</t>
  </si>
  <si>
    <t xml:space="preserve">3.6 days</t>
  </si>
  <si>
    <t xml:space="preserve">~34.5%</t>
  </si>
  <si>
    <t xml:space="preserve">No US providers. China only. Quilted lining. Stand-up collar.</t>
  </si>
  <si>
    <t xml:space="preserve">Women's Bomber Jacket (AOP)</t>
  </si>
  <si>
    <t xml:space="preserve">BP 799</t>
  </si>
  <si>
    <t xml:space="preserve">Smart Printee</t>
  </si>
  <si>
    <t xml:space="preserve">110 g/m² (very light)</t>
  </si>
  <si>
    <t xml:space="preserve">CHEAPEST jacket. Printed/cut/sewn in China. No US providers. Copper zipper.</t>
  </si>
  <si>
    <t xml:space="preserve">Women's Varsity Jacket (AOP)</t>
  </si>
  <si>
    <t xml:space="preserve">BP 1499</t>
  </si>
  <si>
    <t xml:space="preserve">Generic H21</t>
  </si>
  <si>
    <t xml:space="preserve">Polyester + spandex</t>
  </si>
  <si>
    <t xml:space="preserve">270 g/m² (medium)</t>
  </si>
  <si>
    <t xml:space="preserve">2.9 days</t>
  </si>
  <si>
    <t xml:space="preserve">Early Access. No mockups. No US providers. Casual slim fit.</t>
  </si>
  <si>
    <t xml:space="preserve">Product</t>
  </si>
  <si>
    <t xml:space="preserve">COGS (USD)</t>
  </si>
  <si>
    <t xml:space="preserve">Tariff %</t>
  </si>
  <si>
    <t xml:space="preserve">Tariff Cost</t>
  </si>
  <si>
    <t xml:space="preserve">Landed Cost</t>
  </si>
  <si>
    <t xml:space="preserve">Etsy Sale Price</t>
  </si>
  <si>
    <t xml:space="preserve">Etsy Listed Price (2x)</t>
  </si>
  <si>
    <t xml:space="preserve">Etsy Fees (9.75%)</t>
  </si>
  <si>
    <t xml:space="preserve">Etsy Profit</t>
  </si>
  <si>
    <t xml:space="preserve">Etsy Margin %</t>
  </si>
  <si>
    <t xml:space="preserve">Google Shopping Sale</t>
  </si>
  <si>
    <t xml:space="preserve">CPC ($0.46)</t>
  </si>
  <si>
    <t xml:space="preserve">CAC (1.5% CVR)</t>
  </si>
  <si>
    <t xml:space="preserve">GS Profit After CAC</t>
  </si>
  <si>
    <t xml:space="preserve">GS ROAS</t>
  </si>
  <si>
    <t xml:space="preserve">Verdict</t>
  </si>
  <si>
    <t xml:space="preserve">Windbreaker (AOP) BP1397</t>
  </si>
  <si>
    <t xml:space="preserve">Puffer Jacket (AOP) BP1391</t>
  </si>
  <si>
    <t xml:space="preserve">Bomber Jacket (AOP) BP799</t>
  </si>
  <si>
    <t xml:space="preserve">Varsity Jacket (AOP) BP1499</t>
  </si>
  <si>
    <t xml:space="preserve">--- COMPARISON ---</t>
  </si>
  <si>
    <t xml:space="preserve">AOP Hoodie (BP450)</t>
  </si>
  <si>
    <t xml:space="preserve">AOP Sweatshirt (BP449)</t>
  </si>
  <si>
    <t xml:space="preserve">AOP Tee (BP1242)</t>
  </si>
  <si>
    <t xml:space="preserve">Miami Sublimation</t>
  </si>
  <si>
    <t xml:space="preserve">Keyword</t>
  </si>
  <si>
    <t xml:space="preserve">Monthly Volume</t>
  </si>
  <si>
    <t xml:space="preserve">CPC ($)</t>
  </si>
  <si>
    <t xml:space="preserve">Competition</t>
  </si>
  <si>
    <t xml:space="preserve">CAC (2% CVR)</t>
  </si>
  <si>
    <t xml:space="preserve">Seasonality</t>
  </si>
  <si>
    <t xml:space="preserve">Best Jacket Match</t>
  </si>
  <si>
    <t xml:space="preserve">Priority</t>
  </si>
  <si>
    <t xml:space="preserve">puffer jacket women</t>
  </si>
  <si>
    <t xml:space="preserve">Strong Oct-Feb (peak Jan 201K)</t>
  </si>
  <si>
    <t xml:space="preserve">Puffer (AOP) BP1391</t>
  </si>
  <si>
    <t xml:space="preserve">HIGH - but CN only</t>
  </si>
  <si>
    <t xml:space="preserve">denim jacket women</t>
  </si>
  <si>
    <t xml:space="preserve">Year-round (peak Jun-Aug)</t>
  </si>
  <si>
    <t xml:space="preserve">Denim BP1396</t>
  </si>
  <si>
    <t xml:space="preserve">LOW - back print only</t>
  </si>
  <si>
    <t xml:space="preserve">womens bomber jacket</t>
  </si>
  <si>
    <t xml:space="preserve">Peak Oct-Jan (22K winter)</t>
  </si>
  <si>
    <t xml:space="preserve">Bomber (AOP) BP799</t>
  </si>
  <si>
    <t xml:space="preserve">MEDIUM - CN tariff</t>
  </si>
  <si>
    <t xml:space="preserve">varsity jacket women</t>
  </si>
  <si>
    <t xml:space="preserve">Peak Sep-Mar (back-to-school+winter)</t>
  </si>
  <si>
    <t xml:space="preserve">Varsity (AOP) BP1499</t>
  </si>
  <si>
    <t xml:space="preserve">windbreaker jacket women</t>
  </si>
  <si>
    <t xml:space="preserve">Peak May-Jul (summer rain)</t>
  </si>
  <si>
    <t xml:space="preserve">HIGH - US provider!</t>
  </si>
  <si>
    <t xml:space="preserve">custom bomber jacket</t>
  </si>
  <si>
    <t xml:space="preserve">Peak Feb+Oct-Dec</t>
  </si>
  <si>
    <t xml:space="preserve">MEDIUM</t>
  </si>
  <si>
    <t xml:space="preserve">cropped bomber jacket women</t>
  </si>
  <si>
    <t xml:space="preserve">Peak Oct-Dec</t>
  </si>
  <si>
    <t xml:space="preserve">floral bomber jacket</t>
  </si>
  <si>
    <t xml:space="preserve">Peak Feb-Apr (spring)</t>
  </si>
  <si>
    <t xml:space="preserve">HIGH - niche match</t>
  </si>
  <si>
    <t xml:space="preserve">floral puffer jacket</t>
  </si>
  <si>
    <t xml:space="preserve">Strong Oct-Feb (peak Feb 2.4K)</t>
  </si>
  <si>
    <t xml:space="preserve">custom puffer jacket</t>
  </si>
  <si>
    <t xml:space="preserve">Peak Nov-Jan</t>
  </si>
  <si>
    <t xml:space="preserve">celestial jacket</t>
  </si>
  <si>
    <t xml:space="preserve">Year-round steady</t>
  </si>
  <si>
    <t xml:space="preserve">Any AOP jacket</t>
  </si>
  <si>
    <t xml:space="preserve">HIGH - our niche!</t>
  </si>
  <si>
    <t xml:space="preserve">mushroom jacket</t>
  </si>
  <si>
    <t xml:space="preserve">Peak Oct-Dec (fall)</t>
  </si>
  <si>
    <t xml:space="preserve">printed bomber jacket</t>
  </si>
  <si>
    <t xml:space="preserve">Peak Feb+Apr</t>
  </si>
  <si>
    <t xml:space="preserve">LOW</t>
  </si>
  <si>
    <t xml:space="preserve">cottagecore jacket</t>
  </si>
  <si>
    <t xml:space="preserve">graphic jacket women</t>
  </si>
  <si>
    <t xml:space="preserve">printed windbreaker</t>
  </si>
  <si>
    <t xml:space="preserve">LOW volume</t>
  </si>
  <si>
    <t xml:space="preserve">boho jacket women</t>
  </si>
  <si>
    <t xml:space="preserve">Peak Jan-Feb</t>
  </si>
  <si>
    <t xml:space="preserve">Type</t>
  </si>
  <si>
    <t xml:space="preserve">Sale Price</t>
  </si>
  <si>
    <t xml:space="preserve">Etsy Margin</t>
  </si>
  <si>
    <t xml:space="preserve">AOP Reuse?</t>
  </si>
  <si>
    <t xml:space="preserve">Seasonal</t>
  </si>
  <si>
    <t xml:space="preserve">Rank</t>
  </si>
  <si>
    <t xml:space="preserve">Entry Tier</t>
  </si>
  <si>
    <t xml:space="preserve">40.5%</t>
  </si>
  <si>
    <t xml:space="preserve">Year-round</t>
  </si>
  <si>
    <t xml:space="preserve">PROVEN - Keep</t>
  </si>
  <si>
    <t xml:space="preserve">Mid Tier</t>
  </si>
  <si>
    <t xml:space="preserve">40.9%</t>
  </si>
  <si>
    <t xml:space="preserve">Sep-Apr</t>
  </si>
  <si>
    <t xml:space="preserve">Premium</t>
  </si>
  <si>
    <t xml:space="preserve">29.4%</t>
  </si>
  <si>
    <t xml:space="preserve">Oct-Mar</t>
  </si>
  <si>
    <t xml:space="preserve">Windbreaker AOP (BP1397)</t>
  </si>
  <si>
    <t xml:space="preserve">Jacket</t>
  </si>
  <si>
    <t xml:space="preserve">21.3%</t>
  </si>
  <si>
    <t xml:space="preserve">Apr-Jul + Oct-Dec</t>
  </si>
  <si>
    <t xml:space="preserve">EXPLORE - best jacket option</t>
  </si>
  <si>
    <t xml:space="preserve">Bomber AOP (BP799)</t>
  </si>
  <si>
    <t xml:space="preserve">Oct-Jan</t>
  </si>
  <si>
    <t xml:space="preserve">RISKY - CN tariff eats margin</t>
  </si>
  <si>
    <t xml:space="preserve">Varsity AOP (BP1499)</t>
  </si>
  <si>
    <t xml:space="preserve">Aug-Mar</t>
  </si>
  <si>
    <t xml:space="preserve">RISKY - CN tariff, Early Access</t>
  </si>
  <si>
    <t xml:space="preserve">Puffer AOP (BP1391)</t>
  </si>
  <si>
    <t xml:space="preserve">Oct-Feb</t>
  </si>
  <si>
    <t xml:space="preserve">RISKY - CN tariff, high COGS</t>
  </si>
  <si>
    <t xml:space="preserve">Letterman (BP1690)</t>
  </si>
  <si>
    <t xml:space="preserve">NO (DTG)</t>
  </si>
  <si>
    <t xml:space="preserve">SKIP - not AOP, DTG only</t>
  </si>
  <si>
    <t xml:space="preserve">Champion Anorak (BP1581)</t>
  </si>
  <si>
    <t xml:space="preserve">Printify Choice</t>
  </si>
  <si>
    <t xml:space="preserve">NO (Embr)</t>
  </si>
  <si>
    <t xml:space="preserve">SKIP - embroidery only</t>
  </si>
  <si>
    <t xml:space="preserve">Columbia Arcadia (BP2014)</t>
  </si>
  <si>
    <t xml:space="preserve">SKIP - $109 COGS, 1 color</t>
  </si>
  <si>
    <t xml:space="preserve">Denim Jacket (BP1396)</t>
  </si>
  <si>
    <t xml:space="preserve">NO (back)</t>
  </si>
  <si>
    <t xml:space="preserve">SKIP - back print only</t>
  </si>
  <si>
    <t xml:space="preserve">PRINTIFY WOMEN'S JACKET RESEARCH — KEY FINDINGS &amp; RECOMMENDATION</t>
  </si>
  <si>
    <t xml:space="preserve">EXECUTIVE SUMMARY</t>
  </si>
  <si>
    <t xml:space="preserve">Total jackets on Printify outerwear:</t>
  </si>
  <si>
    <t xml:space="preserve">8 products (excl. neck gaiters)</t>
  </si>
  <si>
    <t xml:space="preserve">AOP-capable jackets:</t>
  </si>
  <si>
    <t xml:space="preserve">4 (Windbreaker, Puffer, Bomber, Varsity)</t>
  </si>
  <si>
    <t xml:space="preserve">US-based AOP provider:</t>
  </si>
  <si>
    <t xml:space="preserve">ONLY 1 — Windbreaker (MWW On Demand)</t>
  </si>
  <si>
    <t xml:space="preserve">China-based AOP providers:</t>
  </si>
  <si>
    <t xml:space="preserve">3 (Puffer, Bomber, Varsity) — subject to ~34.5% tariff</t>
  </si>
  <si>
    <t xml:space="preserve">DTG/Embroidery only:</t>
  </si>
  <si>
    <t xml:space="preserve">4 (Letterman, Anorak, Arcadia, Denim) — NOT suitable for AOP</t>
  </si>
  <si>
    <t xml:space="preserve">KEY FINDING</t>
  </si>
  <si>
    <t xml:space="preserve">#1 — Very limited AOP jacket options</t>
  </si>
  <si>
    <t xml:space="preserve">Only 4 of 8 jackets support AOP printing. Compare to 3 AOP options in tops (tee/crew/hoodie) which are all US-based.</t>
  </si>
  <si>
    <t xml:space="preserve">#2 — Only ONE US-based AOP jacket</t>
  </si>
  <si>
    <t xml:space="preserve">The Windbreaker (BP1397) via MWW On Demand is the only tariff-free AOP jacket. This is the same provider as our existing AOP Hoodie.</t>
  </si>
  <si>
    <t xml:space="preserve">#3 — Tariffs kill CN jacket margins</t>
  </si>
  <si>
    <t xml:space="preserve">At ~34.5% tariff, a CAD 76.24 Puffer becomes $73.84 USD landed cost. Even at $89.99, Etsy margin is only ~6.6%.</t>
  </si>
  <si>
    <t xml:space="preserve">#4 — Windbreaker has decent volume</t>
  </si>
  <si>
    <t xml:space="preserve">8,100/mo for "windbreaker jacket women" with peak in May-Jul (summer rain season). This complements hoodie's Oct-Jan peak.</t>
  </si>
  <si>
    <t xml:space="preserve">#5 — Niche keywords are tiny for jackets</t>
  </si>
  <si>
    <t xml:space="preserve">"celestial jacket" (170/mo), "mushroom jacket" (170/mo), "cottagecore jacket" (110/mo) — much smaller than dress/hoodie equivalents.</t>
  </si>
  <si>
    <t xml:space="preserve">#6 — Bomber has highest generic volume</t>
  </si>
  <si>
    <t xml:space="preserve">"womens bomber jacket" at 14,800/mo but only CN provider (Smart Printee). Cheapest COGS but tariff + $20 shipping erases advantage.</t>
  </si>
  <si>
    <t xml:space="preserve">RECOMMENDATION</t>
  </si>
  <si>
    <t xml:space="preserve">✅ PROCEED (Phase 1)</t>
  </si>
  <si>
    <t xml:space="preserve">Add Windbreaker (AOP) BP1397 to product line. US-based, 0% tariff, same provider as hoodie. Test with top 3 niche designs (Dark Floral, Celestial, Mushroom).</t>
  </si>
  <si>
    <t xml:space="preserve">⏳ WAIT (Phase 2)</t>
  </si>
  <si>
    <t xml:space="preserve">Monitor tariff situation. If Section 122 (15%) expires Jul 2026, CN jackets become viable. Bomber at $24.72 COGS would be very profitable.</t>
  </si>
  <si>
    <t xml:space="preserve">❌ SKIP</t>
  </si>
  <si>
    <t xml:space="preserve">Letterman, Anorak, Arcadia, Denim — all non-AOP or impractical for our design workflow.</t>
  </si>
  <si>
    <t xml:space="preserve">WINDBREAKER PROFITABILITY (BEST OPTION)</t>
  </si>
  <si>
    <t xml:space="preserve">COGS (USD):</t>
  </si>
  <si>
    <t xml:space="preserve">$57.07 (CAD 79.27 × 0.72)</t>
  </si>
  <si>
    <t xml:space="preserve">Shipping (USD):</t>
  </si>
  <si>
    <t xml:space="preserve">$8.49 (CAD 11.79 × 0.72)</t>
  </si>
  <si>
    <t xml:space="preserve">Tariff:</t>
  </si>
  <si>
    <t xml:space="preserve">$0.00 (US-based)</t>
  </si>
  <si>
    <t xml:space="preserve">Landed Cost:</t>
  </si>
  <si>
    <t xml:space="preserve">$65.56</t>
  </si>
  <si>
    <t xml:space="preserve">Suggested Sale Price:</t>
  </si>
  <si>
    <t xml:space="preserve">$89.99 (listed at $179.98 with 50% sale)</t>
  </si>
  <si>
    <t xml:space="preserve">Etsy Fees (~9.75%):</t>
  </si>
  <si>
    <t xml:space="preserve">$9.22</t>
  </si>
  <si>
    <t xml:space="preserve">Etsy Profit:</t>
  </si>
  <si>
    <t xml:space="preserve">$15.21 per unit</t>
  </si>
  <si>
    <t xml:space="preserve">Etsy Margin:</t>
  </si>
  <si>
    <t xml:space="preserve">16.9%</t>
  </si>
  <si>
    <t xml:space="preserve">COMPARISON TO EXISTING LINE</t>
  </si>
  <si>
    <t xml:space="preserve">AOP Tee (BP1242):</t>
  </si>
  <si>
    <t xml:space="preserve">$16.20 profit / 40.5% margin — BEST margin</t>
  </si>
  <si>
    <t xml:space="preserve">AOP Sweatshirt (BP449):</t>
  </si>
  <si>
    <t xml:space="preserve">$24.53 profit / 40.9% margin — BEST absolute profit</t>
  </si>
  <si>
    <t xml:space="preserve">AOP Hoodie (BP450):</t>
  </si>
  <si>
    <t xml:space="preserve">$22.07 profit / 29.4% margin — current flagship</t>
  </si>
  <si>
    <t xml:space="preserve">Windbreaker (BP1397):</t>
  </si>
  <si>
    <t xml:space="preserve">$15.21 profit / 16.9% margin — LOWEST in line, but adds seasonal coverage</t>
  </si>
  <si>
    <t xml:space="preserve">STRATEGIC VALUE</t>
  </si>
  <si>
    <t xml:space="preserve">The windbreaker fills a seasonal gap:</t>
  </si>
  <si>
    <t xml:space="preserve">Hoodie peaks Oct-Jan. Windbreaker peaks May-Jul. Together they provide year-round coverage.</t>
  </si>
  <si>
    <t xml:space="preserve">Same artwork, zero rework:</t>
  </si>
  <si>
    <t xml:space="preserve">AOP sublimation uses identical artwork files. One design = 4 products (tee + crew + hoodie + windbreaker).</t>
  </si>
  <si>
    <t xml:space="preserve">Higher price point:</t>
  </si>
  <si>
    <t xml:space="preserve">At $89.99, windbreaker is the highest-priced product. Even at lower margin, it raises average order value.</t>
  </si>
  <si>
    <t xml:space="preserve">Lower priority than launch:</t>
  </si>
  <si>
    <t xml:space="preserve">Focus on launching hoodies/tees first. Add windbreaker after initial sales data confirms niche demand.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</si>
</sst>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%"/>
    <numFmt numFmtId="167" formatCode="0.0\x"/>
    <numFmt numFmtId="168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2D343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D3436"/>
        <bgColor rgb="FF333300"/>
      </patternFill>
    </fill>
    <fill>
      <patternFill patternType="solid">
        <fgColor rgb="FFD63031"/>
        <bgColor rgb="FF993366"/>
      </patternFill>
    </fill>
    <fill>
      <patternFill patternType="solid">
        <fgColor rgb="FF00B894"/>
        <bgColor rgb="FF00CCFF"/>
      </patternFill>
    </fill>
    <fill>
      <patternFill patternType="solid">
        <fgColor rgb="FFB2BEC3"/>
        <bgColor rgb="FF99CCFF"/>
      </patternFill>
    </fill>
    <fill>
      <patternFill patternType="solid">
        <fgColor rgb="FFFDCB6E"/>
        <bgColor rgb="FFFFCC00"/>
      </patternFill>
    </fill>
    <fill>
      <patternFill patternType="solid">
        <fgColor rgb="FFDFE6E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EC3"/>
      <rgbColor rgb="FF808080"/>
      <rgbColor rgb="FF9999FF"/>
      <rgbColor rgb="FF993366"/>
      <rgbColor rgb="FFFFFFCC"/>
      <rgbColor rgb="FFDFE6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CB6E"/>
      <rgbColor rgb="FF3366FF"/>
      <rgbColor rgb="FF00B894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D63031"/>
      <rgbColor rgb="FF993366"/>
      <rgbColor rgb="FF333399"/>
      <rgbColor rgb="FF2D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6"/>
    <col collapsed="false" customWidth="true" hidden="false" outlineLevel="0" max="7" min="7" style="0" width="20"/>
    <col collapsed="false" customWidth="true" hidden="false" outlineLevel="0" max="9" min="8" style="0" width="8"/>
    <col collapsed="false" customWidth="true" hidden="false" outlineLevel="0" max="10" min="10" style="0" width="30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20" min="14" style="0" width="12"/>
    <col collapsed="false" customWidth="true" hidden="false" outlineLevel="0" max="21" min="21" style="0" width="8"/>
    <col collapsed="false" customWidth="true" hidden="false" outlineLevel="0" max="22" min="22" style="0" width="45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23.85" hidden="false" customHeight="false" outlineLevel="0" collapsed="false">
      <c r="A2" s="2" t="n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3" t="s">
        <v>26</v>
      </c>
      <c r="G2" s="2" t="s">
        <v>27</v>
      </c>
      <c r="H2" s="2" t="n">
        <v>8.9</v>
      </c>
      <c r="I2" s="4" t="s">
        <v>28</v>
      </c>
      <c r="J2" s="2" t="s">
        <v>29</v>
      </c>
      <c r="K2" s="2" t="s">
        <v>30</v>
      </c>
      <c r="L2" s="2" t="s">
        <v>31</v>
      </c>
      <c r="M2" s="2" t="n">
        <v>12</v>
      </c>
      <c r="N2" s="2" t="n">
        <v>67.94</v>
      </c>
      <c r="O2" s="5" t="n">
        <f aca="false">N2*0.72</f>
        <v>48.9168</v>
      </c>
      <c r="P2" s="2" t="n">
        <v>49.23</v>
      </c>
      <c r="Q2" s="5" t="n">
        <f aca="false">P2*0.72</f>
        <v>35.4456</v>
      </c>
      <c r="R2" s="2" t="n">
        <v>11.79</v>
      </c>
      <c r="S2" s="5" t="n">
        <f aca="false">R2*0.72</f>
        <v>8.4888</v>
      </c>
      <c r="T2" s="2" t="s">
        <v>32</v>
      </c>
      <c r="U2" s="2" t="s">
        <v>33</v>
      </c>
      <c r="V2" s="2" t="s">
        <v>34</v>
      </c>
    </row>
    <row r="3" customFormat="false" ht="23.85" hidden="false" customHeight="false" outlineLevel="0" collapsed="false">
      <c r="A3" s="2" t="n">
        <v>2</v>
      </c>
      <c r="B3" s="2" t="s">
        <v>35</v>
      </c>
      <c r="C3" s="2" t="s">
        <v>36</v>
      </c>
      <c r="D3" s="2" t="s">
        <v>37</v>
      </c>
      <c r="E3" s="2" t="s">
        <v>38</v>
      </c>
      <c r="F3" s="3" t="s">
        <v>26</v>
      </c>
      <c r="G3" s="2" t="s">
        <v>39</v>
      </c>
      <c r="H3" s="2" t="s">
        <v>40</v>
      </c>
      <c r="I3" s="4" t="s">
        <v>28</v>
      </c>
      <c r="J3" s="2" t="s">
        <v>41</v>
      </c>
      <c r="K3" s="2" t="s">
        <v>42</v>
      </c>
      <c r="L3" s="2" t="s">
        <v>43</v>
      </c>
      <c r="M3" s="2" t="n">
        <v>7</v>
      </c>
      <c r="N3" s="2" t="n">
        <v>63.37</v>
      </c>
      <c r="O3" s="5" t="n">
        <f aca="false">N3*0.72</f>
        <v>45.6264</v>
      </c>
      <c r="P3" s="2" t="n">
        <v>58.16</v>
      </c>
      <c r="Q3" s="5" t="n">
        <f aca="false">P3*0.72</f>
        <v>41.8752</v>
      </c>
      <c r="R3" s="2" t="n">
        <v>11.36</v>
      </c>
      <c r="S3" s="5" t="n">
        <f aca="false">R3*0.72</f>
        <v>8.1792</v>
      </c>
      <c r="T3" s="2" t="s">
        <v>44</v>
      </c>
      <c r="U3" s="2" t="s">
        <v>33</v>
      </c>
      <c r="V3" s="2" t="s">
        <v>45</v>
      </c>
    </row>
    <row r="4" customFormat="false" ht="23.85" hidden="false" customHeight="false" outlineLevel="0" collapsed="false">
      <c r="A4" s="2" t="n">
        <v>3</v>
      </c>
      <c r="B4" s="2" t="s">
        <v>46</v>
      </c>
      <c r="C4" s="2" t="s">
        <v>47</v>
      </c>
      <c r="D4" s="2" t="s">
        <v>48</v>
      </c>
      <c r="E4" s="2" t="s">
        <v>25</v>
      </c>
      <c r="F4" s="3" t="s">
        <v>26</v>
      </c>
      <c r="G4" s="2" t="s">
        <v>49</v>
      </c>
      <c r="H4" s="2" t="n">
        <v>9.1</v>
      </c>
      <c r="I4" s="4" t="s">
        <v>28</v>
      </c>
      <c r="J4" s="2" t="s">
        <v>50</v>
      </c>
      <c r="K4" s="2" t="s">
        <v>51</v>
      </c>
      <c r="L4" s="2" t="s">
        <v>43</v>
      </c>
      <c r="M4" s="2" t="n">
        <v>1</v>
      </c>
      <c r="N4" s="2" t="n">
        <v>151.25</v>
      </c>
      <c r="O4" s="5" t="n">
        <f aca="false">N4*0.72</f>
        <v>108.9</v>
      </c>
      <c r="P4" s="2" t="n">
        <v>111.63</v>
      </c>
      <c r="Q4" s="5" t="n">
        <f aca="false">P4*0.72</f>
        <v>80.3736</v>
      </c>
      <c r="R4" s="2" t="n">
        <v>11.36</v>
      </c>
      <c r="S4" s="5" t="n">
        <f aca="false">R4*0.72</f>
        <v>8.1792</v>
      </c>
      <c r="T4" s="2" t="s">
        <v>52</v>
      </c>
      <c r="U4" s="2" t="s">
        <v>33</v>
      </c>
      <c r="V4" s="2" t="s">
        <v>53</v>
      </c>
    </row>
    <row r="5" customFormat="false" ht="23.85" hidden="false" customHeight="false" outlineLevel="0" collapsed="false">
      <c r="A5" s="2" t="n">
        <v>4</v>
      </c>
      <c r="B5" s="2" t="s">
        <v>54</v>
      </c>
      <c r="C5" s="2" t="s">
        <v>55</v>
      </c>
      <c r="D5" s="2" t="s">
        <v>56</v>
      </c>
      <c r="E5" s="2" t="s">
        <v>25</v>
      </c>
      <c r="F5" s="3" t="s">
        <v>26</v>
      </c>
      <c r="G5" s="2" t="s">
        <v>57</v>
      </c>
      <c r="H5" s="2" t="n">
        <v>7.4</v>
      </c>
      <c r="I5" s="4" t="s">
        <v>28</v>
      </c>
      <c r="J5" s="2" t="s">
        <v>58</v>
      </c>
      <c r="K5" s="2" t="s">
        <v>59</v>
      </c>
      <c r="L5" s="2" t="s">
        <v>43</v>
      </c>
      <c r="M5" s="2" t="n">
        <v>1</v>
      </c>
      <c r="N5" s="2" t="n">
        <v>58.53</v>
      </c>
      <c r="O5" s="5" t="n">
        <f aca="false">N5*0.72</f>
        <v>42.1416</v>
      </c>
      <c r="P5" s="2" t="n">
        <v>43.68</v>
      </c>
      <c r="Q5" s="5" t="n">
        <f aca="false">P5*0.72</f>
        <v>31.4496</v>
      </c>
      <c r="R5" s="2" t="n">
        <v>18.19</v>
      </c>
      <c r="S5" s="5" t="n">
        <f aca="false">R5*0.72</f>
        <v>13.0968</v>
      </c>
      <c r="T5" s="2" t="s">
        <v>60</v>
      </c>
      <c r="U5" s="2" t="s">
        <v>33</v>
      </c>
      <c r="V5" s="2" t="s">
        <v>61</v>
      </c>
    </row>
    <row r="6" customFormat="false" ht="23.85" hidden="false" customHeight="false" outlineLevel="0" collapsed="false">
      <c r="A6" s="2" t="n">
        <v>5</v>
      </c>
      <c r="B6" s="2" t="s">
        <v>62</v>
      </c>
      <c r="C6" s="2" t="s">
        <v>63</v>
      </c>
      <c r="D6" s="2" t="s">
        <v>56</v>
      </c>
      <c r="E6" s="2" t="s">
        <v>64</v>
      </c>
      <c r="F6" s="4" t="s">
        <v>65</v>
      </c>
      <c r="G6" s="2" t="s">
        <v>57</v>
      </c>
      <c r="H6" s="2" t="n">
        <v>7.4</v>
      </c>
      <c r="I6" s="4" t="s">
        <v>28</v>
      </c>
      <c r="J6" s="2" t="s">
        <v>41</v>
      </c>
      <c r="K6" s="2" t="s">
        <v>66</v>
      </c>
      <c r="L6" s="2" t="s">
        <v>67</v>
      </c>
      <c r="M6" s="2" t="n">
        <v>1</v>
      </c>
      <c r="N6" s="2" t="n">
        <v>79.27</v>
      </c>
      <c r="O6" s="5" t="n">
        <f aca="false">N6*0.72</f>
        <v>57.0744</v>
      </c>
      <c r="P6" s="2" t="n">
        <v>59.17</v>
      </c>
      <c r="Q6" s="5" t="n">
        <f aca="false">P6*0.72</f>
        <v>42.6024</v>
      </c>
      <c r="R6" s="2" t="n">
        <v>11.79</v>
      </c>
      <c r="S6" s="5" t="n">
        <f aca="false">R6*0.72</f>
        <v>8.4888</v>
      </c>
      <c r="T6" s="2" t="s">
        <v>68</v>
      </c>
      <c r="U6" s="2" t="s">
        <v>33</v>
      </c>
      <c r="V6" s="2" t="s">
        <v>69</v>
      </c>
    </row>
    <row r="7" customFormat="false" ht="23.85" hidden="false" customHeight="false" outlineLevel="0" collapsed="false">
      <c r="A7" s="2" t="n">
        <v>6</v>
      </c>
      <c r="B7" s="2" t="s">
        <v>70</v>
      </c>
      <c r="C7" s="2" t="s">
        <v>71</v>
      </c>
      <c r="D7" s="2" t="s">
        <v>56</v>
      </c>
      <c r="E7" s="2" t="s">
        <v>64</v>
      </c>
      <c r="F7" s="4" t="s">
        <v>65</v>
      </c>
      <c r="G7" s="2" t="s">
        <v>72</v>
      </c>
      <c r="H7" s="2" t="n">
        <v>9.7</v>
      </c>
      <c r="I7" s="3" t="s">
        <v>73</v>
      </c>
      <c r="J7" s="2" t="s">
        <v>74</v>
      </c>
      <c r="K7" s="2" t="s">
        <v>75</v>
      </c>
      <c r="L7" s="2" t="s">
        <v>76</v>
      </c>
      <c r="M7" s="2" t="n">
        <v>1</v>
      </c>
      <c r="N7" s="2" t="n">
        <v>76.24</v>
      </c>
      <c r="O7" s="5" t="n">
        <f aca="false">N7*0.72</f>
        <v>54.8928</v>
      </c>
      <c r="P7" s="2" t="n">
        <v>55.26</v>
      </c>
      <c r="Q7" s="5" t="n">
        <f aca="false">P7*0.72</f>
        <v>39.7872</v>
      </c>
      <c r="R7" s="2" t="n">
        <v>14.2</v>
      </c>
      <c r="S7" s="5" t="n">
        <f aca="false">R7*0.72</f>
        <v>10.224</v>
      </c>
      <c r="T7" s="2" t="s">
        <v>77</v>
      </c>
      <c r="U7" s="2" t="s">
        <v>78</v>
      </c>
      <c r="V7" s="2" t="s">
        <v>79</v>
      </c>
    </row>
    <row r="8" customFormat="false" ht="23.85" hidden="false" customHeight="false" outlineLevel="0" collapsed="false">
      <c r="A8" s="2" t="n">
        <v>7</v>
      </c>
      <c r="B8" s="2" t="s">
        <v>80</v>
      </c>
      <c r="C8" s="2" t="s">
        <v>81</v>
      </c>
      <c r="D8" s="2" t="s">
        <v>56</v>
      </c>
      <c r="E8" s="2" t="s">
        <v>64</v>
      </c>
      <c r="F8" s="4" t="s">
        <v>65</v>
      </c>
      <c r="G8" s="2" t="s">
        <v>82</v>
      </c>
      <c r="H8" s="2" t="n">
        <v>9.4</v>
      </c>
      <c r="I8" s="3" t="s">
        <v>73</v>
      </c>
      <c r="J8" s="2" t="s">
        <v>41</v>
      </c>
      <c r="K8" s="2" t="s">
        <v>83</v>
      </c>
      <c r="L8" s="2" t="s">
        <v>43</v>
      </c>
      <c r="M8" s="2" t="n">
        <v>1</v>
      </c>
      <c r="N8" s="2" t="n">
        <v>34.34</v>
      </c>
      <c r="O8" s="5" t="n">
        <f aca="false">N8*0.72</f>
        <v>24.7248</v>
      </c>
      <c r="P8" s="2" t="n">
        <v>25.64</v>
      </c>
      <c r="Q8" s="5" t="n">
        <f aca="false">P8*0.72</f>
        <v>18.4608</v>
      </c>
      <c r="R8" s="2" t="n">
        <v>20.03</v>
      </c>
      <c r="S8" s="5" t="n">
        <f aca="false">R8*0.72</f>
        <v>14.4216</v>
      </c>
      <c r="T8" s="2" t="s">
        <v>68</v>
      </c>
      <c r="U8" s="2" t="s">
        <v>78</v>
      </c>
      <c r="V8" s="2" t="s">
        <v>84</v>
      </c>
    </row>
    <row r="9" customFormat="false" ht="23.85" hidden="false" customHeight="false" outlineLevel="0" collapsed="false">
      <c r="A9" s="2" t="n">
        <v>8</v>
      </c>
      <c r="B9" s="2" t="s">
        <v>85</v>
      </c>
      <c r="C9" s="2" t="s">
        <v>86</v>
      </c>
      <c r="D9" s="2" t="s">
        <v>87</v>
      </c>
      <c r="E9" s="2" t="s">
        <v>64</v>
      </c>
      <c r="F9" s="4" t="s">
        <v>65</v>
      </c>
      <c r="G9" s="2" t="s">
        <v>72</v>
      </c>
      <c r="H9" s="2" t="n">
        <v>9.7</v>
      </c>
      <c r="I9" s="3" t="s">
        <v>73</v>
      </c>
      <c r="J9" s="2" t="s">
        <v>88</v>
      </c>
      <c r="K9" s="2" t="s">
        <v>89</v>
      </c>
      <c r="L9" s="2" t="s">
        <v>67</v>
      </c>
      <c r="M9" s="2" t="n">
        <v>2</v>
      </c>
      <c r="N9" s="2" t="n">
        <v>55.18</v>
      </c>
      <c r="O9" s="5" t="n">
        <f aca="false">N9*0.72</f>
        <v>39.7296</v>
      </c>
      <c r="P9" s="2" t="n">
        <v>39.98</v>
      </c>
      <c r="Q9" s="5" t="n">
        <f aca="false">P9*0.72</f>
        <v>28.7856</v>
      </c>
      <c r="R9" s="2" t="n">
        <v>14.2</v>
      </c>
      <c r="S9" s="5" t="n">
        <f aca="false">R9*0.72</f>
        <v>10.224</v>
      </c>
      <c r="T9" s="2" t="s">
        <v>90</v>
      </c>
      <c r="U9" s="2" t="s">
        <v>78</v>
      </c>
      <c r="V9" s="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7" min="7" style="0" width="8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12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4"/>
    <col collapsed="false" customWidth="true" hidden="false" outlineLevel="0" max="19" min="19" style="0" width="8"/>
    <col collapsed="false" customWidth="true" hidden="false" outlineLevel="0" max="20" min="20" style="0" width="30"/>
  </cols>
  <sheetData>
    <row r="1" customFormat="false" ht="39.55" hidden="false" customHeight="false" outlineLevel="0" collapsed="false">
      <c r="A1" s="1" t="s">
        <v>92</v>
      </c>
      <c r="B1" s="1" t="s">
        <v>5</v>
      </c>
      <c r="C1" s="1" t="s">
        <v>6</v>
      </c>
      <c r="D1" s="1" t="s">
        <v>8</v>
      </c>
      <c r="E1" s="1" t="s">
        <v>93</v>
      </c>
      <c r="F1" s="1" t="s">
        <v>18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</row>
    <row r="2" customFormat="false" ht="15" hidden="false" customHeight="false" outlineLevel="0" collapsed="false">
      <c r="A2" s="2" t="s">
        <v>108</v>
      </c>
      <c r="B2" s="2" t="s">
        <v>65</v>
      </c>
      <c r="C2" s="2" t="s">
        <v>57</v>
      </c>
      <c r="D2" s="4" t="s">
        <v>28</v>
      </c>
      <c r="E2" s="2" t="n">
        <v>57.07</v>
      </c>
      <c r="F2" s="2" t="n">
        <v>8.49</v>
      </c>
      <c r="G2" s="6" t="n">
        <v>0</v>
      </c>
      <c r="H2" s="5" t="n">
        <f aca="false">E2*G2</f>
        <v>0</v>
      </c>
      <c r="I2" s="5" t="n">
        <f aca="false">E2+F2+H2</f>
        <v>65.56</v>
      </c>
      <c r="J2" s="5" t="n">
        <v>89.99</v>
      </c>
      <c r="K2" s="5" t="n">
        <f aca="false">J2*2</f>
        <v>179.98</v>
      </c>
      <c r="L2" s="5" t="n">
        <f aca="false">J2*0.0975+0.45</f>
        <v>9.224025</v>
      </c>
      <c r="M2" s="5" t="n">
        <f aca="false">J2-I2-L2</f>
        <v>15.205975</v>
      </c>
      <c r="N2" s="6" t="n">
        <f aca="false">IF(J2&gt;0,M2/J2,0)</f>
        <v>0.168974052672519</v>
      </c>
      <c r="O2" s="5" t="n">
        <v>89.99</v>
      </c>
      <c r="P2" s="5" t="n">
        <v>0.46</v>
      </c>
      <c r="Q2" s="5" t="n">
        <f aca="false">P2/0.015</f>
        <v>30.6666666666667</v>
      </c>
      <c r="R2" s="5" t="n">
        <f aca="false">M2-Q2</f>
        <v>-15.4606916666667</v>
      </c>
      <c r="S2" s="7" t="n">
        <f aca="false">IF(Q2&gt;0,O2/Q2,0)</f>
        <v>2.93445652173913</v>
      </c>
      <c r="T2" s="2"/>
    </row>
    <row r="3" customFormat="false" ht="15" hidden="false" customHeight="false" outlineLevel="0" collapsed="false">
      <c r="A3" s="2" t="s">
        <v>109</v>
      </c>
      <c r="B3" s="2" t="s">
        <v>65</v>
      </c>
      <c r="C3" s="2" t="s">
        <v>72</v>
      </c>
      <c r="D3" s="3" t="s">
        <v>73</v>
      </c>
      <c r="E3" s="2" t="n">
        <v>54.89</v>
      </c>
      <c r="F3" s="2" t="n">
        <v>10.22</v>
      </c>
      <c r="G3" s="6" t="n">
        <v>0.345</v>
      </c>
      <c r="H3" s="5" t="n">
        <f aca="false">E3*G3</f>
        <v>18.93705</v>
      </c>
      <c r="I3" s="5" t="n">
        <f aca="false">E3+F3+H3</f>
        <v>84.04705</v>
      </c>
      <c r="J3" s="5" t="n">
        <v>89.99</v>
      </c>
      <c r="K3" s="5" t="n">
        <f aca="false">J3*2</f>
        <v>179.98</v>
      </c>
      <c r="L3" s="5" t="n">
        <f aca="false">J3*0.0975+0.45</f>
        <v>9.224025</v>
      </c>
      <c r="M3" s="5" t="n">
        <f aca="false">J3-I3-L3</f>
        <v>-3.281075</v>
      </c>
      <c r="N3" s="6" t="n">
        <f aca="false">IF(J3&gt;0,M3/J3,0)</f>
        <v>-0.0364604400488944</v>
      </c>
      <c r="O3" s="5" t="n">
        <v>89.99</v>
      </c>
      <c r="P3" s="5" t="n">
        <v>0.46</v>
      </c>
      <c r="Q3" s="5" t="n">
        <f aca="false">P3/0.015</f>
        <v>30.6666666666667</v>
      </c>
      <c r="R3" s="5" t="n">
        <f aca="false">M3-Q3</f>
        <v>-33.9477416666667</v>
      </c>
      <c r="S3" s="7" t="n">
        <f aca="false">IF(Q3&gt;0,O3/Q3,0)</f>
        <v>2.93445652173913</v>
      </c>
      <c r="T3" s="2"/>
    </row>
    <row r="4" customFormat="false" ht="15" hidden="false" customHeight="false" outlineLevel="0" collapsed="false">
      <c r="A4" s="2" t="s">
        <v>110</v>
      </c>
      <c r="B4" s="2" t="s">
        <v>65</v>
      </c>
      <c r="C4" s="2" t="s">
        <v>82</v>
      </c>
      <c r="D4" s="3" t="s">
        <v>73</v>
      </c>
      <c r="E4" s="2" t="n">
        <v>24.72</v>
      </c>
      <c r="F4" s="2" t="n">
        <v>14.42</v>
      </c>
      <c r="G4" s="6" t="n">
        <v>0.345</v>
      </c>
      <c r="H4" s="5" t="n">
        <f aca="false">E4*G4</f>
        <v>8.5284</v>
      </c>
      <c r="I4" s="5" t="n">
        <f aca="false">E4+F4+H4</f>
        <v>47.6684</v>
      </c>
      <c r="J4" s="5" t="n">
        <v>59.99</v>
      </c>
      <c r="K4" s="5" t="n">
        <f aca="false">J4*2</f>
        <v>119.98</v>
      </c>
      <c r="L4" s="5" t="n">
        <f aca="false">J4*0.0975+0.45</f>
        <v>6.299025</v>
      </c>
      <c r="M4" s="5" t="n">
        <f aca="false">J4-I4-L4</f>
        <v>6.022575</v>
      </c>
      <c r="N4" s="6" t="n">
        <f aca="false">IF(J4&gt;0,M4/J4,0)</f>
        <v>0.100392982163694</v>
      </c>
      <c r="O4" s="5" t="n">
        <v>59.99</v>
      </c>
      <c r="P4" s="5" t="n">
        <v>0.46</v>
      </c>
      <c r="Q4" s="5" t="n">
        <f aca="false">P4/0.015</f>
        <v>30.6666666666667</v>
      </c>
      <c r="R4" s="5" t="n">
        <f aca="false">M4-Q4</f>
        <v>-24.6440916666667</v>
      </c>
      <c r="S4" s="7" t="n">
        <f aca="false">IF(Q4&gt;0,O4/Q4,0)</f>
        <v>1.95619565217391</v>
      </c>
      <c r="T4" s="2"/>
    </row>
    <row r="5" customFormat="false" ht="15" hidden="false" customHeight="false" outlineLevel="0" collapsed="false">
      <c r="A5" s="2" t="s">
        <v>111</v>
      </c>
      <c r="B5" s="2" t="s">
        <v>65</v>
      </c>
      <c r="C5" s="2" t="s">
        <v>72</v>
      </c>
      <c r="D5" s="3" t="s">
        <v>73</v>
      </c>
      <c r="E5" s="2" t="n">
        <v>39.73</v>
      </c>
      <c r="F5" s="2" t="n">
        <v>10.22</v>
      </c>
      <c r="G5" s="6" t="n">
        <v>0.345</v>
      </c>
      <c r="H5" s="5" t="n">
        <f aca="false">E5*G5</f>
        <v>13.70685</v>
      </c>
      <c r="I5" s="5" t="n">
        <f aca="false">E5+F5+H5</f>
        <v>63.65685</v>
      </c>
      <c r="J5" s="5" t="n">
        <v>79.99</v>
      </c>
      <c r="K5" s="5" t="n">
        <f aca="false">J5*2</f>
        <v>159.98</v>
      </c>
      <c r="L5" s="5" t="n">
        <f aca="false">J5*0.0975+0.45</f>
        <v>8.249025</v>
      </c>
      <c r="M5" s="5" t="n">
        <f aca="false">J5-I5-L5</f>
        <v>8.084125</v>
      </c>
      <c r="N5" s="6" t="n">
        <f aca="false">IF(J5&gt;0,M5/J5,0)</f>
        <v>0.101064195524441</v>
      </c>
      <c r="O5" s="5" t="n">
        <v>79.99</v>
      </c>
      <c r="P5" s="5" t="n">
        <v>0.46</v>
      </c>
      <c r="Q5" s="5" t="n">
        <f aca="false">P5/0.015</f>
        <v>30.6666666666667</v>
      </c>
      <c r="R5" s="5" t="n">
        <f aca="false">M5-Q5</f>
        <v>-22.5825416666667</v>
      </c>
      <c r="S5" s="7" t="n">
        <f aca="false">IF(Q5&gt;0,O5/Q5,0)</f>
        <v>2.60836956521739</v>
      </c>
      <c r="T5" s="2"/>
    </row>
    <row r="6" customFormat="false" ht="15" hidden="false" customHeight="false" outlineLevel="0" collapsed="false">
      <c r="A6" s="8" t="s">
        <v>112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customFormat="false" ht="15" hidden="false" customHeight="false" outlineLevel="0" collapsed="false">
      <c r="A7" s="2" t="s">
        <v>113</v>
      </c>
      <c r="B7" s="2" t="s">
        <v>65</v>
      </c>
      <c r="C7" s="2" t="s">
        <v>57</v>
      </c>
      <c r="D7" s="4" t="s">
        <v>28</v>
      </c>
      <c r="E7" s="2" t="n">
        <v>44.25</v>
      </c>
      <c r="F7" s="2" t="n">
        <v>8.49</v>
      </c>
      <c r="G7" s="6" t="n">
        <v>0</v>
      </c>
      <c r="H7" s="5" t="n">
        <f aca="false">E7*G7</f>
        <v>0</v>
      </c>
      <c r="I7" s="5" t="n">
        <f aca="false">E7+F7+H7</f>
        <v>52.74</v>
      </c>
      <c r="J7" s="5" t="n">
        <v>74.99</v>
      </c>
      <c r="K7" s="5" t="n">
        <f aca="false">J7*2</f>
        <v>149.98</v>
      </c>
      <c r="L7" s="5" t="n">
        <f aca="false">J7*0.0975+0.45</f>
        <v>7.761525</v>
      </c>
      <c r="M7" s="5" t="n">
        <f aca="false">J7-I7-L7</f>
        <v>14.488475</v>
      </c>
      <c r="N7" s="6" t="n">
        <f aca="false">IF(J7&gt;0,M7/J7,0)</f>
        <v>0.193205427390319</v>
      </c>
      <c r="O7" s="5" t="n">
        <v>74.99</v>
      </c>
      <c r="P7" s="5" t="n">
        <v>0.46</v>
      </c>
      <c r="Q7" s="5" t="n">
        <f aca="false">P7/0.015</f>
        <v>30.6666666666667</v>
      </c>
      <c r="R7" s="5" t="n">
        <f aca="false">M7-Q7</f>
        <v>-16.1781916666667</v>
      </c>
      <c r="S7" s="7" t="n">
        <f aca="false">IF(Q7&gt;0,O7/Q7,0)</f>
        <v>2.44532608695652</v>
      </c>
      <c r="T7" s="2"/>
    </row>
    <row r="8" customFormat="false" ht="15" hidden="false" customHeight="false" outlineLevel="0" collapsed="false">
      <c r="A8" s="2" t="s">
        <v>114</v>
      </c>
      <c r="B8" s="2" t="s">
        <v>65</v>
      </c>
      <c r="C8" s="2" t="s">
        <v>57</v>
      </c>
      <c r="D8" s="4" t="s">
        <v>28</v>
      </c>
      <c r="E8" s="2" t="n">
        <v>29.31</v>
      </c>
      <c r="F8" s="2" t="n">
        <v>8.49</v>
      </c>
      <c r="G8" s="6" t="n">
        <v>0</v>
      </c>
      <c r="H8" s="5" t="n">
        <f aca="false">E8*G8</f>
        <v>0</v>
      </c>
      <c r="I8" s="5" t="n">
        <f aca="false">E8+F8+H8</f>
        <v>37.8</v>
      </c>
      <c r="J8" s="5" t="n">
        <v>59.99</v>
      </c>
      <c r="K8" s="5" t="n">
        <f aca="false">J8*2</f>
        <v>119.98</v>
      </c>
      <c r="L8" s="5" t="n">
        <f aca="false">J8*0.0975+0.45</f>
        <v>6.299025</v>
      </c>
      <c r="M8" s="5" t="n">
        <f aca="false">J8-I8-L8</f>
        <v>15.890975</v>
      </c>
      <c r="N8" s="6" t="n">
        <f aca="false">IF(J8&gt;0,M8/J8,0)</f>
        <v>0.264893732288715</v>
      </c>
      <c r="O8" s="5" t="n">
        <v>59.99</v>
      </c>
      <c r="P8" s="5" t="n">
        <v>0.46</v>
      </c>
      <c r="Q8" s="5" t="n">
        <f aca="false">P8/0.015</f>
        <v>30.6666666666667</v>
      </c>
      <c r="R8" s="5" t="n">
        <f aca="false">M8-Q8</f>
        <v>-14.7756916666667</v>
      </c>
      <c r="S8" s="7" t="n">
        <f aca="false">IF(Q8&gt;0,O8/Q8,0)</f>
        <v>1.95619565217391</v>
      </c>
      <c r="T8" s="2"/>
    </row>
    <row r="9" customFormat="false" ht="15" hidden="false" customHeight="false" outlineLevel="0" collapsed="false">
      <c r="A9" s="2" t="s">
        <v>115</v>
      </c>
      <c r="B9" s="2" t="s">
        <v>65</v>
      </c>
      <c r="C9" s="2" t="s">
        <v>116</v>
      </c>
      <c r="D9" s="4" t="s">
        <v>28</v>
      </c>
      <c r="E9" s="2" t="n">
        <v>19.54</v>
      </c>
      <c r="F9" s="2" t="n">
        <v>6.11</v>
      </c>
      <c r="G9" s="6" t="n">
        <v>0</v>
      </c>
      <c r="H9" s="5" t="n">
        <f aca="false">E9*G9</f>
        <v>0</v>
      </c>
      <c r="I9" s="5" t="n">
        <f aca="false">E9+F9+H9</f>
        <v>25.65</v>
      </c>
      <c r="J9" s="5" t="n">
        <v>39.99</v>
      </c>
      <c r="K9" s="5" t="n">
        <f aca="false">J9*2</f>
        <v>79.98</v>
      </c>
      <c r="L9" s="5" t="n">
        <f aca="false">J9*0.0975+0.45</f>
        <v>4.349025</v>
      </c>
      <c r="M9" s="5" t="n">
        <f aca="false">J9-I9-L9</f>
        <v>9.990975</v>
      </c>
      <c r="N9" s="6" t="n">
        <f aca="false">IF(J9&gt;0,M9/J9,0)</f>
        <v>0.249836834208552</v>
      </c>
      <c r="O9" s="5" t="n">
        <v>39.99</v>
      </c>
      <c r="P9" s="5" t="n">
        <v>0.46</v>
      </c>
      <c r="Q9" s="5" t="n">
        <f aca="false">P9/0.015</f>
        <v>30.6666666666667</v>
      </c>
      <c r="R9" s="5" t="n">
        <f aca="false">M9-Q9</f>
        <v>-20.6756916666667</v>
      </c>
      <c r="S9" s="7" t="n">
        <f aca="false">IF(Q9&gt;0,O9/Q9,0)</f>
        <v>1.30402173913043</v>
      </c>
      <c r="T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6" min="4" style="0" width="12"/>
    <col collapsed="false" customWidth="true" hidden="false" outlineLevel="0" max="7" min="7" style="0" width="32"/>
    <col collapsed="false" customWidth="true" hidden="false" outlineLevel="0" max="8" min="8" style="0" width="25"/>
    <col collapsed="false" customWidth="true" hidden="false" outlineLevel="0" max="9" min="9" style="0" width="22"/>
  </cols>
  <sheetData>
    <row r="1" customFormat="false" ht="26.85" hidden="false" customHeight="false" outlineLevel="0" collapsed="false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104</v>
      </c>
      <c r="F1" s="1" t="s">
        <v>121</v>
      </c>
      <c r="G1" s="1" t="s">
        <v>122</v>
      </c>
      <c r="H1" s="1" t="s">
        <v>123</v>
      </c>
      <c r="I1" s="1" t="s">
        <v>124</v>
      </c>
    </row>
    <row r="2" customFormat="false" ht="15" hidden="false" customHeight="false" outlineLevel="0" collapsed="false">
      <c r="A2" s="2" t="s">
        <v>125</v>
      </c>
      <c r="B2" s="10" t="n">
        <v>60500</v>
      </c>
      <c r="C2" s="5" t="n">
        <v>0.47</v>
      </c>
      <c r="D2" s="2" t="n">
        <v>1</v>
      </c>
      <c r="E2" s="5" t="n">
        <f aca="false">C2/0.015</f>
        <v>31.3333333333333</v>
      </c>
      <c r="F2" s="5" t="n">
        <f aca="false">C2/0.02</f>
        <v>23.5</v>
      </c>
      <c r="G2" s="2" t="s">
        <v>126</v>
      </c>
      <c r="H2" s="2" t="s">
        <v>127</v>
      </c>
      <c r="I2" s="4" t="s">
        <v>128</v>
      </c>
    </row>
    <row r="3" customFormat="false" ht="15" hidden="false" customHeight="false" outlineLevel="0" collapsed="false">
      <c r="A3" s="2" t="s">
        <v>129</v>
      </c>
      <c r="B3" s="10" t="n">
        <v>49500</v>
      </c>
      <c r="C3" s="5" t="n">
        <v>0.45</v>
      </c>
      <c r="D3" s="2" t="n">
        <v>1</v>
      </c>
      <c r="E3" s="5" t="n">
        <f aca="false">C3/0.015</f>
        <v>30</v>
      </c>
      <c r="F3" s="5" t="n">
        <f aca="false">C3/0.02</f>
        <v>22.5</v>
      </c>
      <c r="G3" s="2" t="s">
        <v>130</v>
      </c>
      <c r="H3" s="2" t="s">
        <v>131</v>
      </c>
      <c r="I3" s="3" t="s">
        <v>132</v>
      </c>
    </row>
    <row r="4" customFormat="false" ht="15" hidden="false" customHeight="false" outlineLevel="0" collapsed="false">
      <c r="A4" s="2" t="s">
        <v>133</v>
      </c>
      <c r="B4" s="10" t="n">
        <v>14800</v>
      </c>
      <c r="C4" s="5" t="n">
        <v>0.46</v>
      </c>
      <c r="D4" s="2" t="n">
        <v>1</v>
      </c>
      <c r="E4" s="5" t="n">
        <f aca="false">C4/0.015</f>
        <v>30.6666666666667</v>
      </c>
      <c r="F4" s="5" t="n">
        <f aca="false">C4/0.02</f>
        <v>23</v>
      </c>
      <c r="G4" s="2" t="s">
        <v>134</v>
      </c>
      <c r="H4" s="2" t="s">
        <v>135</v>
      </c>
      <c r="I4" s="11" t="s">
        <v>136</v>
      </c>
    </row>
    <row r="5" customFormat="false" ht="15" hidden="false" customHeight="false" outlineLevel="0" collapsed="false">
      <c r="A5" s="2" t="s">
        <v>137</v>
      </c>
      <c r="B5" s="10" t="n">
        <v>9900</v>
      </c>
      <c r="C5" s="5" t="n">
        <v>0.39</v>
      </c>
      <c r="D5" s="2" t="n">
        <v>1</v>
      </c>
      <c r="E5" s="5" t="n">
        <f aca="false">C5/0.015</f>
        <v>26</v>
      </c>
      <c r="F5" s="5" t="n">
        <f aca="false">C5/0.02</f>
        <v>19.5</v>
      </c>
      <c r="G5" s="2" t="s">
        <v>138</v>
      </c>
      <c r="H5" s="2" t="s">
        <v>139</v>
      </c>
      <c r="I5" s="11" t="s">
        <v>136</v>
      </c>
    </row>
    <row r="6" customFormat="false" ht="15" hidden="false" customHeight="false" outlineLevel="0" collapsed="false">
      <c r="A6" s="2" t="s">
        <v>140</v>
      </c>
      <c r="B6" s="10" t="n">
        <v>8100</v>
      </c>
      <c r="C6" s="5" t="n">
        <v>0.46</v>
      </c>
      <c r="D6" s="2" t="n">
        <v>0.99</v>
      </c>
      <c r="E6" s="5" t="n">
        <f aca="false">C6/0.015</f>
        <v>30.6666666666667</v>
      </c>
      <c r="F6" s="5" t="n">
        <f aca="false">C6/0.02</f>
        <v>23</v>
      </c>
      <c r="G6" s="2" t="s">
        <v>141</v>
      </c>
      <c r="H6" s="2" t="s">
        <v>108</v>
      </c>
      <c r="I6" s="4" t="s">
        <v>142</v>
      </c>
    </row>
    <row r="7" customFormat="false" ht="15" hidden="false" customHeight="false" outlineLevel="0" collapsed="false">
      <c r="A7" s="2" t="s">
        <v>143</v>
      </c>
      <c r="B7" s="10" t="n">
        <v>1900</v>
      </c>
      <c r="C7" s="5" t="n">
        <v>0.89</v>
      </c>
      <c r="D7" s="2" t="n">
        <v>1</v>
      </c>
      <c r="E7" s="5" t="n">
        <f aca="false">C7/0.015</f>
        <v>59.3333333333333</v>
      </c>
      <c r="F7" s="5" t="n">
        <f aca="false">C7/0.02</f>
        <v>44.5</v>
      </c>
      <c r="G7" s="2" t="s">
        <v>144</v>
      </c>
      <c r="H7" s="2" t="s">
        <v>135</v>
      </c>
      <c r="I7" s="11" t="s">
        <v>145</v>
      </c>
    </row>
    <row r="8" customFormat="false" ht="15" hidden="false" customHeight="false" outlineLevel="0" collapsed="false">
      <c r="A8" s="2" t="s">
        <v>146</v>
      </c>
      <c r="B8" s="10" t="n">
        <v>1600</v>
      </c>
      <c r="C8" s="5" t="n">
        <v>0.43</v>
      </c>
      <c r="D8" s="2" t="n">
        <v>1</v>
      </c>
      <c r="E8" s="5" t="n">
        <f aca="false">C8/0.015</f>
        <v>28.6666666666667</v>
      </c>
      <c r="F8" s="5" t="n">
        <f aca="false">C8/0.02</f>
        <v>21.5</v>
      </c>
      <c r="G8" s="2" t="s">
        <v>147</v>
      </c>
      <c r="H8" s="2" t="s">
        <v>135</v>
      </c>
      <c r="I8" s="11" t="s">
        <v>145</v>
      </c>
    </row>
    <row r="9" customFormat="false" ht="15" hidden="false" customHeight="false" outlineLevel="0" collapsed="false">
      <c r="A9" s="2" t="s">
        <v>148</v>
      </c>
      <c r="B9" s="10" t="n">
        <v>1000</v>
      </c>
      <c r="C9" s="5" t="n">
        <v>0.39</v>
      </c>
      <c r="D9" s="2" t="n">
        <v>1</v>
      </c>
      <c r="E9" s="5" t="n">
        <f aca="false">C9/0.015</f>
        <v>26</v>
      </c>
      <c r="F9" s="5" t="n">
        <f aca="false">C9/0.02</f>
        <v>19.5</v>
      </c>
      <c r="G9" s="2" t="s">
        <v>149</v>
      </c>
      <c r="H9" s="2" t="s">
        <v>135</v>
      </c>
      <c r="I9" s="4" t="s">
        <v>150</v>
      </c>
    </row>
    <row r="10" customFormat="false" ht="15" hidden="false" customHeight="false" outlineLevel="0" collapsed="false">
      <c r="A10" s="2" t="s">
        <v>151</v>
      </c>
      <c r="B10" s="10" t="n">
        <v>720</v>
      </c>
      <c r="C10" s="5" t="n">
        <v>0.56</v>
      </c>
      <c r="D10" s="2" t="n">
        <v>1</v>
      </c>
      <c r="E10" s="5" t="n">
        <f aca="false">C10/0.015</f>
        <v>37.3333333333333</v>
      </c>
      <c r="F10" s="5" t="n">
        <f aca="false">C10/0.02</f>
        <v>28</v>
      </c>
      <c r="G10" s="2" t="s">
        <v>152</v>
      </c>
      <c r="H10" s="2" t="s">
        <v>127</v>
      </c>
      <c r="I10" s="4" t="s">
        <v>150</v>
      </c>
    </row>
    <row r="11" customFormat="false" ht="15" hidden="false" customHeight="false" outlineLevel="0" collapsed="false">
      <c r="A11" s="2" t="s">
        <v>153</v>
      </c>
      <c r="B11" s="10" t="n">
        <v>480</v>
      </c>
      <c r="C11" s="5" t="n">
        <v>0.8</v>
      </c>
      <c r="D11" s="2" t="n">
        <v>1</v>
      </c>
      <c r="E11" s="5" t="n">
        <f aca="false">C11/0.015</f>
        <v>53.3333333333333</v>
      </c>
      <c r="F11" s="5" t="n">
        <f aca="false">C11/0.02</f>
        <v>40</v>
      </c>
      <c r="G11" s="2" t="s">
        <v>154</v>
      </c>
      <c r="H11" s="2" t="s">
        <v>127</v>
      </c>
      <c r="I11" s="11" t="s">
        <v>145</v>
      </c>
    </row>
    <row r="12" customFormat="false" ht="15" hidden="false" customHeight="false" outlineLevel="0" collapsed="false">
      <c r="A12" s="2" t="s">
        <v>155</v>
      </c>
      <c r="B12" s="10" t="n">
        <v>170</v>
      </c>
      <c r="C12" s="5" t="n">
        <v>0.48</v>
      </c>
      <c r="D12" s="2" t="n">
        <v>0.99</v>
      </c>
      <c r="E12" s="5" t="n">
        <f aca="false">C12/0.015</f>
        <v>32</v>
      </c>
      <c r="F12" s="5" t="n">
        <f aca="false">C12/0.02</f>
        <v>24</v>
      </c>
      <c r="G12" s="2" t="s">
        <v>156</v>
      </c>
      <c r="H12" s="2" t="s">
        <v>157</v>
      </c>
      <c r="I12" s="4" t="s">
        <v>158</v>
      </c>
    </row>
    <row r="13" customFormat="false" ht="15" hidden="false" customHeight="false" outlineLevel="0" collapsed="false">
      <c r="A13" s="2" t="s">
        <v>159</v>
      </c>
      <c r="B13" s="10" t="n">
        <v>170</v>
      </c>
      <c r="C13" s="5" t="n">
        <v>0.53</v>
      </c>
      <c r="D13" s="2" t="n">
        <v>0.99</v>
      </c>
      <c r="E13" s="5" t="n">
        <f aca="false">C13/0.015</f>
        <v>35.3333333333333</v>
      </c>
      <c r="F13" s="5" t="n">
        <f aca="false">C13/0.02</f>
        <v>26.5</v>
      </c>
      <c r="G13" s="2" t="s">
        <v>160</v>
      </c>
      <c r="H13" s="2" t="s">
        <v>157</v>
      </c>
      <c r="I13" s="4" t="s">
        <v>158</v>
      </c>
    </row>
    <row r="14" customFormat="false" ht="15" hidden="false" customHeight="false" outlineLevel="0" collapsed="false">
      <c r="A14" s="2" t="s">
        <v>161</v>
      </c>
      <c r="B14" s="10" t="n">
        <v>140</v>
      </c>
      <c r="C14" s="5" t="n">
        <v>0.65</v>
      </c>
      <c r="D14" s="2" t="n">
        <v>1</v>
      </c>
      <c r="E14" s="5" t="n">
        <f aca="false">C14/0.015</f>
        <v>43.3333333333333</v>
      </c>
      <c r="F14" s="5" t="n">
        <f aca="false">C14/0.02</f>
        <v>32.5</v>
      </c>
      <c r="G14" s="2" t="s">
        <v>162</v>
      </c>
      <c r="H14" s="2" t="s">
        <v>135</v>
      </c>
      <c r="I14" s="3" t="s">
        <v>163</v>
      </c>
    </row>
    <row r="15" customFormat="false" ht="15" hidden="false" customHeight="false" outlineLevel="0" collapsed="false">
      <c r="A15" s="2" t="s">
        <v>164</v>
      </c>
      <c r="B15" s="10" t="n">
        <v>110</v>
      </c>
      <c r="C15" s="5" t="n">
        <v>0.39</v>
      </c>
      <c r="D15" s="2" t="n">
        <v>0.91</v>
      </c>
      <c r="E15" s="5" t="n">
        <f aca="false">C15/0.015</f>
        <v>26</v>
      </c>
      <c r="F15" s="5" t="n">
        <f aca="false">C15/0.02</f>
        <v>19.5</v>
      </c>
      <c r="G15" s="2" t="s">
        <v>147</v>
      </c>
      <c r="H15" s="2" t="s">
        <v>157</v>
      </c>
      <c r="I15" s="4" t="s">
        <v>158</v>
      </c>
    </row>
    <row r="16" customFormat="false" ht="15" hidden="false" customHeight="false" outlineLevel="0" collapsed="false">
      <c r="A16" s="2" t="s">
        <v>165</v>
      </c>
      <c r="B16" s="10" t="n">
        <v>110</v>
      </c>
      <c r="C16" s="5" t="n">
        <v>0.37</v>
      </c>
      <c r="D16" s="2" t="n">
        <v>1</v>
      </c>
      <c r="E16" s="5" t="n">
        <f aca="false">C16/0.015</f>
        <v>24.6666666666667</v>
      </c>
      <c r="F16" s="5" t="n">
        <f aca="false">C16/0.02</f>
        <v>18.5</v>
      </c>
      <c r="G16" s="2" t="s">
        <v>147</v>
      </c>
      <c r="H16" s="2" t="s">
        <v>157</v>
      </c>
      <c r="I16" s="11" t="s">
        <v>145</v>
      </c>
    </row>
    <row r="17" customFormat="false" ht="15" hidden="false" customHeight="false" outlineLevel="0" collapsed="false">
      <c r="A17" s="2" t="s">
        <v>166</v>
      </c>
      <c r="B17" s="10" t="n">
        <v>70</v>
      </c>
      <c r="C17" s="5" t="n">
        <v>0.22</v>
      </c>
      <c r="D17" s="2" t="n">
        <v>1</v>
      </c>
      <c r="E17" s="5" t="n">
        <f aca="false">C17/0.015</f>
        <v>14.6666666666667</v>
      </c>
      <c r="F17" s="5" t="n">
        <f aca="false">C17/0.02</f>
        <v>11</v>
      </c>
      <c r="G17" s="2" t="s">
        <v>156</v>
      </c>
      <c r="H17" s="2" t="s">
        <v>108</v>
      </c>
      <c r="I17" s="3" t="s">
        <v>167</v>
      </c>
    </row>
    <row r="18" customFormat="false" ht="15" hidden="false" customHeight="false" outlineLevel="0" collapsed="false">
      <c r="A18" s="2" t="s">
        <v>168</v>
      </c>
      <c r="B18" s="10" t="n">
        <v>70</v>
      </c>
      <c r="C18" s="5" t="n">
        <v>0.36</v>
      </c>
      <c r="D18" s="2" t="n">
        <v>0.92</v>
      </c>
      <c r="E18" s="5" t="n">
        <f aca="false">C18/0.015</f>
        <v>24</v>
      </c>
      <c r="F18" s="5" t="n">
        <f aca="false">C18/0.02</f>
        <v>18</v>
      </c>
      <c r="G18" s="2" t="s">
        <v>169</v>
      </c>
      <c r="H18" s="2" t="s">
        <v>157</v>
      </c>
      <c r="I18" s="3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9" min="5" style="0" width="10"/>
    <col collapsed="false" customWidth="true" hidden="false" outlineLevel="0" max="10" min="10" style="0" width="16"/>
    <col collapsed="false" customWidth="true" hidden="false" outlineLevel="0" max="11" min="11" style="0" width="35"/>
    <col collapsed="false" customWidth="true" hidden="false" outlineLevel="0" max="12" min="12" style="0" width="6"/>
  </cols>
  <sheetData>
    <row r="1" customFormat="false" ht="26.85" hidden="false" customHeight="false" outlineLevel="0" collapsed="false">
      <c r="A1" s="1" t="s">
        <v>92</v>
      </c>
      <c r="B1" s="1" t="s">
        <v>170</v>
      </c>
      <c r="C1" s="1" t="s">
        <v>6</v>
      </c>
      <c r="D1" s="1" t="s">
        <v>8</v>
      </c>
      <c r="E1" s="1" t="s">
        <v>93</v>
      </c>
      <c r="F1" s="1" t="s">
        <v>171</v>
      </c>
      <c r="G1" s="1" t="s">
        <v>100</v>
      </c>
      <c r="H1" s="1" t="s">
        <v>172</v>
      </c>
      <c r="I1" s="1" t="s">
        <v>173</v>
      </c>
      <c r="J1" s="1" t="s">
        <v>174</v>
      </c>
      <c r="K1" s="1" t="s">
        <v>107</v>
      </c>
      <c r="L1" s="1" t="s">
        <v>175</v>
      </c>
    </row>
    <row r="2" customFormat="false" ht="15" hidden="false" customHeight="false" outlineLevel="0" collapsed="false">
      <c r="A2" s="2" t="s">
        <v>115</v>
      </c>
      <c r="B2" s="2" t="s">
        <v>176</v>
      </c>
      <c r="C2" s="2" t="s">
        <v>116</v>
      </c>
      <c r="D2" s="2" t="s">
        <v>28</v>
      </c>
      <c r="E2" s="2" t="n">
        <v>19.54</v>
      </c>
      <c r="F2" s="2" t="n">
        <v>39.99</v>
      </c>
      <c r="G2" s="2" t="n">
        <v>16.2</v>
      </c>
      <c r="H2" s="2" t="s">
        <v>177</v>
      </c>
      <c r="I2" s="2" t="s">
        <v>65</v>
      </c>
      <c r="J2" s="2" t="s">
        <v>178</v>
      </c>
      <c r="K2" s="4" t="s">
        <v>179</v>
      </c>
      <c r="L2" s="2" t="n">
        <v>1</v>
      </c>
    </row>
    <row r="3" customFormat="false" ht="15" hidden="false" customHeight="false" outlineLevel="0" collapsed="false">
      <c r="A3" s="2" t="s">
        <v>114</v>
      </c>
      <c r="B3" s="2" t="s">
        <v>180</v>
      </c>
      <c r="C3" s="2" t="s">
        <v>57</v>
      </c>
      <c r="D3" s="2" t="s">
        <v>28</v>
      </c>
      <c r="E3" s="2" t="n">
        <v>29.31</v>
      </c>
      <c r="F3" s="2" t="n">
        <v>59.99</v>
      </c>
      <c r="G3" s="2" t="n">
        <v>24.53</v>
      </c>
      <c r="H3" s="2" t="s">
        <v>181</v>
      </c>
      <c r="I3" s="2" t="s">
        <v>65</v>
      </c>
      <c r="J3" s="2" t="s">
        <v>182</v>
      </c>
      <c r="K3" s="4" t="s">
        <v>179</v>
      </c>
      <c r="L3" s="2" t="n">
        <v>2</v>
      </c>
    </row>
    <row r="4" customFormat="false" ht="15" hidden="false" customHeight="false" outlineLevel="0" collapsed="false">
      <c r="A4" s="2" t="s">
        <v>113</v>
      </c>
      <c r="B4" s="2" t="s">
        <v>183</v>
      </c>
      <c r="C4" s="2" t="s">
        <v>57</v>
      </c>
      <c r="D4" s="2" t="s">
        <v>28</v>
      </c>
      <c r="E4" s="2" t="n">
        <v>45.35</v>
      </c>
      <c r="F4" s="2" t="n">
        <v>74.99</v>
      </c>
      <c r="G4" s="2" t="n">
        <v>22.07</v>
      </c>
      <c r="H4" s="2" t="s">
        <v>184</v>
      </c>
      <c r="I4" s="2" t="s">
        <v>65</v>
      </c>
      <c r="J4" s="2" t="s">
        <v>185</v>
      </c>
      <c r="K4" s="4" t="s">
        <v>179</v>
      </c>
      <c r="L4" s="2" t="n">
        <v>3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customFormat="false" ht="15" hidden="false" customHeight="false" outlineLevel="0" collapsed="false">
      <c r="A6" s="2" t="s">
        <v>186</v>
      </c>
      <c r="B6" s="2" t="s">
        <v>187</v>
      </c>
      <c r="C6" s="2" t="s">
        <v>57</v>
      </c>
      <c r="D6" s="2" t="s">
        <v>28</v>
      </c>
      <c r="E6" s="2" t="n">
        <v>57.07</v>
      </c>
      <c r="F6" s="2" t="n">
        <v>89.99</v>
      </c>
      <c r="G6" s="2" t="n">
        <v>19.15</v>
      </c>
      <c r="H6" s="2" t="s">
        <v>188</v>
      </c>
      <c r="I6" s="2" t="s">
        <v>65</v>
      </c>
      <c r="J6" s="2" t="s">
        <v>189</v>
      </c>
      <c r="K6" s="4" t="s">
        <v>190</v>
      </c>
      <c r="L6" s="2" t="n">
        <v>4</v>
      </c>
    </row>
    <row r="7" customFormat="false" ht="15" hidden="false" customHeight="false" outlineLevel="0" collapsed="false">
      <c r="A7" s="2" t="s">
        <v>191</v>
      </c>
      <c r="B7" s="2" t="s">
        <v>187</v>
      </c>
      <c r="C7" s="2" t="s">
        <v>82</v>
      </c>
      <c r="D7" s="2" t="s">
        <v>73</v>
      </c>
      <c r="E7" s="2" t="n">
        <v>24.72</v>
      </c>
      <c r="F7" s="2" t="n">
        <v>59.99</v>
      </c>
      <c r="G7" s="2"/>
      <c r="H7" s="2"/>
      <c r="I7" s="2" t="s">
        <v>65</v>
      </c>
      <c r="J7" s="2" t="s">
        <v>192</v>
      </c>
      <c r="K7" s="12" t="s">
        <v>193</v>
      </c>
      <c r="L7" s="2" t="n">
        <v>6</v>
      </c>
    </row>
    <row r="8" customFormat="false" ht="15" hidden="false" customHeight="false" outlineLevel="0" collapsed="false">
      <c r="A8" s="2" t="s">
        <v>194</v>
      </c>
      <c r="B8" s="2" t="s">
        <v>187</v>
      </c>
      <c r="C8" s="2" t="s">
        <v>72</v>
      </c>
      <c r="D8" s="2" t="s">
        <v>73</v>
      </c>
      <c r="E8" s="2" t="n">
        <v>39.73</v>
      </c>
      <c r="F8" s="2" t="n">
        <v>79.99</v>
      </c>
      <c r="G8" s="2"/>
      <c r="H8" s="2"/>
      <c r="I8" s="2" t="s">
        <v>65</v>
      </c>
      <c r="J8" s="2" t="s">
        <v>195</v>
      </c>
      <c r="K8" s="12" t="s">
        <v>196</v>
      </c>
      <c r="L8" s="2" t="n">
        <v>7</v>
      </c>
    </row>
    <row r="9" customFormat="false" ht="15" hidden="false" customHeight="false" outlineLevel="0" collapsed="false">
      <c r="A9" s="2" t="s">
        <v>197</v>
      </c>
      <c r="B9" s="2" t="s">
        <v>187</v>
      </c>
      <c r="C9" s="2" t="s">
        <v>72</v>
      </c>
      <c r="D9" s="2" t="s">
        <v>73</v>
      </c>
      <c r="E9" s="2" t="n">
        <v>54.89</v>
      </c>
      <c r="F9" s="2" t="n">
        <v>89.99</v>
      </c>
      <c r="G9" s="2"/>
      <c r="H9" s="2"/>
      <c r="I9" s="2" t="s">
        <v>65</v>
      </c>
      <c r="J9" s="2" t="s">
        <v>198</v>
      </c>
      <c r="K9" s="12" t="s">
        <v>199</v>
      </c>
      <c r="L9" s="2" t="n">
        <v>8</v>
      </c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customFormat="false" ht="15" hidden="false" customHeight="false" outlineLevel="0" collapsed="false">
      <c r="A11" s="2" t="s">
        <v>200</v>
      </c>
      <c r="B11" s="2" t="s">
        <v>187</v>
      </c>
      <c r="C11" s="2" t="s">
        <v>27</v>
      </c>
      <c r="D11" s="2" t="s">
        <v>28</v>
      </c>
      <c r="E11" s="2" t="n">
        <v>48.92</v>
      </c>
      <c r="F11" s="2" t="n">
        <v>99.99</v>
      </c>
      <c r="G11" s="2"/>
      <c r="H11" s="2"/>
      <c r="I11" s="2" t="s">
        <v>201</v>
      </c>
      <c r="J11" s="2" t="s">
        <v>195</v>
      </c>
      <c r="K11" s="3" t="s">
        <v>202</v>
      </c>
      <c r="L11" s="2" t="n">
        <v>9</v>
      </c>
    </row>
    <row r="12" customFormat="false" ht="15" hidden="false" customHeight="false" outlineLevel="0" collapsed="false">
      <c r="A12" s="2" t="s">
        <v>203</v>
      </c>
      <c r="B12" s="2" t="s">
        <v>187</v>
      </c>
      <c r="C12" s="2" t="s">
        <v>204</v>
      </c>
      <c r="D12" s="2" t="s">
        <v>28</v>
      </c>
      <c r="E12" s="2" t="n">
        <v>45.63</v>
      </c>
      <c r="F12" s="2" t="s">
        <v>40</v>
      </c>
      <c r="G12" s="2" t="s">
        <v>40</v>
      </c>
      <c r="H12" s="2" t="s">
        <v>40</v>
      </c>
      <c r="I12" s="2" t="s">
        <v>205</v>
      </c>
      <c r="J12" s="2" t="s">
        <v>178</v>
      </c>
      <c r="K12" s="3" t="s">
        <v>206</v>
      </c>
      <c r="L12" s="2" t="n">
        <v>10</v>
      </c>
    </row>
    <row r="13" customFormat="false" ht="15" hidden="false" customHeight="false" outlineLevel="0" collapsed="false">
      <c r="A13" s="2" t="s">
        <v>207</v>
      </c>
      <c r="B13" s="2" t="s">
        <v>187</v>
      </c>
      <c r="C13" s="2" t="s">
        <v>49</v>
      </c>
      <c r="D13" s="2" t="s">
        <v>28</v>
      </c>
      <c r="E13" s="2" t="n">
        <v>108.9</v>
      </c>
      <c r="F13" s="2" t="s">
        <v>40</v>
      </c>
      <c r="G13" s="2" t="s">
        <v>40</v>
      </c>
      <c r="H13" s="2" t="s">
        <v>40</v>
      </c>
      <c r="I13" s="2" t="s">
        <v>201</v>
      </c>
      <c r="J13" s="2" t="s">
        <v>178</v>
      </c>
      <c r="K13" s="3" t="s">
        <v>208</v>
      </c>
      <c r="L13" s="2" t="n">
        <v>11</v>
      </c>
    </row>
    <row r="14" customFormat="false" ht="15" hidden="false" customHeight="false" outlineLevel="0" collapsed="false">
      <c r="A14" s="2" t="s">
        <v>209</v>
      </c>
      <c r="B14" s="2" t="s">
        <v>187</v>
      </c>
      <c r="C14" s="2" t="s">
        <v>57</v>
      </c>
      <c r="D14" s="2" t="s">
        <v>28</v>
      </c>
      <c r="E14" s="2" t="n">
        <v>42.14</v>
      </c>
      <c r="F14" s="2" t="n">
        <v>79.99</v>
      </c>
      <c r="G14" s="2"/>
      <c r="H14" s="2"/>
      <c r="I14" s="2" t="s">
        <v>210</v>
      </c>
      <c r="J14" s="2" t="s">
        <v>178</v>
      </c>
      <c r="K14" s="3" t="s">
        <v>211</v>
      </c>
      <c r="L14" s="2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90"/>
  </cols>
  <sheetData>
    <row r="1" customFormat="false" ht="17.35" hidden="false" customHeight="true" outlineLevel="0" collapsed="false">
      <c r="A1" s="13" t="s">
        <v>212</v>
      </c>
      <c r="B1" s="13"/>
      <c r="C1" s="13"/>
      <c r="D1" s="13"/>
      <c r="E1" s="13"/>
      <c r="F1" s="13"/>
    </row>
    <row r="2" customFormat="false" ht="15" hidden="false" customHeight="false" outlineLevel="0" collapsed="false">
      <c r="A2" s="14"/>
      <c r="B2" s="15"/>
    </row>
    <row r="3" customFormat="false" ht="15" hidden="false" customHeight="false" outlineLevel="0" collapsed="false">
      <c r="A3" s="16" t="s">
        <v>213</v>
      </c>
      <c r="B3" s="17"/>
    </row>
    <row r="4" customFormat="false" ht="15" hidden="false" customHeight="false" outlineLevel="0" collapsed="false">
      <c r="A4" s="14" t="s">
        <v>214</v>
      </c>
      <c r="B4" s="15" t="s">
        <v>215</v>
      </c>
    </row>
    <row r="5" customFormat="false" ht="15" hidden="false" customHeight="false" outlineLevel="0" collapsed="false">
      <c r="A5" s="14" t="s">
        <v>216</v>
      </c>
      <c r="B5" s="15" t="s">
        <v>217</v>
      </c>
    </row>
    <row r="6" customFormat="false" ht="15" hidden="false" customHeight="false" outlineLevel="0" collapsed="false">
      <c r="A6" s="14" t="s">
        <v>218</v>
      </c>
      <c r="B6" s="15" t="s">
        <v>219</v>
      </c>
    </row>
    <row r="7" customFormat="false" ht="15" hidden="false" customHeight="false" outlineLevel="0" collapsed="false">
      <c r="A7" s="14" t="s">
        <v>220</v>
      </c>
      <c r="B7" s="15" t="s">
        <v>221</v>
      </c>
    </row>
    <row r="8" customFormat="false" ht="15" hidden="false" customHeight="false" outlineLevel="0" collapsed="false">
      <c r="A8" s="14" t="s">
        <v>222</v>
      </c>
      <c r="B8" s="15" t="s">
        <v>223</v>
      </c>
    </row>
    <row r="9" customFormat="false" ht="15" hidden="false" customHeight="false" outlineLevel="0" collapsed="false">
      <c r="A9" s="14"/>
      <c r="B9" s="15"/>
    </row>
    <row r="10" customFormat="false" ht="15" hidden="false" customHeight="false" outlineLevel="0" collapsed="false">
      <c r="A10" s="16" t="s">
        <v>224</v>
      </c>
      <c r="B10" s="17"/>
    </row>
    <row r="11" customFormat="false" ht="23.85" hidden="false" customHeight="false" outlineLevel="0" collapsed="false">
      <c r="A11" s="14" t="s">
        <v>225</v>
      </c>
      <c r="B11" s="15" t="s">
        <v>226</v>
      </c>
    </row>
    <row r="12" customFormat="false" ht="23.85" hidden="false" customHeight="false" outlineLevel="0" collapsed="false">
      <c r="A12" s="14" t="s">
        <v>227</v>
      </c>
      <c r="B12" s="15" t="s">
        <v>228</v>
      </c>
    </row>
    <row r="13" customFormat="false" ht="23.85" hidden="false" customHeight="false" outlineLevel="0" collapsed="false">
      <c r="A13" s="14" t="s">
        <v>229</v>
      </c>
      <c r="B13" s="15" t="s">
        <v>230</v>
      </c>
    </row>
    <row r="14" customFormat="false" ht="23.85" hidden="false" customHeight="false" outlineLevel="0" collapsed="false">
      <c r="A14" s="14" t="s">
        <v>231</v>
      </c>
      <c r="B14" s="15" t="s">
        <v>232</v>
      </c>
    </row>
    <row r="15" customFormat="false" ht="23.85" hidden="false" customHeight="false" outlineLevel="0" collapsed="false">
      <c r="A15" s="14" t="s">
        <v>233</v>
      </c>
      <c r="B15" s="15" t="s">
        <v>234</v>
      </c>
    </row>
    <row r="16" customFormat="false" ht="23.85" hidden="false" customHeight="false" outlineLevel="0" collapsed="false">
      <c r="A16" s="14" t="s">
        <v>235</v>
      </c>
      <c r="B16" s="15" t="s">
        <v>236</v>
      </c>
    </row>
    <row r="17" customFormat="false" ht="15" hidden="false" customHeight="false" outlineLevel="0" collapsed="false">
      <c r="A17" s="14"/>
      <c r="B17" s="15"/>
    </row>
    <row r="18" customFormat="false" ht="15" hidden="false" customHeight="false" outlineLevel="0" collapsed="false">
      <c r="A18" s="16" t="s">
        <v>237</v>
      </c>
      <c r="B18" s="17"/>
    </row>
    <row r="19" customFormat="false" ht="23.85" hidden="false" customHeight="false" outlineLevel="0" collapsed="false">
      <c r="A19" s="18" t="s">
        <v>238</v>
      </c>
      <c r="B19" s="15" t="s">
        <v>239</v>
      </c>
    </row>
    <row r="20" customFormat="false" ht="23.85" hidden="false" customHeight="false" outlineLevel="0" collapsed="false">
      <c r="A20" s="19" t="s">
        <v>240</v>
      </c>
      <c r="B20" s="15" t="s">
        <v>241</v>
      </c>
    </row>
    <row r="21" customFormat="false" ht="15" hidden="false" customHeight="false" outlineLevel="0" collapsed="false">
      <c r="A21" s="20" t="s">
        <v>242</v>
      </c>
      <c r="B21" s="15" t="s">
        <v>243</v>
      </c>
    </row>
    <row r="22" customFormat="false" ht="15" hidden="false" customHeight="false" outlineLevel="0" collapsed="false">
      <c r="A22" s="14"/>
      <c r="B22" s="15"/>
    </row>
    <row r="23" customFormat="false" ht="26.85" hidden="false" customHeight="false" outlineLevel="0" collapsed="false">
      <c r="A23" s="16" t="s">
        <v>244</v>
      </c>
      <c r="B23" s="17"/>
    </row>
    <row r="24" customFormat="false" ht="15" hidden="false" customHeight="false" outlineLevel="0" collapsed="false">
      <c r="A24" s="14" t="s">
        <v>245</v>
      </c>
      <c r="B24" s="15" t="s">
        <v>246</v>
      </c>
    </row>
    <row r="25" customFormat="false" ht="15" hidden="false" customHeight="false" outlineLevel="0" collapsed="false">
      <c r="A25" s="14" t="s">
        <v>247</v>
      </c>
      <c r="B25" s="15" t="s">
        <v>248</v>
      </c>
    </row>
    <row r="26" customFormat="false" ht="15" hidden="false" customHeight="false" outlineLevel="0" collapsed="false">
      <c r="A26" s="14" t="s">
        <v>249</v>
      </c>
      <c r="B26" s="15" t="s">
        <v>250</v>
      </c>
    </row>
    <row r="27" customFormat="false" ht="15" hidden="false" customHeight="false" outlineLevel="0" collapsed="false">
      <c r="A27" s="14" t="s">
        <v>251</v>
      </c>
      <c r="B27" s="15" t="s">
        <v>252</v>
      </c>
    </row>
    <row r="28" customFormat="false" ht="15" hidden="false" customHeight="false" outlineLevel="0" collapsed="false">
      <c r="A28" s="14" t="s">
        <v>253</v>
      </c>
      <c r="B28" s="15" t="s">
        <v>254</v>
      </c>
    </row>
    <row r="29" customFormat="false" ht="15" hidden="false" customHeight="false" outlineLevel="0" collapsed="false">
      <c r="A29" s="14" t="s">
        <v>255</v>
      </c>
      <c r="B29" s="15" t="s">
        <v>256</v>
      </c>
    </row>
    <row r="30" customFormat="false" ht="15" hidden="false" customHeight="false" outlineLevel="0" collapsed="false">
      <c r="A30" s="14" t="s">
        <v>257</v>
      </c>
      <c r="B30" s="15" t="s">
        <v>258</v>
      </c>
    </row>
    <row r="31" customFormat="false" ht="15" hidden="false" customHeight="false" outlineLevel="0" collapsed="false">
      <c r="A31" s="14" t="s">
        <v>259</v>
      </c>
      <c r="B31" s="15" t="s">
        <v>260</v>
      </c>
    </row>
    <row r="32" customFormat="false" ht="15" hidden="false" customHeight="false" outlineLevel="0" collapsed="false">
      <c r="A32" s="14"/>
      <c r="B32" s="15"/>
    </row>
    <row r="33" customFormat="false" ht="15" hidden="false" customHeight="false" outlineLevel="0" collapsed="false">
      <c r="A33" s="16" t="s">
        <v>261</v>
      </c>
      <c r="B33" s="17"/>
    </row>
    <row r="34" customFormat="false" ht="15" hidden="false" customHeight="false" outlineLevel="0" collapsed="false">
      <c r="A34" s="14" t="s">
        <v>262</v>
      </c>
      <c r="B34" s="15" t="s">
        <v>263</v>
      </c>
    </row>
    <row r="35" customFormat="false" ht="15" hidden="false" customHeight="false" outlineLevel="0" collapsed="false">
      <c r="A35" s="14" t="s">
        <v>264</v>
      </c>
      <c r="B35" s="15" t="s">
        <v>265</v>
      </c>
    </row>
    <row r="36" customFormat="false" ht="15" hidden="false" customHeight="false" outlineLevel="0" collapsed="false">
      <c r="A36" s="14" t="s">
        <v>266</v>
      </c>
      <c r="B36" s="15" t="s">
        <v>267</v>
      </c>
    </row>
    <row r="37" customFormat="false" ht="15" hidden="false" customHeight="false" outlineLevel="0" collapsed="false">
      <c r="A37" s="14" t="s">
        <v>268</v>
      </c>
      <c r="B37" s="15" t="s">
        <v>269</v>
      </c>
    </row>
    <row r="38" customFormat="false" ht="15" hidden="false" customHeight="false" outlineLevel="0" collapsed="false">
      <c r="A38" s="14"/>
      <c r="B38" s="15"/>
    </row>
    <row r="39" customFormat="false" ht="15" hidden="false" customHeight="false" outlineLevel="0" collapsed="false">
      <c r="A39" s="16" t="s">
        <v>270</v>
      </c>
      <c r="B39" s="17"/>
    </row>
    <row r="40" customFormat="false" ht="15" hidden="false" customHeight="false" outlineLevel="0" collapsed="false">
      <c r="A40" s="14" t="s">
        <v>271</v>
      </c>
      <c r="B40" s="15" t="s">
        <v>272</v>
      </c>
    </row>
    <row r="41" customFormat="false" ht="15" hidden="false" customHeight="false" outlineLevel="0" collapsed="false">
      <c r="A41" s="14" t="s">
        <v>273</v>
      </c>
      <c r="B41" s="15" t="s">
        <v>274</v>
      </c>
    </row>
    <row r="42" customFormat="false" ht="15" hidden="false" customHeight="false" outlineLevel="0" collapsed="false">
      <c r="A42" s="14" t="s">
        <v>275</v>
      </c>
      <c r="B42" s="15" t="s">
        <v>276</v>
      </c>
    </row>
    <row r="43" customFormat="false" ht="15" hidden="false" customHeight="false" outlineLevel="0" collapsed="false">
      <c r="A43" s="14" t="s">
        <v>277</v>
      </c>
      <c r="B43" s="15" t="s">
        <v>278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2026-02-27T00:12:12Z</dcterms:created>
  <dc:creator>openpyxl</dc:creator>
  <dc:description/>
  <dc:language>en-US</dc:language>
  <cp:lastModifiedBy/>
  <dcterms:modified xsi:type="dcterms:W3CDTF">2026-02-27T00:12:12Z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