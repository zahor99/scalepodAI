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duct Catalog" sheetId="1" state="visible" r:id="rId3"/>
    <sheet name="Panel Specifications" sheetId="2" state="visible" r:id="rId4"/>
    <sheet name="Pricing &amp; Margins" sheetId="3" state="visible" r:id="rId5"/>
  </sheets>
  <definedNames>
    <definedName function="false" hidden="true" localSheetId="1" name="_xlnm._FilterDatabase" vbProcedure="false">'Panel Specifications'!$A$4:$H$89</definedName>
    <definedName function="false" hidden="true" localSheetId="0" name="_xlnm._FilterDatabase" vbProcedure="false">'Product Catalog'!$A$4:$L$22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<sst xmlns="http://schemas.openxmlformats.org/spreadsheetml/2006/main" count="457" uniqueCount="119">
  <si>
    <t xml:space="preserve">New Products Design Specs — Yoycol + Printify Expansion</t>
  </si>
  <si>
    <t xml:space="preserve">Extracted 2026-03-01 | 17 Yoycol + 1 Printify = 18 products | 5 re-scanned with corrected dimensions</t>
  </si>
  <si>
    <t xml:space="preserve">#</t>
  </si>
  <si>
    <t xml:space="preserve">SPU Code</t>
  </si>
  <si>
    <t xml:space="preserve">Product Name</t>
  </si>
  <si>
    <t xml:space="preserve">Supplier</t>
  </si>
  <si>
    <t xml:space="preserve">Category</t>
  </si>
  <si>
    <t xml:space="preserve">Panels</t>
  </si>
  <si>
    <t xml:space="preserve">COGS (Low)</t>
  </si>
  <si>
    <t xml:space="preserve">COGS (High)</t>
  </si>
  <si>
    <t xml:space="preserve">Weight (kg)</t>
  </si>
  <si>
    <t xml:space="preserve">Sizes</t>
  </si>
  <si>
    <t xml:space="preserve">Complexity</t>
  </si>
  <si>
    <t xml:space="preserve">Verified</t>
  </si>
  <si>
    <t xml:space="preserve">3WOCMJ25</t>
  </si>
  <si>
    <t xml:space="preserve">Sleeveless Blazer Style Vest</t>
  </si>
  <si>
    <t xml:space="preserve">Yoycol</t>
  </si>
  <si>
    <t xml:space="preserve">Short Coat</t>
  </si>
  <si>
    <t xml:space="preserve">S–2XL</t>
  </si>
  <si>
    <t xml:space="preserve">Simple</t>
  </si>
  <si>
    <t xml:space="preserve">3WSCDK06</t>
  </si>
  <si>
    <t xml:space="preserve">Short Sweatshirt And Pants Suit</t>
  </si>
  <si>
    <t xml:space="preserve">Casual Sets</t>
  </si>
  <si>
    <t xml:space="preserve">Complex</t>
  </si>
  <si>
    <t xml:space="preserve">3WSCTZ01</t>
  </si>
  <si>
    <t xml:space="preserve">O-neck T-shirt Shorts Suit</t>
  </si>
  <si>
    <t xml:space="preserve">3WSCDD29</t>
  </si>
  <si>
    <t xml:space="preserve">Cami Home Suit With Lace Edge</t>
  </si>
  <si>
    <t xml:space="preserve">3WDSJC66</t>
  </si>
  <si>
    <t xml:space="preserve">Midi Dress</t>
  </si>
  <si>
    <t xml:space="preserve">Dresses</t>
  </si>
  <si>
    <t xml:space="preserve">Highly Complex</t>
  </si>
  <si>
    <t xml:space="preserve">✅ Re-scanned</t>
  </si>
  <si>
    <t xml:space="preserve">3WTXTC40</t>
  </si>
  <si>
    <t xml:space="preserve">Big Bell Sleeve See-Through Dress</t>
  </si>
  <si>
    <t xml:space="preserve">Moderate</t>
  </si>
  <si>
    <t xml:space="preserve">3WDSBQ67</t>
  </si>
  <si>
    <t xml:space="preserve">Long Section Chiffon Skirt</t>
  </si>
  <si>
    <t xml:space="preserve">Skirts</t>
  </si>
  <si>
    <t xml:space="preserve">Easy</t>
  </si>
  <si>
    <t xml:space="preserve">3WDSKC50</t>
  </si>
  <si>
    <t xml:space="preserve">Side Split Skirt</t>
  </si>
  <si>
    <t xml:space="preserve">WEVT</t>
  </si>
  <si>
    <t xml:space="preserve">V-neck Women's T-shirt</t>
  </si>
  <si>
    <t xml:space="preserve">T-shirts</t>
  </si>
  <si>
    <t xml:space="preserve">XS–2XL</t>
  </si>
  <si>
    <t xml:space="preserve">3WTTWX04</t>
  </si>
  <si>
    <t xml:space="preserve">Sleeveless Cropped Top</t>
  </si>
  <si>
    <t xml:space="preserve">Tank Tops &amp; Camis</t>
  </si>
  <si>
    <t xml:space="preserve">3WTTXD41</t>
  </si>
  <si>
    <t xml:space="preserve">Lace Trimmed Tie Back Top</t>
  </si>
  <si>
    <t xml:space="preserve">3WOSCX10</t>
  </si>
  <si>
    <t xml:space="preserve">Long Sleeve Outwear</t>
  </si>
  <si>
    <t xml:space="preserve">3WJMCK26</t>
  </si>
  <si>
    <t xml:space="preserve">Wide Leg Jumpsuit</t>
  </si>
  <si>
    <t xml:space="preserve">Jumpsuits &amp; Rompers</t>
  </si>
  <si>
    <t xml:space="preserve">3WJMDD01</t>
  </si>
  <si>
    <t xml:space="preserve">Loose Cami Jumpsuit</t>
  </si>
  <si>
    <t xml:space="preserve">3WPXZB07</t>
  </si>
  <si>
    <t xml:space="preserve">High Stretch Casual Pants 290GSM</t>
  </si>
  <si>
    <t xml:space="preserve">Casual Pants</t>
  </si>
  <si>
    <t xml:space="preserve">3WTXPC47</t>
  </si>
  <si>
    <t xml:space="preserve">Quarter Zip Sport Shirt Long Sleeve</t>
  </si>
  <si>
    <t xml:space="preserve">3WPXKT19</t>
  </si>
  <si>
    <t xml:space="preserve">High Waist Wide Leg Trousers</t>
  </si>
  <si>
    <t xml:space="preserve">BP 1263</t>
  </si>
  <si>
    <t xml:space="preserve">Women's Long Sleeve Dance Dress (AOP)</t>
  </si>
  <si>
    <t xml:space="preserve">Printify</t>
  </si>
  <si>
    <t xml:space="preserve">Panels TBD</t>
  </si>
  <si>
    <t xml:space="preserve">Panel Specifications — All 18 Products</t>
  </si>
  <si>
    <t xml:space="preserve">Max resolution per panel from Yoycol Design Editor | ✅ = verified via physical click re-scan</t>
  </si>
  <si>
    <t xml:space="preserve">Product #</t>
  </si>
  <si>
    <t xml:space="preserve">Panel #</t>
  </si>
  <si>
    <t xml:space="preserve">Panel Name</t>
  </si>
  <si>
    <t xml:space="preserve">Max Width (px)</t>
  </si>
  <si>
    <t xml:space="preserve">Max Height (px)</t>
  </si>
  <si>
    <t xml:space="preserve">Aspect Ratio</t>
  </si>
  <si>
    <t xml:space="preserve">Front</t>
  </si>
  <si>
    <t xml:space="preserve">Back</t>
  </si>
  <si>
    <t xml:space="preserve">Upper front</t>
  </si>
  <si>
    <t xml:space="preserve">Upper back</t>
  </si>
  <si>
    <t xml:space="preserve">Right sleeve</t>
  </si>
  <si>
    <t xml:space="preserve">Left sleeve</t>
  </si>
  <si>
    <t xml:space="preserve">Collar</t>
  </si>
  <si>
    <t xml:space="preserve">Lower front</t>
  </si>
  <si>
    <t xml:space="preserve">Lower back</t>
  </si>
  <si>
    <t xml:space="preserve">Lace</t>
  </si>
  <si>
    <t xml:space="preserve">Lower right front</t>
  </si>
  <si>
    <t xml:space="preserve">Lower left front</t>
  </si>
  <si>
    <t xml:space="preserve">Lower left back</t>
  </si>
  <si>
    <t xml:space="preserve">Lower right back</t>
  </si>
  <si>
    <t xml:space="preserve">Midi Dress ✅</t>
  </si>
  <si>
    <t xml:space="preserve">Placket</t>
  </si>
  <si>
    <t xml:space="preserve">Right pocket</t>
  </si>
  <si>
    <t xml:space="preserve">Left pocket</t>
  </si>
  <si>
    <t xml:space="preserve">Long Section Chiffon Skirt ✅</t>
  </si>
  <si>
    <t xml:space="preserve">Waistband</t>
  </si>
  <si>
    <t xml:space="preserve">Outer Inside</t>
  </si>
  <si>
    <t xml:space="preserve">Outer Outside</t>
  </si>
  <si>
    <t xml:space="preserve">Inner Inside</t>
  </si>
  <si>
    <t xml:space="preserve">Inner Outside</t>
  </si>
  <si>
    <t xml:space="preserve">Wide Leg Jumpsuit ✅</t>
  </si>
  <si>
    <t xml:space="preserve">Right back</t>
  </si>
  <si>
    <t xml:space="preserve">Left back</t>
  </si>
  <si>
    <t xml:space="preserve">Right pocket bag</t>
  </si>
  <si>
    <t xml:space="preserve">Left pocket bag</t>
  </si>
  <si>
    <t xml:space="preserve">High Stretch Casual Pants 290GSM ✅</t>
  </si>
  <si>
    <t xml:space="preserve">Quarter Zip Sport Shirt ✅</t>
  </si>
  <si>
    <t xml:space="preserve">Pricing Strategy — 50% Perpetual Sale Model</t>
  </si>
  <si>
    <t xml:space="preserve">Shipping ~$9.50 buyer-pays (Yoycol UPS/DHL to US) | Printify prices in CAD</t>
  </si>
  <si>
    <t xml:space="preserve">Suggested Sale Price</t>
  </si>
  <si>
    <t xml:space="preserve">Listed Price (2×)</t>
  </si>
  <si>
    <t xml:space="preserve">Est. Margin %</t>
  </si>
  <si>
    <t xml:space="preserve">COGS Tier</t>
  </si>
  <si>
    <t xml:space="preserve">Premium</t>
  </si>
  <si>
    <t xml:space="preserve">Mid</t>
  </si>
  <si>
    <t xml:space="preserve">Budget</t>
  </si>
  <si>
    <t xml:space="preserve">Quarter Zip Sport Shirt</t>
  </si>
  <si>
    <t xml:space="preserve">Women's Long Sleeve Dance Dress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</si>
</sst>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0.000"/>
    <numFmt numFmtId="167" formatCode="#,##0"/>
    <numFmt numFmtId="168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937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65F4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2937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65F4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65F46"/>
      <rgbColor rgb="FFC0C0C0"/>
      <rgbColor rgb="FF808080"/>
      <rgbColor rgb="FF9999FF"/>
      <rgbColor rgb="FF993366"/>
      <rgbColor rgb="FFFFFFCC"/>
      <rgbColor rgb="FFCCFFFF"/>
      <rgbColor rgb="FF660066"/>
      <rgbColor rgb="FFEC4899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6F1"/>
    <pageSetUpPr fitToPage="false"/>
  </sheetPr>
  <dimension ref="A1:L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9" min="8" style="0" width="14"/>
    <col collapsed="false" customWidth="true" hidden="false" outlineLevel="0" max="10" min="10" style="0" width="9"/>
    <col collapsed="false" customWidth="true" hidden="false" outlineLevel="0" max="11" min="11" style="0" width="17"/>
    <col collapsed="false" customWidth="true" hidden="false" outlineLevel="0" max="12" min="1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</row>
    <row r="5" customFormat="false" ht="15" hidden="false" customHeight="false" outlineLevel="0" collapsed="false">
      <c r="A5" s="4" t="n">
        <v>1</v>
      </c>
      <c r="B5" s="5" t="s">
        <v>14</v>
      </c>
      <c r="C5" s="5" t="s">
        <v>15</v>
      </c>
      <c r="D5" s="5" t="s">
        <v>16</v>
      </c>
      <c r="E5" s="5" t="s">
        <v>17</v>
      </c>
      <c r="F5" s="4" t="n">
        <v>2</v>
      </c>
      <c r="G5" s="6" t="n">
        <v>12.49</v>
      </c>
      <c r="H5" s="6" t="n">
        <v>13.69</v>
      </c>
      <c r="I5" s="7" t="n">
        <v>0.303</v>
      </c>
      <c r="J5" s="5" t="s">
        <v>18</v>
      </c>
      <c r="K5" s="5" t="s">
        <v>19</v>
      </c>
      <c r="L5" s="5"/>
    </row>
    <row r="6" customFormat="false" ht="15" hidden="false" customHeight="false" outlineLevel="0" collapsed="false">
      <c r="A6" s="4" t="n">
        <v>2</v>
      </c>
      <c r="B6" s="5" t="s">
        <v>20</v>
      </c>
      <c r="C6" s="5" t="s">
        <v>21</v>
      </c>
      <c r="D6" s="5" t="s">
        <v>16</v>
      </c>
      <c r="E6" s="5" t="s">
        <v>22</v>
      </c>
      <c r="F6" s="4" t="n">
        <v>7</v>
      </c>
      <c r="G6" s="6" t="n">
        <v>11.69</v>
      </c>
      <c r="H6" s="6" t="n">
        <v>11.69</v>
      </c>
      <c r="I6" s="7" t="n">
        <v>0.37</v>
      </c>
      <c r="J6" s="5" t="s">
        <v>18</v>
      </c>
      <c r="K6" s="5" t="s">
        <v>23</v>
      </c>
      <c r="L6" s="5"/>
    </row>
    <row r="7" customFormat="false" ht="15" hidden="false" customHeight="false" outlineLevel="0" collapsed="false">
      <c r="A7" s="4" t="n">
        <v>3</v>
      </c>
      <c r="B7" s="5" t="s">
        <v>24</v>
      </c>
      <c r="C7" s="5" t="s">
        <v>25</v>
      </c>
      <c r="D7" s="5" t="s">
        <v>16</v>
      </c>
      <c r="E7" s="5" t="s">
        <v>22</v>
      </c>
      <c r="F7" s="4" t="n">
        <v>7</v>
      </c>
      <c r="G7" s="6" t="n">
        <v>13.39</v>
      </c>
      <c r="H7" s="6" t="n">
        <v>14.79</v>
      </c>
      <c r="I7" s="7" t="n">
        <v>0.28</v>
      </c>
      <c r="J7" s="5" t="s">
        <v>18</v>
      </c>
      <c r="K7" s="5" t="s">
        <v>23</v>
      </c>
      <c r="L7" s="5"/>
    </row>
    <row r="8" customFormat="false" ht="15" hidden="false" customHeight="false" outlineLevel="0" collapsed="false">
      <c r="A8" s="4" t="n">
        <v>4</v>
      </c>
      <c r="B8" s="5" t="s">
        <v>26</v>
      </c>
      <c r="C8" s="5" t="s">
        <v>27</v>
      </c>
      <c r="D8" s="5" t="s">
        <v>16</v>
      </c>
      <c r="E8" s="5" t="s">
        <v>22</v>
      </c>
      <c r="F8" s="4" t="n">
        <v>7</v>
      </c>
      <c r="G8" s="6" t="n">
        <v>9.59</v>
      </c>
      <c r="H8" s="6" t="n">
        <v>10.59</v>
      </c>
      <c r="I8" s="7" t="n">
        <v>0.2</v>
      </c>
      <c r="J8" s="5" t="s">
        <v>18</v>
      </c>
      <c r="K8" s="5" t="s">
        <v>23</v>
      </c>
      <c r="L8" s="5"/>
    </row>
    <row r="9" customFormat="false" ht="15" hidden="false" customHeight="false" outlineLevel="0" collapsed="false">
      <c r="A9" s="8" t="n">
        <v>5</v>
      </c>
      <c r="B9" s="9" t="s">
        <v>28</v>
      </c>
      <c r="C9" s="9" t="s">
        <v>29</v>
      </c>
      <c r="D9" s="9" t="s">
        <v>16</v>
      </c>
      <c r="E9" s="9" t="s">
        <v>30</v>
      </c>
      <c r="F9" s="8" t="n">
        <v>10</v>
      </c>
      <c r="G9" s="10" t="n">
        <v>13.59</v>
      </c>
      <c r="H9" s="10" t="n">
        <v>14.89</v>
      </c>
      <c r="I9" s="11" t="n">
        <v>0.52</v>
      </c>
      <c r="J9" s="9" t="s">
        <v>18</v>
      </c>
      <c r="K9" s="9" t="s">
        <v>31</v>
      </c>
      <c r="L9" s="12" t="s">
        <v>32</v>
      </c>
    </row>
    <row r="10" customFormat="false" ht="15" hidden="false" customHeight="false" outlineLevel="0" collapsed="false">
      <c r="A10" s="4" t="n">
        <v>6</v>
      </c>
      <c r="B10" s="5" t="s">
        <v>33</v>
      </c>
      <c r="C10" s="5" t="s">
        <v>34</v>
      </c>
      <c r="D10" s="5" t="s">
        <v>16</v>
      </c>
      <c r="E10" s="5" t="s">
        <v>30</v>
      </c>
      <c r="F10" s="4" t="n">
        <v>4</v>
      </c>
      <c r="G10" s="6" t="n">
        <v>7.69</v>
      </c>
      <c r="H10" s="6" t="n">
        <v>8.39</v>
      </c>
      <c r="I10" s="7" t="n">
        <v>0.116</v>
      </c>
      <c r="J10" s="5" t="s">
        <v>18</v>
      </c>
      <c r="K10" s="5" t="s">
        <v>35</v>
      </c>
      <c r="L10" s="5"/>
    </row>
    <row r="11" customFormat="false" ht="15" hidden="false" customHeight="false" outlineLevel="0" collapsed="false">
      <c r="A11" s="8" t="n">
        <v>7</v>
      </c>
      <c r="B11" s="9" t="s">
        <v>36</v>
      </c>
      <c r="C11" s="9" t="s">
        <v>37</v>
      </c>
      <c r="D11" s="9" t="s">
        <v>16</v>
      </c>
      <c r="E11" s="9" t="s">
        <v>38</v>
      </c>
      <c r="F11" s="8" t="n">
        <v>3</v>
      </c>
      <c r="G11" s="10" t="n">
        <v>7.91</v>
      </c>
      <c r="H11" s="10" t="n">
        <v>7.91</v>
      </c>
      <c r="I11" s="11" t="n">
        <v>0.187</v>
      </c>
      <c r="J11" s="9" t="s">
        <v>18</v>
      </c>
      <c r="K11" s="9" t="s">
        <v>39</v>
      </c>
      <c r="L11" s="12" t="s">
        <v>32</v>
      </c>
    </row>
    <row r="12" customFormat="false" ht="15" hidden="false" customHeight="false" outlineLevel="0" collapsed="false">
      <c r="A12" s="4" t="n">
        <v>8</v>
      </c>
      <c r="B12" s="5" t="s">
        <v>40</v>
      </c>
      <c r="C12" s="5" t="s">
        <v>41</v>
      </c>
      <c r="D12" s="5" t="s">
        <v>16</v>
      </c>
      <c r="E12" s="5" t="s">
        <v>38</v>
      </c>
      <c r="F12" s="4" t="n">
        <v>2</v>
      </c>
      <c r="G12" s="6" t="n">
        <v>9.23</v>
      </c>
      <c r="H12" s="6" t="n">
        <v>9.23</v>
      </c>
      <c r="I12" s="7" t="n">
        <v>0.24</v>
      </c>
      <c r="J12" s="5" t="s">
        <v>18</v>
      </c>
      <c r="K12" s="5" t="s">
        <v>19</v>
      </c>
      <c r="L12" s="5"/>
    </row>
    <row r="13" customFormat="false" ht="15" hidden="false" customHeight="false" outlineLevel="0" collapsed="false">
      <c r="A13" s="4" t="n">
        <v>9</v>
      </c>
      <c r="B13" s="5" t="s">
        <v>42</v>
      </c>
      <c r="C13" s="5" t="s">
        <v>43</v>
      </c>
      <c r="D13" s="5" t="s">
        <v>16</v>
      </c>
      <c r="E13" s="5" t="s">
        <v>44</v>
      </c>
      <c r="F13" s="4" t="n">
        <v>5</v>
      </c>
      <c r="G13" s="6" t="n">
        <v>6.15</v>
      </c>
      <c r="H13" s="6" t="n">
        <v>6.15</v>
      </c>
      <c r="I13" s="7" t="n">
        <v>0.16</v>
      </c>
      <c r="J13" s="5" t="s">
        <v>45</v>
      </c>
      <c r="K13" s="5" t="s">
        <v>35</v>
      </c>
      <c r="L13" s="5"/>
    </row>
    <row r="14" customFormat="false" ht="15" hidden="false" customHeight="false" outlineLevel="0" collapsed="false">
      <c r="A14" s="4" t="n">
        <v>10</v>
      </c>
      <c r="B14" s="5" t="s">
        <v>46</v>
      </c>
      <c r="C14" s="5" t="s">
        <v>47</v>
      </c>
      <c r="D14" s="5" t="s">
        <v>16</v>
      </c>
      <c r="E14" s="5" t="s">
        <v>48</v>
      </c>
      <c r="F14" s="4" t="n">
        <v>2</v>
      </c>
      <c r="G14" s="6" t="n">
        <v>3.99</v>
      </c>
      <c r="H14" s="6" t="n">
        <v>3.99</v>
      </c>
      <c r="I14" s="7" t="n">
        <v>0.135</v>
      </c>
      <c r="J14" s="5" t="s">
        <v>18</v>
      </c>
      <c r="K14" s="5" t="s">
        <v>19</v>
      </c>
      <c r="L14" s="5"/>
    </row>
    <row r="15" customFormat="false" ht="15" hidden="false" customHeight="false" outlineLevel="0" collapsed="false">
      <c r="A15" s="4" t="n">
        <v>11</v>
      </c>
      <c r="B15" s="5" t="s">
        <v>49</v>
      </c>
      <c r="C15" s="5" t="s">
        <v>50</v>
      </c>
      <c r="D15" s="5" t="s">
        <v>16</v>
      </c>
      <c r="E15" s="5" t="s">
        <v>48</v>
      </c>
      <c r="F15" s="4" t="n">
        <v>7</v>
      </c>
      <c r="G15" s="6" t="n">
        <v>6.89</v>
      </c>
      <c r="H15" s="6" t="n">
        <v>6.89</v>
      </c>
      <c r="I15" s="7" t="n">
        <v>0.136</v>
      </c>
      <c r="J15" s="5" t="s">
        <v>18</v>
      </c>
      <c r="K15" s="5" t="s">
        <v>23</v>
      </c>
      <c r="L15" s="5"/>
    </row>
    <row r="16" customFormat="false" ht="15" hidden="false" customHeight="false" outlineLevel="0" collapsed="false">
      <c r="A16" s="4" t="n">
        <v>12</v>
      </c>
      <c r="B16" s="5" t="s">
        <v>51</v>
      </c>
      <c r="C16" s="5" t="s">
        <v>52</v>
      </c>
      <c r="D16" s="5" t="s">
        <v>16</v>
      </c>
      <c r="E16" s="5" t="s">
        <v>17</v>
      </c>
      <c r="F16" s="4" t="n">
        <v>5</v>
      </c>
      <c r="G16" s="6" t="n">
        <v>10.29</v>
      </c>
      <c r="H16" s="6" t="n">
        <v>11.39</v>
      </c>
      <c r="I16" s="7" t="n">
        <v>0.364</v>
      </c>
      <c r="J16" s="5" t="s">
        <v>18</v>
      </c>
      <c r="K16" s="5" t="s">
        <v>35</v>
      </c>
      <c r="L16" s="5"/>
    </row>
    <row r="17" customFormat="false" ht="15" hidden="false" customHeight="false" outlineLevel="0" collapsed="false">
      <c r="A17" s="8" t="n">
        <v>13</v>
      </c>
      <c r="B17" s="9" t="s">
        <v>53</v>
      </c>
      <c r="C17" s="9" t="s">
        <v>54</v>
      </c>
      <c r="D17" s="9" t="s">
        <v>16</v>
      </c>
      <c r="E17" s="9" t="s">
        <v>55</v>
      </c>
      <c r="F17" s="8" t="n">
        <v>6</v>
      </c>
      <c r="G17" s="10" t="n">
        <v>14.09</v>
      </c>
      <c r="H17" s="10" t="n">
        <v>15.49</v>
      </c>
      <c r="I17" s="11" t="n">
        <v>0.275</v>
      </c>
      <c r="J17" s="9" t="s">
        <v>18</v>
      </c>
      <c r="K17" s="9" t="s">
        <v>23</v>
      </c>
      <c r="L17" s="12" t="s">
        <v>32</v>
      </c>
    </row>
    <row r="18" customFormat="false" ht="15" hidden="false" customHeight="false" outlineLevel="0" collapsed="false">
      <c r="A18" s="4" t="n">
        <v>14</v>
      </c>
      <c r="B18" s="5" t="s">
        <v>56</v>
      </c>
      <c r="C18" s="5" t="s">
        <v>57</v>
      </c>
      <c r="D18" s="5" t="s">
        <v>16</v>
      </c>
      <c r="E18" s="5" t="s">
        <v>55</v>
      </c>
      <c r="F18" s="4" t="n">
        <v>5</v>
      </c>
      <c r="G18" s="6" t="n">
        <v>11.76</v>
      </c>
      <c r="H18" s="6" t="n">
        <v>11.76</v>
      </c>
      <c r="I18" s="7" t="n">
        <v>0.4</v>
      </c>
      <c r="J18" s="5" t="s">
        <v>18</v>
      </c>
      <c r="K18" s="5" t="s">
        <v>35</v>
      </c>
      <c r="L18" s="5"/>
    </row>
    <row r="19" customFormat="false" ht="15" hidden="false" customHeight="false" outlineLevel="0" collapsed="false">
      <c r="A19" s="8" t="n">
        <v>15</v>
      </c>
      <c r="B19" s="9" t="s">
        <v>58</v>
      </c>
      <c r="C19" s="9" t="s">
        <v>59</v>
      </c>
      <c r="D19" s="9" t="s">
        <v>16</v>
      </c>
      <c r="E19" s="9" t="s">
        <v>60</v>
      </c>
      <c r="F19" s="8" t="n">
        <v>5</v>
      </c>
      <c r="G19" s="10" t="n">
        <v>16.99</v>
      </c>
      <c r="H19" s="10" t="n">
        <v>18.69</v>
      </c>
      <c r="I19" s="11" t="n">
        <v>0.5</v>
      </c>
      <c r="J19" s="9" t="s">
        <v>18</v>
      </c>
      <c r="K19" s="9" t="s">
        <v>35</v>
      </c>
      <c r="L19" s="12" t="s">
        <v>32</v>
      </c>
    </row>
    <row r="20" customFormat="false" ht="15" hidden="false" customHeight="false" outlineLevel="0" collapsed="false">
      <c r="A20" s="8" t="n">
        <v>16</v>
      </c>
      <c r="B20" s="9" t="s">
        <v>61</v>
      </c>
      <c r="C20" s="9" t="s">
        <v>62</v>
      </c>
      <c r="D20" s="9" t="s">
        <v>16</v>
      </c>
      <c r="E20" s="9" t="s">
        <v>44</v>
      </c>
      <c r="F20" s="8" t="n">
        <v>5</v>
      </c>
      <c r="G20" s="10" t="n">
        <v>8.99</v>
      </c>
      <c r="H20" s="10" t="n">
        <v>9.89</v>
      </c>
      <c r="I20" s="11" t="n">
        <v>0.185</v>
      </c>
      <c r="J20" s="9" t="s">
        <v>18</v>
      </c>
      <c r="K20" s="9" t="s">
        <v>35</v>
      </c>
      <c r="L20" s="12" t="s">
        <v>32</v>
      </c>
    </row>
    <row r="21" customFormat="false" ht="15" hidden="false" customHeight="false" outlineLevel="0" collapsed="false">
      <c r="A21" s="4" t="n">
        <v>17</v>
      </c>
      <c r="B21" s="5" t="s">
        <v>63</v>
      </c>
      <c r="C21" s="5" t="s">
        <v>64</v>
      </c>
      <c r="D21" s="5" t="s">
        <v>16</v>
      </c>
      <c r="E21" s="5" t="s">
        <v>60</v>
      </c>
      <c r="F21" s="4" t="n">
        <v>3</v>
      </c>
      <c r="G21" s="6" t="n">
        <v>8.46</v>
      </c>
      <c r="H21" s="6" t="n">
        <v>8.46</v>
      </c>
      <c r="I21" s="7" t="n">
        <v>0.218</v>
      </c>
      <c r="J21" s="5" t="s">
        <v>18</v>
      </c>
      <c r="K21" s="5" t="s">
        <v>39</v>
      </c>
      <c r="L21" s="5"/>
    </row>
    <row r="22" customFormat="false" ht="15" hidden="false" customHeight="false" outlineLevel="0" collapsed="false">
      <c r="A22" s="4" t="n">
        <v>18</v>
      </c>
      <c r="B22" s="5" t="s">
        <v>65</v>
      </c>
      <c r="C22" s="5" t="s">
        <v>66</v>
      </c>
      <c r="D22" s="5" t="s">
        <v>67</v>
      </c>
      <c r="E22" s="5" t="s">
        <v>30</v>
      </c>
      <c r="F22" s="4"/>
      <c r="G22" s="6" t="n">
        <v>18.5</v>
      </c>
      <c r="H22" s="6" t="n">
        <v>18.5</v>
      </c>
      <c r="I22" s="7"/>
      <c r="J22" s="5" t="s">
        <v>18</v>
      </c>
      <c r="K22" s="5" t="s">
        <v>35</v>
      </c>
      <c r="L22" s="5" t="s">
        <v>68</v>
      </c>
    </row>
  </sheetData>
  <autoFilter ref="A4:L22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C4899"/>
    <pageSetUpPr fitToPage="false"/>
  </sheetPr>
  <dimension ref="A1:H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1"/>
    <col collapsed="false" customWidth="true" hidden="false" outlineLevel="0" max="3" min="3" style="0" width="38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25"/>
  </cols>
  <sheetData>
    <row r="1" customFormat="false" ht="27.7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71</v>
      </c>
      <c r="B4" s="3" t="s">
        <v>3</v>
      </c>
      <c r="C4" s="3" t="s">
        <v>4</v>
      </c>
      <c r="D4" s="3" t="s">
        <v>72</v>
      </c>
      <c r="E4" s="3" t="s">
        <v>73</v>
      </c>
      <c r="F4" s="3" t="s">
        <v>74</v>
      </c>
      <c r="G4" s="3" t="s">
        <v>75</v>
      </c>
      <c r="H4" s="3" t="s">
        <v>76</v>
      </c>
    </row>
    <row r="5" customFormat="false" ht="15" hidden="false" customHeight="false" outlineLevel="0" collapsed="false">
      <c r="A5" s="4" t="n">
        <v>1</v>
      </c>
      <c r="B5" s="13" t="s">
        <v>14</v>
      </c>
      <c r="C5" s="13" t="s">
        <v>15</v>
      </c>
      <c r="D5" s="4" t="n">
        <v>1</v>
      </c>
      <c r="E5" s="13" t="s">
        <v>77</v>
      </c>
      <c r="F5" s="14" t="n">
        <v>3464</v>
      </c>
      <c r="G5" s="14" t="n">
        <v>4984</v>
      </c>
      <c r="H5" s="4" t="str">
        <f aca="false">ROUND(F5/G5,2)&amp;":1"</f>
        <v>0.7:1</v>
      </c>
    </row>
    <row r="6" customFormat="false" ht="15" hidden="false" customHeight="false" outlineLevel="0" collapsed="false">
      <c r="A6" s="4" t="n">
        <v>1</v>
      </c>
      <c r="B6" s="13" t="s">
        <v>14</v>
      </c>
      <c r="C6" s="13" t="s">
        <v>15</v>
      </c>
      <c r="D6" s="4" t="n">
        <v>2</v>
      </c>
      <c r="E6" s="13" t="s">
        <v>78</v>
      </c>
      <c r="F6" s="14" t="n">
        <v>3464</v>
      </c>
      <c r="G6" s="14" t="n">
        <v>4984</v>
      </c>
      <c r="H6" s="4" t="str">
        <f aca="false">ROUND(F6/G6,2)&amp;":1"</f>
        <v>0.7:1</v>
      </c>
    </row>
    <row r="7" customFormat="false" ht="15" hidden="false" customHeight="false" outlineLevel="0" collapsed="false">
      <c r="A7" s="4" t="n">
        <v>2</v>
      </c>
      <c r="B7" s="13" t="s">
        <v>20</v>
      </c>
      <c r="C7" s="13" t="s">
        <v>21</v>
      </c>
      <c r="D7" s="4" t="n">
        <v>1</v>
      </c>
      <c r="E7" s="13" t="s">
        <v>79</v>
      </c>
      <c r="F7" s="14" t="n">
        <v>3580</v>
      </c>
      <c r="G7" s="14" t="n">
        <v>3200</v>
      </c>
      <c r="H7" s="4" t="str">
        <f aca="false">ROUND(F7/G7,2)&amp;":1"</f>
        <v>1.12:1</v>
      </c>
    </row>
    <row r="8" customFormat="false" ht="15" hidden="false" customHeight="false" outlineLevel="0" collapsed="false">
      <c r="A8" s="4" t="n">
        <v>2</v>
      </c>
      <c r="B8" s="13" t="s">
        <v>20</v>
      </c>
      <c r="C8" s="13" t="s">
        <v>21</v>
      </c>
      <c r="D8" s="4" t="n">
        <v>2</v>
      </c>
      <c r="E8" s="13" t="s">
        <v>80</v>
      </c>
      <c r="F8" s="14" t="n">
        <v>3580</v>
      </c>
      <c r="G8" s="14" t="n">
        <v>3200</v>
      </c>
      <c r="H8" s="4" t="str">
        <f aca="false">ROUND(F8/G8,2)&amp;":1"</f>
        <v>1.12:1</v>
      </c>
    </row>
    <row r="9" customFormat="false" ht="15" hidden="false" customHeight="false" outlineLevel="0" collapsed="false">
      <c r="A9" s="4" t="n">
        <v>2</v>
      </c>
      <c r="B9" s="13" t="s">
        <v>20</v>
      </c>
      <c r="C9" s="13" t="s">
        <v>21</v>
      </c>
      <c r="D9" s="4" t="n">
        <v>3</v>
      </c>
      <c r="E9" s="13" t="s">
        <v>81</v>
      </c>
      <c r="F9" s="14" t="n">
        <v>3590</v>
      </c>
      <c r="G9" s="14" t="n">
        <v>3190</v>
      </c>
      <c r="H9" s="4" t="str">
        <f aca="false">ROUND(F9/G9,2)&amp;":1"</f>
        <v>1.13:1</v>
      </c>
    </row>
    <row r="10" customFormat="false" ht="15" hidden="false" customHeight="false" outlineLevel="0" collapsed="false">
      <c r="A10" s="4" t="n">
        <v>2</v>
      </c>
      <c r="B10" s="13" t="s">
        <v>20</v>
      </c>
      <c r="C10" s="13" t="s">
        <v>21</v>
      </c>
      <c r="D10" s="4" t="n">
        <v>4</v>
      </c>
      <c r="E10" s="13" t="s">
        <v>82</v>
      </c>
      <c r="F10" s="14" t="n">
        <v>2540</v>
      </c>
      <c r="G10" s="14" t="n">
        <v>3215</v>
      </c>
      <c r="H10" s="4" t="str">
        <f aca="false">ROUND(F10/G10,2)&amp;":1"</f>
        <v>0.79:1</v>
      </c>
    </row>
    <row r="11" customFormat="false" ht="15" hidden="false" customHeight="false" outlineLevel="0" collapsed="false">
      <c r="A11" s="4" t="n">
        <v>2</v>
      </c>
      <c r="B11" s="13" t="s">
        <v>20</v>
      </c>
      <c r="C11" s="13" t="s">
        <v>21</v>
      </c>
      <c r="D11" s="4" t="n">
        <v>5</v>
      </c>
      <c r="E11" s="13" t="s">
        <v>83</v>
      </c>
      <c r="F11" s="14" t="n">
        <v>2540</v>
      </c>
      <c r="G11" s="14" t="n">
        <v>3215</v>
      </c>
      <c r="H11" s="4" t="str">
        <f aca="false">ROUND(F11/G11,2)&amp;":1"</f>
        <v>0.79:1</v>
      </c>
    </row>
    <row r="12" customFormat="false" ht="15" hidden="false" customHeight="false" outlineLevel="0" collapsed="false">
      <c r="A12" s="4" t="n">
        <v>2</v>
      </c>
      <c r="B12" s="13" t="s">
        <v>20</v>
      </c>
      <c r="C12" s="13" t="s">
        <v>21</v>
      </c>
      <c r="D12" s="4" t="n">
        <v>6</v>
      </c>
      <c r="E12" s="13" t="s">
        <v>84</v>
      </c>
      <c r="F12" s="14" t="n">
        <v>2800</v>
      </c>
      <c r="G12" s="14" t="n">
        <v>430</v>
      </c>
      <c r="H12" s="4" t="str">
        <f aca="false">ROUND(F12/G12,2)&amp;":1"</f>
        <v>6.51:1</v>
      </c>
    </row>
    <row r="13" customFormat="false" ht="15" hidden="false" customHeight="false" outlineLevel="0" collapsed="false">
      <c r="A13" s="4" t="n">
        <v>2</v>
      </c>
      <c r="B13" s="13" t="s">
        <v>20</v>
      </c>
      <c r="C13" s="13" t="s">
        <v>21</v>
      </c>
      <c r="D13" s="4" t="n">
        <v>7</v>
      </c>
      <c r="E13" s="13" t="s">
        <v>85</v>
      </c>
      <c r="F13" s="14" t="n">
        <v>4630</v>
      </c>
      <c r="G13" s="14" t="n">
        <v>2560</v>
      </c>
      <c r="H13" s="4" t="str">
        <f aca="false">ROUND(F13/G13,2)&amp;":1"</f>
        <v>1.81:1</v>
      </c>
    </row>
    <row r="14" customFormat="false" ht="15" hidden="false" customHeight="false" outlineLevel="0" collapsed="false">
      <c r="A14" s="4" t="n">
        <v>3</v>
      </c>
      <c r="B14" s="13" t="s">
        <v>24</v>
      </c>
      <c r="C14" s="13" t="s">
        <v>25</v>
      </c>
      <c r="D14" s="4" t="n">
        <v>1</v>
      </c>
      <c r="E14" s="13" t="s">
        <v>79</v>
      </c>
      <c r="F14" s="14" t="n">
        <v>3360</v>
      </c>
      <c r="G14" s="14" t="n">
        <v>2730</v>
      </c>
      <c r="H14" s="4" t="str">
        <f aca="false">ROUND(F14/G14,2)&amp;":1"</f>
        <v>1.23:1</v>
      </c>
    </row>
    <row r="15" customFormat="false" ht="15" hidden="false" customHeight="false" outlineLevel="0" collapsed="false">
      <c r="A15" s="4" t="n">
        <v>3</v>
      </c>
      <c r="B15" s="13" t="s">
        <v>24</v>
      </c>
      <c r="C15" s="13" t="s">
        <v>25</v>
      </c>
      <c r="D15" s="4" t="n">
        <v>2</v>
      </c>
      <c r="E15" s="13" t="s">
        <v>80</v>
      </c>
      <c r="F15" s="14" t="n">
        <v>3360</v>
      </c>
      <c r="G15" s="14" t="n">
        <v>2730</v>
      </c>
      <c r="H15" s="4" t="str">
        <f aca="false">ROUND(F15/G15,2)&amp;":1"</f>
        <v>1.23:1</v>
      </c>
    </row>
    <row r="16" customFormat="false" ht="15" hidden="false" customHeight="false" outlineLevel="0" collapsed="false">
      <c r="A16" s="4" t="n">
        <v>3</v>
      </c>
      <c r="B16" s="13" t="s">
        <v>24</v>
      </c>
      <c r="C16" s="13" t="s">
        <v>25</v>
      </c>
      <c r="D16" s="4" t="n">
        <v>3</v>
      </c>
      <c r="E16" s="13" t="s">
        <v>81</v>
      </c>
      <c r="F16" s="14" t="n">
        <v>3360</v>
      </c>
      <c r="G16" s="14" t="n">
        <v>2680</v>
      </c>
      <c r="H16" s="4" t="str">
        <f aca="false">ROUND(F16/G16,2)&amp;":1"</f>
        <v>1.25:1</v>
      </c>
    </row>
    <row r="17" customFormat="false" ht="15" hidden="false" customHeight="false" outlineLevel="0" collapsed="false">
      <c r="A17" s="4" t="n">
        <v>3</v>
      </c>
      <c r="B17" s="13" t="s">
        <v>24</v>
      </c>
      <c r="C17" s="13" t="s">
        <v>25</v>
      </c>
      <c r="D17" s="4" t="n">
        <v>4</v>
      </c>
      <c r="E17" s="13" t="s">
        <v>82</v>
      </c>
      <c r="F17" s="14" t="n">
        <v>2350</v>
      </c>
      <c r="G17" s="14" t="n">
        <v>1530</v>
      </c>
      <c r="H17" s="4" t="str">
        <f aca="false">ROUND(F17/G17,2)&amp;":1"</f>
        <v>1.54:1</v>
      </c>
    </row>
    <row r="18" customFormat="false" ht="15" hidden="false" customHeight="false" outlineLevel="0" collapsed="false">
      <c r="A18" s="4" t="n">
        <v>3</v>
      </c>
      <c r="B18" s="13" t="s">
        <v>24</v>
      </c>
      <c r="C18" s="13" t="s">
        <v>25</v>
      </c>
      <c r="D18" s="4" t="n">
        <v>5</v>
      </c>
      <c r="E18" s="13" t="s">
        <v>83</v>
      </c>
      <c r="F18" s="14" t="n">
        <v>2350</v>
      </c>
      <c r="G18" s="14" t="n">
        <v>1530</v>
      </c>
      <c r="H18" s="4" t="str">
        <f aca="false">ROUND(F18/G18,2)&amp;":1"</f>
        <v>1.54:1</v>
      </c>
    </row>
    <row r="19" customFormat="false" ht="15" hidden="false" customHeight="false" outlineLevel="0" collapsed="false">
      <c r="A19" s="4" t="n">
        <v>3</v>
      </c>
      <c r="B19" s="13" t="s">
        <v>24</v>
      </c>
      <c r="C19" s="13" t="s">
        <v>25</v>
      </c>
      <c r="D19" s="4" t="n">
        <v>6</v>
      </c>
      <c r="E19" s="13" t="s">
        <v>84</v>
      </c>
      <c r="F19" s="14" t="n">
        <v>2840</v>
      </c>
      <c r="G19" s="14" t="n">
        <v>350</v>
      </c>
      <c r="H19" s="4" t="str">
        <f aca="false">ROUND(F19/G19,2)&amp;":1"</f>
        <v>8.11:1</v>
      </c>
    </row>
    <row r="20" customFormat="false" ht="15" hidden="false" customHeight="false" outlineLevel="0" collapsed="false">
      <c r="A20" s="4" t="n">
        <v>3</v>
      </c>
      <c r="B20" s="13" t="s">
        <v>24</v>
      </c>
      <c r="C20" s="13" t="s">
        <v>25</v>
      </c>
      <c r="D20" s="4" t="n">
        <v>7</v>
      </c>
      <c r="E20" s="13" t="s">
        <v>85</v>
      </c>
      <c r="F20" s="14" t="n">
        <v>4530</v>
      </c>
      <c r="G20" s="14" t="n">
        <v>2550</v>
      </c>
      <c r="H20" s="4" t="str">
        <f aca="false">ROUND(F20/G20,2)&amp;":1"</f>
        <v>1.78:1</v>
      </c>
    </row>
    <row r="21" customFormat="false" ht="15" hidden="false" customHeight="false" outlineLevel="0" collapsed="false">
      <c r="A21" s="4" t="n">
        <v>4</v>
      </c>
      <c r="B21" s="13" t="s">
        <v>26</v>
      </c>
      <c r="C21" s="13" t="s">
        <v>27</v>
      </c>
      <c r="D21" s="4" t="n">
        <v>1</v>
      </c>
      <c r="E21" s="13" t="s">
        <v>79</v>
      </c>
      <c r="F21" s="14" t="n">
        <v>3500</v>
      </c>
      <c r="G21" s="14" t="n">
        <v>3360</v>
      </c>
      <c r="H21" s="4" t="str">
        <f aca="false">ROUND(F21/G21,2)&amp;":1"</f>
        <v>1.04:1</v>
      </c>
    </row>
    <row r="22" customFormat="false" ht="15" hidden="false" customHeight="false" outlineLevel="0" collapsed="false">
      <c r="A22" s="4" t="n">
        <v>4</v>
      </c>
      <c r="B22" s="13" t="s">
        <v>26</v>
      </c>
      <c r="C22" s="13" t="s">
        <v>27</v>
      </c>
      <c r="D22" s="4" t="n">
        <v>2</v>
      </c>
      <c r="E22" s="13" t="s">
        <v>80</v>
      </c>
      <c r="F22" s="14" t="n">
        <v>3500</v>
      </c>
      <c r="G22" s="14" t="n">
        <v>3360</v>
      </c>
      <c r="H22" s="4" t="str">
        <f aca="false">ROUND(F22/G22,2)&amp;":1"</f>
        <v>1.04:1</v>
      </c>
    </row>
    <row r="23" customFormat="false" ht="15" hidden="false" customHeight="false" outlineLevel="0" collapsed="false">
      <c r="A23" s="4" t="n">
        <v>4</v>
      </c>
      <c r="B23" s="13" t="s">
        <v>26</v>
      </c>
      <c r="C23" s="13" t="s">
        <v>27</v>
      </c>
      <c r="D23" s="4" t="n">
        <v>3</v>
      </c>
      <c r="E23" s="13" t="s">
        <v>86</v>
      </c>
      <c r="F23" s="14" t="n">
        <v>3340</v>
      </c>
      <c r="G23" s="14" t="n">
        <v>2285</v>
      </c>
      <c r="H23" s="4" t="str">
        <f aca="false">ROUND(F23/G23,2)&amp;":1"</f>
        <v>1.46:1</v>
      </c>
    </row>
    <row r="24" customFormat="false" ht="15" hidden="false" customHeight="false" outlineLevel="0" collapsed="false">
      <c r="A24" s="4" t="n">
        <v>4</v>
      </c>
      <c r="B24" s="13" t="s">
        <v>26</v>
      </c>
      <c r="C24" s="13" t="s">
        <v>27</v>
      </c>
      <c r="D24" s="4" t="n">
        <v>4</v>
      </c>
      <c r="E24" s="13" t="s">
        <v>87</v>
      </c>
      <c r="F24" s="14" t="n">
        <v>9270</v>
      </c>
      <c r="G24" s="14" t="n">
        <v>2070</v>
      </c>
      <c r="H24" s="4" t="str">
        <f aca="false">ROUND(F24/G24,2)&amp;":1"</f>
        <v>4.48:1</v>
      </c>
    </row>
    <row r="25" customFormat="false" ht="15" hidden="false" customHeight="false" outlineLevel="0" collapsed="false">
      <c r="A25" s="4" t="n">
        <v>4</v>
      </c>
      <c r="B25" s="13" t="s">
        <v>26</v>
      </c>
      <c r="C25" s="13" t="s">
        <v>27</v>
      </c>
      <c r="D25" s="4" t="n">
        <v>5</v>
      </c>
      <c r="E25" s="13" t="s">
        <v>88</v>
      </c>
      <c r="F25" s="14" t="n">
        <v>2085</v>
      </c>
      <c r="G25" s="14" t="n">
        <v>2625</v>
      </c>
      <c r="H25" s="4" t="str">
        <f aca="false">ROUND(F25/G25,2)&amp;":1"</f>
        <v>0.79:1</v>
      </c>
    </row>
    <row r="26" customFormat="false" ht="15" hidden="false" customHeight="false" outlineLevel="0" collapsed="false">
      <c r="A26" s="4" t="n">
        <v>4</v>
      </c>
      <c r="B26" s="13" t="s">
        <v>26</v>
      </c>
      <c r="C26" s="13" t="s">
        <v>27</v>
      </c>
      <c r="D26" s="4" t="n">
        <v>6</v>
      </c>
      <c r="E26" s="13" t="s">
        <v>89</v>
      </c>
      <c r="F26" s="14" t="n">
        <v>2085</v>
      </c>
      <c r="G26" s="14" t="n">
        <v>2625</v>
      </c>
      <c r="H26" s="4" t="str">
        <f aca="false">ROUND(F26/G26,2)&amp;":1"</f>
        <v>0.79:1</v>
      </c>
    </row>
    <row r="27" customFormat="false" ht="15" hidden="false" customHeight="false" outlineLevel="0" collapsed="false">
      <c r="A27" s="4" t="n">
        <v>4</v>
      </c>
      <c r="B27" s="13" t="s">
        <v>26</v>
      </c>
      <c r="C27" s="13" t="s">
        <v>27</v>
      </c>
      <c r="D27" s="4" t="n">
        <v>7</v>
      </c>
      <c r="E27" s="13" t="s">
        <v>90</v>
      </c>
      <c r="F27" s="14" t="n">
        <v>2535</v>
      </c>
      <c r="G27" s="14" t="n">
        <v>2910</v>
      </c>
      <c r="H27" s="4" t="str">
        <f aca="false">ROUND(F27/G27,2)&amp;":1"</f>
        <v>0.87:1</v>
      </c>
    </row>
    <row r="28" customFormat="false" ht="15" hidden="false" customHeight="false" outlineLevel="0" collapsed="false">
      <c r="A28" s="8" t="n">
        <v>5</v>
      </c>
      <c r="B28" s="15" t="s">
        <v>28</v>
      </c>
      <c r="C28" s="15" t="s">
        <v>91</v>
      </c>
      <c r="D28" s="8" t="n">
        <v>1</v>
      </c>
      <c r="E28" s="15" t="s">
        <v>79</v>
      </c>
      <c r="F28" s="16" t="n">
        <v>3679</v>
      </c>
      <c r="G28" s="16" t="n">
        <v>2618</v>
      </c>
      <c r="H28" s="8" t="str">
        <f aca="false">ROUND(F28/G28,2)&amp;":1"</f>
        <v>1.41:1</v>
      </c>
    </row>
    <row r="29" customFormat="false" ht="15" hidden="false" customHeight="false" outlineLevel="0" collapsed="false">
      <c r="A29" s="8" t="n">
        <v>5</v>
      </c>
      <c r="B29" s="15" t="s">
        <v>28</v>
      </c>
      <c r="C29" s="15" t="s">
        <v>91</v>
      </c>
      <c r="D29" s="8" t="n">
        <v>2</v>
      </c>
      <c r="E29" s="15" t="s">
        <v>84</v>
      </c>
      <c r="F29" s="16" t="n">
        <v>8921</v>
      </c>
      <c r="G29" s="16" t="n">
        <v>6402</v>
      </c>
      <c r="H29" s="8" t="str">
        <f aca="false">ROUND(F29/G29,2)&amp;":1"</f>
        <v>1.39:1</v>
      </c>
    </row>
    <row r="30" customFormat="false" ht="15" hidden="false" customHeight="false" outlineLevel="0" collapsed="false">
      <c r="A30" s="8" t="n">
        <v>5</v>
      </c>
      <c r="B30" s="15" t="s">
        <v>28</v>
      </c>
      <c r="C30" s="15" t="s">
        <v>91</v>
      </c>
      <c r="D30" s="8" t="n">
        <v>3</v>
      </c>
      <c r="E30" s="15" t="s">
        <v>80</v>
      </c>
      <c r="F30" s="16" t="n">
        <v>3696</v>
      </c>
      <c r="G30" s="16" t="n">
        <v>2513</v>
      </c>
      <c r="H30" s="8" t="str">
        <f aca="false">ROUND(F30/G30,2)&amp;":1"</f>
        <v>1.47:1</v>
      </c>
    </row>
    <row r="31" customFormat="false" ht="15" hidden="false" customHeight="false" outlineLevel="0" collapsed="false">
      <c r="A31" s="8" t="n">
        <v>5</v>
      </c>
      <c r="B31" s="15" t="s">
        <v>28</v>
      </c>
      <c r="C31" s="15" t="s">
        <v>91</v>
      </c>
      <c r="D31" s="8" t="n">
        <v>4</v>
      </c>
      <c r="E31" s="15" t="s">
        <v>85</v>
      </c>
      <c r="F31" s="16" t="n">
        <v>8921</v>
      </c>
      <c r="G31" s="16" t="n">
        <v>6402</v>
      </c>
      <c r="H31" s="8" t="str">
        <f aca="false">ROUND(F31/G31,2)&amp;":1"</f>
        <v>1.39:1</v>
      </c>
    </row>
    <row r="32" customFormat="false" ht="15" hidden="false" customHeight="false" outlineLevel="0" collapsed="false">
      <c r="A32" s="8" t="n">
        <v>5</v>
      </c>
      <c r="B32" s="15" t="s">
        <v>28</v>
      </c>
      <c r="C32" s="15" t="s">
        <v>91</v>
      </c>
      <c r="D32" s="8" t="n">
        <v>5</v>
      </c>
      <c r="E32" s="15" t="s">
        <v>81</v>
      </c>
      <c r="F32" s="16" t="n">
        <v>2975</v>
      </c>
      <c r="G32" s="16" t="n">
        <v>1045</v>
      </c>
      <c r="H32" s="8" t="str">
        <f aca="false">ROUND(F32/G32,2)&amp;":1"</f>
        <v>2.85:1</v>
      </c>
    </row>
    <row r="33" customFormat="false" ht="15" hidden="false" customHeight="false" outlineLevel="0" collapsed="false">
      <c r="A33" s="8" t="n">
        <v>5</v>
      </c>
      <c r="B33" s="15" t="s">
        <v>28</v>
      </c>
      <c r="C33" s="15" t="s">
        <v>91</v>
      </c>
      <c r="D33" s="8" t="n">
        <v>6</v>
      </c>
      <c r="E33" s="15" t="s">
        <v>82</v>
      </c>
      <c r="F33" s="16" t="n">
        <v>2975</v>
      </c>
      <c r="G33" s="16" t="n">
        <v>1045</v>
      </c>
      <c r="H33" s="8" t="str">
        <f aca="false">ROUND(F33/G33,2)&amp;":1"</f>
        <v>2.85:1</v>
      </c>
    </row>
    <row r="34" customFormat="false" ht="15" hidden="false" customHeight="false" outlineLevel="0" collapsed="false">
      <c r="A34" s="8" t="n">
        <v>5</v>
      </c>
      <c r="B34" s="15" t="s">
        <v>28</v>
      </c>
      <c r="C34" s="15" t="s">
        <v>91</v>
      </c>
      <c r="D34" s="8" t="n">
        <v>7</v>
      </c>
      <c r="E34" s="15" t="s">
        <v>83</v>
      </c>
      <c r="F34" s="16" t="n">
        <v>4383</v>
      </c>
      <c r="G34" s="16" t="n">
        <v>1254</v>
      </c>
      <c r="H34" s="8" t="str">
        <f aca="false">ROUND(F34/G34,2)&amp;":1"</f>
        <v>3.5:1</v>
      </c>
    </row>
    <row r="35" customFormat="false" ht="15" hidden="false" customHeight="false" outlineLevel="0" collapsed="false">
      <c r="A35" s="8" t="n">
        <v>5</v>
      </c>
      <c r="B35" s="15" t="s">
        <v>28</v>
      </c>
      <c r="C35" s="15" t="s">
        <v>91</v>
      </c>
      <c r="D35" s="8" t="n">
        <v>8</v>
      </c>
      <c r="E35" s="15" t="s">
        <v>92</v>
      </c>
      <c r="F35" s="16" t="n">
        <v>1628</v>
      </c>
      <c r="G35" s="16" t="n">
        <v>1160</v>
      </c>
      <c r="H35" s="8" t="str">
        <f aca="false">ROUND(F35/G35,2)&amp;":1"</f>
        <v>1.4:1</v>
      </c>
    </row>
    <row r="36" customFormat="false" ht="15" hidden="false" customHeight="false" outlineLevel="0" collapsed="false">
      <c r="A36" s="8" t="n">
        <v>5</v>
      </c>
      <c r="B36" s="15" t="s">
        <v>28</v>
      </c>
      <c r="C36" s="15" t="s">
        <v>91</v>
      </c>
      <c r="D36" s="8" t="n">
        <v>9</v>
      </c>
      <c r="E36" s="15" t="s">
        <v>93</v>
      </c>
      <c r="F36" s="16" t="n">
        <v>2909</v>
      </c>
      <c r="G36" s="16" t="n">
        <v>1782</v>
      </c>
      <c r="H36" s="8" t="str">
        <f aca="false">ROUND(F36/G36,2)&amp;":1"</f>
        <v>1.63:1</v>
      </c>
    </row>
    <row r="37" customFormat="false" ht="15" hidden="false" customHeight="false" outlineLevel="0" collapsed="false">
      <c r="A37" s="8" t="n">
        <v>5</v>
      </c>
      <c r="B37" s="15" t="s">
        <v>28</v>
      </c>
      <c r="C37" s="15" t="s">
        <v>91</v>
      </c>
      <c r="D37" s="8" t="n">
        <v>10</v>
      </c>
      <c r="E37" s="15" t="s">
        <v>94</v>
      </c>
      <c r="F37" s="16" t="n">
        <v>2909</v>
      </c>
      <c r="G37" s="16" t="n">
        <v>1782</v>
      </c>
      <c r="H37" s="8" t="str">
        <f aca="false">ROUND(F37/G37,2)&amp;":1"</f>
        <v>1.63:1</v>
      </c>
    </row>
    <row r="38" customFormat="false" ht="15" hidden="false" customHeight="false" outlineLevel="0" collapsed="false">
      <c r="A38" s="4" t="n">
        <v>6</v>
      </c>
      <c r="B38" s="13" t="s">
        <v>33</v>
      </c>
      <c r="C38" s="13" t="s">
        <v>34</v>
      </c>
      <c r="D38" s="4" t="n">
        <v>1</v>
      </c>
      <c r="E38" s="13" t="s">
        <v>77</v>
      </c>
      <c r="F38" s="14" t="n">
        <v>3344</v>
      </c>
      <c r="G38" s="14" t="n">
        <v>4028</v>
      </c>
      <c r="H38" s="4" t="str">
        <f aca="false">ROUND(F38/G38,2)&amp;":1"</f>
        <v>0.83:1</v>
      </c>
    </row>
    <row r="39" customFormat="false" ht="15" hidden="false" customHeight="false" outlineLevel="0" collapsed="false">
      <c r="A39" s="4" t="n">
        <v>6</v>
      </c>
      <c r="B39" s="13" t="s">
        <v>33</v>
      </c>
      <c r="C39" s="13" t="s">
        <v>34</v>
      </c>
      <c r="D39" s="4" t="n">
        <v>2</v>
      </c>
      <c r="E39" s="13" t="s">
        <v>78</v>
      </c>
      <c r="F39" s="14" t="n">
        <v>3344</v>
      </c>
      <c r="G39" s="14" t="n">
        <v>4028</v>
      </c>
      <c r="H39" s="4" t="str">
        <f aca="false">ROUND(F39/G39,2)&amp;":1"</f>
        <v>0.83:1</v>
      </c>
    </row>
    <row r="40" customFormat="false" ht="15" hidden="false" customHeight="false" outlineLevel="0" collapsed="false">
      <c r="A40" s="4" t="n">
        <v>6</v>
      </c>
      <c r="B40" s="13" t="s">
        <v>33</v>
      </c>
      <c r="C40" s="13" t="s">
        <v>34</v>
      </c>
      <c r="D40" s="4" t="n">
        <v>3</v>
      </c>
      <c r="E40" s="13" t="s">
        <v>81</v>
      </c>
      <c r="F40" s="14" t="n">
        <v>3328</v>
      </c>
      <c r="G40" s="14" t="n">
        <v>4016</v>
      </c>
      <c r="H40" s="4" t="str">
        <f aca="false">ROUND(F40/G40,2)&amp;":1"</f>
        <v>0.83:1</v>
      </c>
    </row>
    <row r="41" customFormat="false" ht="15" hidden="false" customHeight="false" outlineLevel="0" collapsed="false">
      <c r="A41" s="4" t="n">
        <v>6</v>
      </c>
      <c r="B41" s="13" t="s">
        <v>33</v>
      </c>
      <c r="C41" s="13" t="s">
        <v>34</v>
      </c>
      <c r="D41" s="4" t="n">
        <v>4</v>
      </c>
      <c r="E41" s="13" t="s">
        <v>82</v>
      </c>
      <c r="F41" s="14" t="n">
        <v>4776</v>
      </c>
      <c r="G41" s="14" t="n">
        <v>5700</v>
      </c>
      <c r="H41" s="4" t="str">
        <f aca="false">ROUND(F41/G41,2)&amp;":1"</f>
        <v>0.84:1</v>
      </c>
    </row>
    <row r="42" customFormat="false" ht="15" hidden="false" customHeight="false" outlineLevel="0" collapsed="false">
      <c r="A42" s="8" t="n">
        <v>7</v>
      </c>
      <c r="B42" s="15" t="s">
        <v>36</v>
      </c>
      <c r="C42" s="15" t="s">
        <v>95</v>
      </c>
      <c r="D42" s="8" t="n">
        <v>1</v>
      </c>
      <c r="E42" s="15" t="s">
        <v>77</v>
      </c>
      <c r="F42" s="16" t="n">
        <v>6975</v>
      </c>
      <c r="G42" s="16" t="n">
        <v>5168</v>
      </c>
      <c r="H42" s="8" t="str">
        <f aca="false">ROUND(F42/G42,2)&amp;":1"</f>
        <v>1.35:1</v>
      </c>
    </row>
    <row r="43" customFormat="false" ht="15" hidden="false" customHeight="false" outlineLevel="0" collapsed="false">
      <c r="A43" s="8" t="n">
        <v>7</v>
      </c>
      <c r="B43" s="15" t="s">
        <v>36</v>
      </c>
      <c r="C43" s="15" t="s">
        <v>95</v>
      </c>
      <c r="D43" s="8" t="n">
        <v>2</v>
      </c>
      <c r="E43" s="15" t="s">
        <v>78</v>
      </c>
      <c r="F43" s="16" t="n">
        <v>6975</v>
      </c>
      <c r="G43" s="16" t="n">
        <v>5168</v>
      </c>
      <c r="H43" s="8" t="str">
        <f aca="false">ROUND(F43/G43,2)&amp;":1"</f>
        <v>1.35:1</v>
      </c>
    </row>
    <row r="44" customFormat="false" ht="15" hidden="false" customHeight="false" outlineLevel="0" collapsed="false">
      <c r="A44" s="8" t="n">
        <v>7</v>
      </c>
      <c r="B44" s="15" t="s">
        <v>36</v>
      </c>
      <c r="C44" s="15" t="s">
        <v>95</v>
      </c>
      <c r="D44" s="8" t="n">
        <v>3</v>
      </c>
      <c r="E44" s="15" t="s">
        <v>96</v>
      </c>
      <c r="F44" s="16" t="n">
        <v>6475</v>
      </c>
      <c r="G44" s="16" t="n">
        <v>712</v>
      </c>
      <c r="H44" s="8" t="str">
        <f aca="false">ROUND(F44/G44,2)&amp;":1"</f>
        <v>9.09:1</v>
      </c>
    </row>
    <row r="45" customFormat="false" ht="15" hidden="false" customHeight="false" outlineLevel="0" collapsed="false">
      <c r="A45" s="4" t="n">
        <v>8</v>
      </c>
      <c r="B45" s="13" t="s">
        <v>40</v>
      </c>
      <c r="C45" s="13" t="s">
        <v>41</v>
      </c>
      <c r="D45" s="4" t="n">
        <v>1</v>
      </c>
      <c r="E45" s="13" t="s">
        <v>77</v>
      </c>
      <c r="F45" s="14" t="n">
        <v>4720</v>
      </c>
      <c r="G45" s="14" t="n">
        <v>6620</v>
      </c>
      <c r="H45" s="4" t="str">
        <f aca="false">ROUND(F45/G45,2)&amp;":1"</f>
        <v>0.71:1</v>
      </c>
    </row>
    <row r="46" customFormat="false" ht="15" hidden="false" customHeight="false" outlineLevel="0" collapsed="false">
      <c r="A46" s="4" t="n">
        <v>8</v>
      </c>
      <c r="B46" s="13" t="s">
        <v>40</v>
      </c>
      <c r="C46" s="13" t="s">
        <v>41</v>
      </c>
      <c r="D46" s="4" t="n">
        <v>2</v>
      </c>
      <c r="E46" s="13" t="s">
        <v>78</v>
      </c>
      <c r="F46" s="14" t="n">
        <v>4720</v>
      </c>
      <c r="G46" s="14" t="n">
        <v>6620</v>
      </c>
      <c r="H46" s="4" t="str">
        <f aca="false">ROUND(F46/G46,2)&amp;":1"</f>
        <v>0.71:1</v>
      </c>
    </row>
    <row r="47" customFormat="false" ht="15" hidden="false" customHeight="false" outlineLevel="0" collapsed="false">
      <c r="A47" s="4" t="n">
        <v>9</v>
      </c>
      <c r="B47" s="13" t="s">
        <v>42</v>
      </c>
      <c r="C47" s="13" t="s">
        <v>43</v>
      </c>
      <c r="D47" s="4" t="n">
        <v>1</v>
      </c>
      <c r="E47" s="13" t="s">
        <v>77</v>
      </c>
      <c r="F47" s="14" t="n">
        <v>3512</v>
      </c>
      <c r="G47" s="14" t="n">
        <v>4431</v>
      </c>
      <c r="H47" s="4" t="str">
        <f aca="false">ROUND(F47/G47,2)&amp;":1"</f>
        <v>0.79:1</v>
      </c>
    </row>
    <row r="48" customFormat="false" ht="15" hidden="false" customHeight="false" outlineLevel="0" collapsed="false">
      <c r="A48" s="4" t="n">
        <v>9</v>
      </c>
      <c r="B48" s="13" t="s">
        <v>42</v>
      </c>
      <c r="C48" s="13" t="s">
        <v>43</v>
      </c>
      <c r="D48" s="4" t="n">
        <v>2</v>
      </c>
      <c r="E48" s="13" t="s">
        <v>78</v>
      </c>
      <c r="F48" s="14" t="n">
        <v>3512</v>
      </c>
      <c r="G48" s="14" t="n">
        <v>4431</v>
      </c>
      <c r="H48" s="4" t="str">
        <f aca="false">ROUND(F48/G48,2)&amp;":1"</f>
        <v>0.79:1</v>
      </c>
    </row>
    <row r="49" customFormat="false" ht="15" hidden="false" customHeight="false" outlineLevel="0" collapsed="false">
      <c r="A49" s="4" t="n">
        <v>9</v>
      </c>
      <c r="B49" s="13" t="s">
        <v>42</v>
      </c>
      <c r="C49" s="13" t="s">
        <v>43</v>
      </c>
      <c r="D49" s="4" t="n">
        <v>3</v>
      </c>
      <c r="E49" s="13" t="s">
        <v>81</v>
      </c>
      <c r="F49" s="14" t="n">
        <v>3475</v>
      </c>
      <c r="G49" s="14" t="n">
        <v>4362</v>
      </c>
      <c r="H49" s="4" t="str">
        <f aca="false">ROUND(F49/G49,2)&amp;":1"</f>
        <v>0.8:1</v>
      </c>
    </row>
    <row r="50" customFormat="false" ht="15" hidden="false" customHeight="false" outlineLevel="0" collapsed="false">
      <c r="A50" s="4" t="n">
        <v>9</v>
      </c>
      <c r="B50" s="13" t="s">
        <v>42</v>
      </c>
      <c r="C50" s="13" t="s">
        <v>43</v>
      </c>
      <c r="D50" s="4" t="n">
        <v>4</v>
      </c>
      <c r="E50" s="13" t="s">
        <v>82</v>
      </c>
      <c r="F50" s="14" t="n">
        <v>2536</v>
      </c>
      <c r="G50" s="14" t="n">
        <v>1360</v>
      </c>
      <c r="H50" s="4" t="str">
        <f aca="false">ROUND(F50/G50,2)&amp;":1"</f>
        <v>1.86:1</v>
      </c>
    </row>
    <row r="51" customFormat="false" ht="15" hidden="false" customHeight="false" outlineLevel="0" collapsed="false">
      <c r="A51" s="4" t="n">
        <v>9</v>
      </c>
      <c r="B51" s="13" t="s">
        <v>42</v>
      </c>
      <c r="C51" s="13" t="s">
        <v>43</v>
      </c>
      <c r="D51" s="4" t="n">
        <v>5</v>
      </c>
      <c r="E51" s="13" t="s">
        <v>83</v>
      </c>
      <c r="F51" s="14" t="n">
        <v>2536</v>
      </c>
      <c r="G51" s="14" t="n">
        <v>1360</v>
      </c>
      <c r="H51" s="4" t="str">
        <f aca="false">ROUND(F51/G51,2)&amp;":1"</f>
        <v>1.86:1</v>
      </c>
    </row>
    <row r="52" customFormat="false" ht="15" hidden="false" customHeight="false" outlineLevel="0" collapsed="false">
      <c r="A52" s="4" t="n">
        <v>10</v>
      </c>
      <c r="B52" s="13" t="s">
        <v>46</v>
      </c>
      <c r="C52" s="13" t="s">
        <v>47</v>
      </c>
      <c r="D52" s="4" t="n">
        <v>1</v>
      </c>
      <c r="E52" s="13" t="s">
        <v>77</v>
      </c>
      <c r="F52" s="14" t="n">
        <v>3740</v>
      </c>
      <c r="G52" s="14" t="n">
        <v>2950</v>
      </c>
      <c r="H52" s="4" t="str">
        <f aca="false">ROUND(F52/G52,2)&amp;":1"</f>
        <v>1.27:1</v>
      </c>
    </row>
    <row r="53" customFormat="false" ht="15" hidden="false" customHeight="false" outlineLevel="0" collapsed="false">
      <c r="A53" s="4" t="n">
        <v>10</v>
      </c>
      <c r="B53" s="13" t="s">
        <v>46</v>
      </c>
      <c r="C53" s="13" t="s">
        <v>47</v>
      </c>
      <c r="D53" s="4" t="n">
        <v>2</v>
      </c>
      <c r="E53" s="13" t="s">
        <v>78</v>
      </c>
      <c r="F53" s="14" t="n">
        <v>3740</v>
      </c>
      <c r="G53" s="14" t="n">
        <v>2950</v>
      </c>
      <c r="H53" s="4" t="str">
        <f aca="false">ROUND(F53/G53,2)&amp;":1"</f>
        <v>1.27:1</v>
      </c>
    </row>
    <row r="54" customFormat="false" ht="15" hidden="false" customHeight="false" outlineLevel="0" collapsed="false">
      <c r="A54" s="4" t="n">
        <v>11</v>
      </c>
      <c r="B54" s="13" t="s">
        <v>49</v>
      </c>
      <c r="C54" s="13" t="s">
        <v>50</v>
      </c>
      <c r="D54" s="4" t="n">
        <v>1</v>
      </c>
      <c r="E54" s="13" t="s">
        <v>97</v>
      </c>
      <c r="F54" s="14" t="n">
        <v>1988</v>
      </c>
      <c r="G54" s="14" t="n">
        <v>1340</v>
      </c>
      <c r="H54" s="4" t="str">
        <f aca="false">ROUND(F54/G54,2)&amp;":1"</f>
        <v>1.48:1</v>
      </c>
    </row>
    <row r="55" customFormat="false" ht="15" hidden="false" customHeight="false" outlineLevel="0" collapsed="false">
      <c r="A55" s="4" t="n">
        <v>11</v>
      </c>
      <c r="B55" s="13" t="s">
        <v>49</v>
      </c>
      <c r="C55" s="13" t="s">
        <v>50</v>
      </c>
      <c r="D55" s="4" t="n">
        <v>2</v>
      </c>
      <c r="E55" s="13" t="s">
        <v>98</v>
      </c>
      <c r="F55" s="14" t="n">
        <v>1988</v>
      </c>
      <c r="G55" s="14" t="n">
        <v>1340</v>
      </c>
      <c r="H55" s="4" t="str">
        <f aca="false">ROUND(F55/G55,2)&amp;":1"</f>
        <v>1.48:1</v>
      </c>
    </row>
    <row r="56" customFormat="false" ht="15" hidden="false" customHeight="false" outlineLevel="0" collapsed="false">
      <c r="A56" s="4" t="n">
        <v>11</v>
      </c>
      <c r="B56" s="13" t="s">
        <v>49</v>
      </c>
      <c r="C56" s="13" t="s">
        <v>50</v>
      </c>
      <c r="D56" s="4" t="n">
        <v>3</v>
      </c>
      <c r="E56" s="13" t="s">
        <v>77</v>
      </c>
      <c r="F56" s="14" t="n">
        <v>2208</v>
      </c>
      <c r="G56" s="14" t="n">
        <v>1572</v>
      </c>
      <c r="H56" s="4" t="str">
        <f aca="false">ROUND(F56/G56,2)&amp;":1"</f>
        <v>1.4:1</v>
      </c>
    </row>
    <row r="57" customFormat="false" ht="15" hidden="false" customHeight="false" outlineLevel="0" collapsed="false">
      <c r="A57" s="4" t="n">
        <v>11</v>
      </c>
      <c r="B57" s="13" t="s">
        <v>49</v>
      </c>
      <c r="C57" s="13" t="s">
        <v>50</v>
      </c>
      <c r="D57" s="4" t="n">
        <v>4</v>
      </c>
      <c r="E57" s="13" t="s">
        <v>78</v>
      </c>
      <c r="F57" s="14" t="n">
        <v>2988</v>
      </c>
      <c r="G57" s="14" t="n">
        <v>2504</v>
      </c>
      <c r="H57" s="4" t="str">
        <f aca="false">ROUND(F57/G57,2)&amp;":1"</f>
        <v>1.19:1</v>
      </c>
    </row>
    <row r="58" customFormat="false" ht="15" hidden="false" customHeight="false" outlineLevel="0" collapsed="false">
      <c r="A58" s="4" t="n">
        <v>11</v>
      </c>
      <c r="B58" s="13" t="s">
        <v>49</v>
      </c>
      <c r="C58" s="13" t="s">
        <v>50</v>
      </c>
      <c r="D58" s="4" t="n">
        <v>5</v>
      </c>
      <c r="E58" s="13" t="s">
        <v>86</v>
      </c>
      <c r="F58" s="14" t="n">
        <v>2988</v>
      </c>
      <c r="G58" s="14" t="n">
        <v>2620</v>
      </c>
      <c r="H58" s="4" t="str">
        <f aca="false">ROUND(F58/G58,2)&amp;":1"</f>
        <v>1.14:1</v>
      </c>
    </row>
    <row r="59" customFormat="false" ht="15" hidden="false" customHeight="false" outlineLevel="0" collapsed="false">
      <c r="A59" s="4" t="n">
        <v>11</v>
      </c>
      <c r="B59" s="13" t="s">
        <v>49</v>
      </c>
      <c r="C59" s="13" t="s">
        <v>50</v>
      </c>
      <c r="D59" s="4" t="n">
        <v>6</v>
      </c>
      <c r="E59" s="13" t="s">
        <v>99</v>
      </c>
      <c r="F59" s="14" t="n">
        <v>9949</v>
      </c>
      <c r="G59" s="14" t="n">
        <v>902</v>
      </c>
      <c r="H59" s="4" t="str">
        <f aca="false">ROUND(F59/G59,2)&amp;":1"</f>
        <v>11.03:1</v>
      </c>
    </row>
    <row r="60" customFormat="false" ht="15" hidden="false" customHeight="false" outlineLevel="0" collapsed="false">
      <c r="A60" s="4" t="n">
        <v>11</v>
      </c>
      <c r="B60" s="13" t="s">
        <v>49</v>
      </c>
      <c r="C60" s="13" t="s">
        <v>50</v>
      </c>
      <c r="D60" s="4" t="n">
        <v>7</v>
      </c>
      <c r="E60" s="13" t="s">
        <v>100</v>
      </c>
      <c r="F60" s="14" t="n">
        <v>1984</v>
      </c>
      <c r="G60" s="14" t="n">
        <v>1340</v>
      </c>
      <c r="H60" s="4" t="str">
        <f aca="false">ROUND(F60/G60,2)&amp;":1"</f>
        <v>1.48:1</v>
      </c>
    </row>
    <row r="61" customFormat="false" ht="15" hidden="false" customHeight="false" outlineLevel="0" collapsed="false">
      <c r="A61" s="4" t="n">
        <v>12</v>
      </c>
      <c r="B61" s="13" t="s">
        <v>51</v>
      </c>
      <c r="C61" s="13" t="s">
        <v>52</v>
      </c>
      <c r="D61" s="4" t="n">
        <v>1</v>
      </c>
      <c r="E61" s="13" t="s">
        <v>77</v>
      </c>
      <c r="F61" s="14" t="n">
        <v>3910</v>
      </c>
      <c r="G61" s="14" t="n">
        <v>4675</v>
      </c>
      <c r="H61" s="4" t="str">
        <f aca="false">ROUND(F61/G61,2)&amp;":1"</f>
        <v>0.84:1</v>
      </c>
    </row>
    <row r="62" customFormat="false" ht="15" hidden="false" customHeight="false" outlineLevel="0" collapsed="false">
      <c r="A62" s="4" t="n">
        <v>12</v>
      </c>
      <c r="B62" s="13" t="s">
        <v>51</v>
      </c>
      <c r="C62" s="13" t="s">
        <v>52</v>
      </c>
      <c r="D62" s="4" t="n">
        <v>2</v>
      </c>
      <c r="E62" s="13" t="s">
        <v>78</v>
      </c>
      <c r="F62" s="14" t="n">
        <v>3910</v>
      </c>
      <c r="G62" s="14" t="n">
        <v>4675</v>
      </c>
      <c r="H62" s="4" t="str">
        <f aca="false">ROUND(F62/G62,2)&amp;":1"</f>
        <v>0.84:1</v>
      </c>
    </row>
    <row r="63" customFormat="false" ht="15" hidden="false" customHeight="false" outlineLevel="0" collapsed="false">
      <c r="A63" s="4" t="n">
        <v>12</v>
      </c>
      <c r="B63" s="13" t="s">
        <v>51</v>
      </c>
      <c r="C63" s="13" t="s">
        <v>52</v>
      </c>
      <c r="D63" s="4" t="n">
        <v>3</v>
      </c>
      <c r="E63" s="13" t="s">
        <v>81</v>
      </c>
      <c r="F63" s="14" t="n">
        <v>3680</v>
      </c>
      <c r="G63" s="14" t="n">
        <v>4445</v>
      </c>
      <c r="H63" s="4" t="str">
        <f aca="false">ROUND(F63/G63,2)&amp;":1"</f>
        <v>0.83:1</v>
      </c>
    </row>
    <row r="64" customFormat="false" ht="15" hidden="false" customHeight="false" outlineLevel="0" collapsed="false">
      <c r="A64" s="4" t="n">
        <v>12</v>
      </c>
      <c r="B64" s="13" t="s">
        <v>51</v>
      </c>
      <c r="C64" s="13" t="s">
        <v>52</v>
      </c>
      <c r="D64" s="4" t="n">
        <v>4</v>
      </c>
      <c r="E64" s="13" t="s">
        <v>82</v>
      </c>
      <c r="F64" s="14" t="n">
        <v>2590</v>
      </c>
      <c r="G64" s="14" t="n">
        <v>3925</v>
      </c>
      <c r="H64" s="4" t="str">
        <f aca="false">ROUND(F64/G64,2)&amp;":1"</f>
        <v>0.66:1</v>
      </c>
    </row>
    <row r="65" customFormat="false" ht="15" hidden="false" customHeight="false" outlineLevel="0" collapsed="false">
      <c r="A65" s="4" t="n">
        <v>12</v>
      </c>
      <c r="B65" s="13" t="s">
        <v>51</v>
      </c>
      <c r="C65" s="13" t="s">
        <v>52</v>
      </c>
      <c r="D65" s="4" t="n">
        <v>5</v>
      </c>
      <c r="E65" s="13" t="s">
        <v>86</v>
      </c>
      <c r="F65" s="14" t="n">
        <v>2590</v>
      </c>
      <c r="G65" s="14" t="n">
        <v>3925</v>
      </c>
      <c r="H65" s="4" t="str">
        <f aca="false">ROUND(F65/G65,2)&amp;":1"</f>
        <v>0.66:1</v>
      </c>
    </row>
    <row r="66" customFormat="false" ht="15" hidden="false" customHeight="false" outlineLevel="0" collapsed="false">
      <c r="A66" s="8" t="n">
        <v>13</v>
      </c>
      <c r="B66" s="15" t="s">
        <v>53</v>
      </c>
      <c r="C66" s="15" t="s">
        <v>101</v>
      </c>
      <c r="D66" s="8" t="n">
        <v>1</v>
      </c>
      <c r="E66" s="15" t="s">
        <v>79</v>
      </c>
      <c r="F66" s="16" t="n">
        <v>2196</v>
      </c>
      <c r="G66" s="16" t="n">
        <v>3084</v>
      </c>
      <c r="H66" s="8" t="str">
        <f aca="false">ROUND(F66/G66,2)&amp;":1"</f>
        <v>0.71:1</v>
      </c>
    </row>
    <row r="67" customFormat="false" ht="15" hidden="false" customHeight="false" outlineLevel="0" collapsed="false">
      <c r="A67" s="8" t="n">
        <v>13</v>
      </c>
      <c r="B67" s="15" t="s">
        <v>53</v>
      </c>
      <c r="C67" s="15" t="s">
        <v>101</v>
      </c>
      <c r="D67" s="8" t="n">
        <v>2</v>
      </c>
      <c r="E67" s="15" t="s">
        <v>87</v>
      </c>
      <c r="F67" s="16" t="n">
        <v>3464</v>
      </c>
      <c r="G67" s="16" t="n">
        <v>4984</v>
      </c>
      <c r="H67" s="8" t="str">
        <f aca="false">ROUND(F67/G67,2)&amp;":1"</f>
        <v>0.7:1</v>
      </c>
    </row>
    <row r="68" customFormat="false" ht="15" hidden="false" customHeight="false" outlineLevel="0" collapsed="false">
      <c r="A68" s="8" t="n">
        <v>13</v>
      </c>
      <c r="B68" s="15" t="s">
        <v>53</v>
      </c>
      <c r="C68" s="15" t="s">
        <v>101</v>
      </c>
      <c r="D68" s="8" t="n">
        <v>3</v>
      </c>
      <c r="E68" s="15" t="s">
        <v>88</v>
      </c>
      <c r="F68" s="16" t="n">
        <v>3464</v>
      </c>
      <c r="G68" s="16" t="n">
        <v>4984</v>
      </c>
      <c r="H68" s="8" t="str">
        <f aca="false">ROUND(F68/G68,2)&amp;":1"</f>
        <v>0.7:1</v>
      </c>
    </row>
    <row r="69" customFormat="false" ht="15" hidden="false" customHeight="false" outlineLevel="0" collapsed="false">
      <c r="A69" s="8" t="n">
        <v>13</v>
      </c>
      <c r="B69" s="15" t="s">
        <v>53</v>
      </c>
      <c r="C69" s="15" t="s">
        <v>101</v>
      </c>
      <c r="D69" s="8" t="n">
        <v>4</v>
      </c>
      <c r="E69" s="15" t="s">
        <v>102</v>
      </c>
      <c r="F69" s="16" t="n">
        <v>3464</v>
      </c>
      <c r="G69" s="16" t="n">
        <v>4984</v>
      </c>
      <c r="H69" s="8" t="str">
        <f aca="false">ROUND(F69/G69,2)&amp;":1"</f>
        <v>0.7:1</v>
      </c>
    </row>
    <row r="70" customFormat="false" ht="15" hidden="false" customHeight="false" outlineLevel="0" collapsed="false">
      <c r="A70" s="8" t="n">
        <v>13</v>
      </c>
      <c r="B70" s="15" t="s">
        <v>53</v>
      </c>
      <c r="C70" s="15" t="s">
        <v>101</v>
      </c>
      <c r="D70" s="8" t="n">
        <v>5</v>
      </c>
      <c r="E70" s="15" t="s">
        <v>103</v>
      </c>
      <c r="F70" s="16" t="n">
        <v>3464</v>
      </c>
      <c r="G70" s="16" t="n">
        <v>4984</v>
      </c>
      <c r="H70" s="8" t="str">
        <f aca="false">ROUND(F70/G70,2)&amp;":1"</f>
        <v>0.7:1</v>
      </c>
    </row>
    <row r="71" customFormat="false" ht="15" hidden="false" customHeight="false" outlineLevel="0" collapsed="false">
      <c r="A71" s="8" t="n">
        <v>13</v>
      </c>
      <c r="B71" s="15" t="s">
        <v>53</v>
      </c>
      <c r="C71" s="15" t="s">
        <v>101</v>
      </c>
      <c r="D71" s="8" t="n">
        <v>6</v>
      </c>
      <c r="E71" s="15" t="s">
        <v>86</v>
      </c>
      <c r="F71" s="16" t="n">
        <v>2196</v>
      </c>
      <c r="G71" s="16" t="n">
        <v>3084</v>
      </c>
      <c r="H71" s="8" t="str">
        <f aca="false">ROUND(F71/G71,2)&amp;":1"</f>
        <v>0.71:1</v>
      </c>
    </row>
    <row r="72" customFormat="false" ht="15" hidden="false" customHeight="false" outlineLevel="0" collapsed="false">
      <c r="A72" s="4" t="n">
        <v>14</v>
      </c>
      <c r="B72" s="13" t="s">
        <v>56</v>
      </c>
      <c r="C72" s="13" t="s">
        <v>57</v>
      </c>
      <c r="D72" s="4" t="n">
        <v>1</v>
      </c>
      <c r="E72" s="13" t="s">
        <v>77</v>
      </c>
      <c r="F72" s="14" t="n">
        <v>4737</v>
      </c>
      <c r="G72" s="14" t="n">
        <v>8343</v>
      </c>
      <c r="H72" s="4" t="str">
        <f aca="false">ROUND(F72/G72,2)&amp;":1"</f>
        <v>0.57:1</v>
      </c>
    </row>
    <row r="73" customFormat="false" ht="15" hidden="false" customHeight="false" outlineLevel="0" collapsed="false">
      <c r="A73" s="4" t="n">
        <v>14</v>
      </c>
      <c r="B73" s="13" t="s">
        <v>56</v>
      </c>
      <c r="C73" s="13" t="s">
        <v>57</v>
      </c>
      <c r="D73" s="4" t="n">
        <v>2</v>
      </c>
      <c r="E73" s="13" t="s">
        <v>103</v>
      </c>
      <c r="F73" s="14" t="n">
        <v>4737</v>
      </c>
      <c r="G73" s="14" t="n">
        <v>8343</v>
      </c>
      <c r="H73" s="4" t="str">
        <f aca="false">ROUND(F73/G73,2)&amp;":1"</f>
        <v>0.57:1</v>
      </c>
    </row>
    <row r="74" customFormat="false" ht="15" hidden="false" customHeight="false" outlineLevel="0" collapsed="false">
      <c r="A74" s="4" t="n">
        <v>14</v>
      </c>
      <c r="B74" s="13" t="s">
        <v>56</v>
      </c>
      <c r="C74" s="13" t="s">
        <v>57</v>
      </c>
      <c r="D74" s="4" t="n">
        <v>3</v>
      </c>
      <c r="E74" s="13" t="s">
        <v>102</v>
      </c>
      <c r="F74" s="14" t="n">
        <v>2525</v>
      </c>
      <c r="G74" s="14" t="n">
        <v>8381</v>
      </c>
      <c r="H74" s="4" t="str">
        <f aca="false">ROUND(F74/G74,2)&amp;":1"</f>
        <v>0.3:1</v>
      </c>
    </row>
    <row r="75" customFormat="false" ht="15" hidden="false" customHeight="false" outlineLevel="0" collapsed="false">
      <c r="A75" s="4" t="n">
        <v>14</v>
      </c>
      <c r="B75" s="13" t="s">
        <v>56</v>
      </c>
      <c r="C75" s="13" t="s">
        <v>57</v>
      </c>
      <c r="D75" s="4" t="n">
        <v>4</v>
      </c>
      <c r="E75" s="13" t="s">
        <v>104</v>
      </c>
      <c r="F75" s="14" t="n">
        <v>2525</v>
      </c>
      <c r="G75" s="14" t="n">
        <v>8381</v>
      </c>
      <c r="H75" s="4" t="str">
        <f aca="false">ROUND(F75/G75,2)&amp;":1"</f>
        <v>0.3:1</v>
      </c>
    </row>
    <row r="76" customFormat="false" ht="15" hidden="false" customHeight="false" outlineLevel="0" collapsed="false">
      <c r="A76" s="4" t="n">
        <v>14</v>
      </c>
      <c r="B76" s="13" t="s">
        <v>56</v>
      </c>
      <c r="C76" s="13" t="s">
        <v>57</v>
      </c>
      <c r="D76" s="4" t="n">
        <v>5</v>
      </c>
      <c r="E76" s="13" t="s">
        <v>105</v>
      </c>
      <c r="F76" s="14" t="n">
        <v>1190</v>
      </c>
      <c r="G76" s="14" t="n">
        <v>2065</v>
      </c>
      <c r="H76" s="4" t="str">
        <f aca="false">ROUND(F76/G76,2)&amp;":1"</f>
        <v>0.58:1</v>
      </c>
    </row>
    <row r="77" customFormat="false" ht="15" hidden="false" customHeight="false" outlineLevel="0" collapsed="false">
      <c r="A77" s="8" t="n">
        <v>15</v>
      </c>
      <c r="B77" s="15" t="s">
        <v>58</v>
      </c>
      <c r="C77" s="15" t="s">
        <v>106</v>
      </c>
      <c r="D77" s="8" t="n">
        <v>1</v>
      </c>
      <c r="E77" s="15" t="s">
        <v>77</v>
      </c>
      <c r="F77" s="16" t="n">
        <v>5624</v>
      </c>
      <c r="G77" s="16" t="n">
        <v>6404</v>
      </c>
      <c r="H77" s="8" t="str">
        <f aca="false">ROUND(F77/G77,2)&amp;":1"</f>
        <v>0.88:1</v>
      </c>
    </row>
    <row r="78" customFormat="false" ht="15" hidden="false" customHeight="false" outlineLevel="0" collapsed="false">
      <c r="A78" s="8" t="n">
        <v>15</v>
      </c>
      <c r="B78" s="15" t="s">
        <v>58</v>
      </c>
      <c r="C78" s="15" t="s">
        <v>106</v>
      </c>
      <c r="D78" s="8" t="n">
        <v>2</v>
      </c>
      <c r="E78" s="15" t="s">
        <v>78</v>
      </c>
      <c r="F78" s="16" t="n">
        <v>5640</v>
      </c>
      <c r="G78" s="16" t="n">
        <v>6628</v>
      </c>
      <c r="H78" s="8" t="str">
        <f aca="false">ROUND(F78/G78,2)&amp;":1"</f>
        <v>0.85:1</v>
      </c>
    </row>
    <row r="79" customFormat="false" ht="15" hidden="false" customHeight="false" outlineLevel="0" collapsed="false">
      <c r="A79" s="8" t="n">
        <v>15</v>
      </c>
      <c r="B79" s="15" t="s">
        <v>58</v>
      </c>
      <c r="C79" s="15" t="s">
        <v>106</v>
      </c>
      <c r="D79" s="8" t="n">
        <v>3</v>
      </c>
      <c r="E79" s="15" t="s">
        <v>96</v>
      </c>
      <c r="F79" s="16" t="n">
        <v>6444</v>
      </c>
      <c r="G79" s="16" t="n">
        <v>724</v>
      </c>
      <c r="H79" s="8" t="str">
        <f aca="false">ROUND(F79/G79,2)&amp;":1"</f>
        <v>8.9:1</v>
      </c>
    </row>
    <row r="80" customFormat="false" ht="15" hidden="false" customHeight="false" outlineLevel="0" collapsed="false">
      <c r="A80" s="8" t="n">
        <v>15</v>
      </c>
      <c r="B80" s="15" t="s">
        <v>58</v>
      </c>
      <c r="C80" s="15" t="s">
        <v>106</v>
      </c>
      <c r="D80" s="8" t="n">
        <v>4</v>
      </c>
      <c r="E80" s="15" t="s">
        <v>94</v>
      </c>
      <c r="F80" s="16" t="n">
        <v>3104</v>
      </c>
      <c r="G80" s="16" t="n">
        <v>2160</v>
      </c>
      <c r="H80" s="8" t="str">
        <f aca="false">ROUND(F80/G80,2)&amp;":1"</f>
        <v>1.44:1</v>
      </c>
    </row>
    <row r="81" customFormat="false" ht="15" hidden="false" customHeight="false" outlineLevel="0" collapsed="false">
      <c r="A81" s="8" t="n">
        <v>15</v>
      </c>
      <c r="B81" s="15" t="s">
        <v>58</v>
      </c>
      <c r="C81" s="15" t="s">
        <v>106</v>
      </c>
      <c r="D81" s="8" t="n">
        <v>5</v>
      </c>
      <c r="E81" s="15" t="s">
        <v>93</v>
      </c>
      <c r="F81" s="16" t="n">
        <v>3104</v>
      </c>
      <c r="G81" s="16" t="n">
        <v>2160</v>
      </c>
      <c r="H81" s="8" t="str">
        <f aca="false">ROUND(F81/G81,2)&amp;":1"</f>
        <v>1.44:1</v>
      </c>
    </row>
    <row r="82" customFormat="false" ht="15" hidden="false" customHeight="false" outlineLevel="0" collapsed="false">
      <c r="A82" s="8" t="n">
        <v>16</v>
      </c>
      <c r="B82" s="15" t="s">
        <v>61</v>
      </c>
      <c r="C82" s="15" t="s">
        <v>107</v>
      </c>
      <c r="D82" s="8" t="n">
        <v>1</v>
      </c>
      <c r="E82" s="15" t="s">
        <v>77</v>
      </c>
      <c r="F82" s="16" t="n">
        <v>3464</v>
      </c>
      <c r="G82" s="16" t="n">
        <v>4984</v>
      </c>
      <c r="H82" s="8" t="str">
        <f aca="false">ROUND(F82/G82,2)&amp;":1"</f>
        <v>0.7:1</v>
      </c>
    </row>
    <row r="83" customFormat="false" ht="15" hidden="false" customHeight="false" outlineLevel="0" collapsed="false">
      <c r="A83" s="8" t="n">
        <v>16</v>
      </c>
      <c r="B83" s="15" t="s">
        <v>61</v>
      </c>
      <c r="C83" s="15" t="s">
        <v>107</v>
      </c>
      <c r="D83" s="8" t="n">
        <v>2</v>
      </c>
      <c r="E83" s="15" t="s">
        <v>78</v>
      </c>
      <c r="F83" s="16" t="n">
        <v>3464</v>
      </c>
      <c r="G83" s="16" t="n">
        <v>4984</v>
      </c>
      <c r="H83" s="8" t="str">
        <f aca="false">ROUND(F83/G83,2)&amp;":1"</f>
        <v>0.7:1</v>
      </c>
    </row>
    <row r="84" customFormat="false" ht="15" hidden="false" customHeight="false" outlineLevel="0" collapsed="false">
      <c r="A84" s="8" t="n">
        <v>16</v>
      </c>
      <c r="B84" s="15" t="s">
        <v>61</v>
      </c>
      <c r="C84" s="15" t="s">
        <v>107</v>
      </c>
      <c r="D84" s="8" t="n">
        <v>3</v>
      </c>
      <c r="E84" s="15" t="s">
        <v>81</v>
      </c>
      <c r="F84" s="16" t="n">
        <v>2196</v>
      </c>
      <c r="G84" s="16" t="n">
        <v>3084</v>
      </c>
      <c r="H84" s="8" t="str">
        <f aca="false">ROUND(F84/G84,2)&amp;":1"</f>
        <v>0.71:1</v>
      </c>
    </row>
    <row r="85" customFormat="false" ht="15" hidden="false" customHeight="false" outlineLevel="0" collapsed="false">
      <c r="A85" s="8" t="n">
        <v>16</v>
      </c>
      <c r="B85" s="15" t="s">
        <v>61</v>
      </c>
      <c r="C85" s="15" t="s">
        <v>107</v>
      </c>
      <c r="D85" s="8" t="n">
        <v>4</v>
      </c>
      <c r="E85" s="15" t="s">
        <v>82</v>
      </c>
      <c r="F85" s="16" t="n">
        <v>2196</v>
      </c>
      <c r="G85" s="16" t="n">
        <v>3084</v>
      </c>
      <c r="H85" s="8" t="str">
        <f aca="false">ROUND(F85/G85,2)&amp;":1"</f>
        <v>0.71:1</v>
      </c>
    </row>
    <row r="86" customFormat="false" ht="15" hidden="false" customHeight="false" outlineLevel="0" collapsed="false">
      <c r="A86" s="8" t="n">
        <v>16</v>
      </c>
      <c r="B86" s="15" t="s">
        <v>61</v>
      </c>
      <c r="C86" s="15" t="s">
        <v>107</v>
      </c>
      <c r="D86" s="8" t="n">
        <v>5</v>
      </c>
      <c r="E86" s="15" t="s">
        <v>83</v>
      </c>
      <c r="F86" s="16" t="n">
        <v>1832</v>
      </c>
      <c r="G86" s="16" t="n">
        <v>784</v>
      </c>
      <c r="H86" s="8" t="str">
        <f aca="false">ROUND(F86/G86,2)&amp;":1"</f>
        <v>2.34:1</v>
      </c>
    </row>
    <row r="87" customFormat="false" ht="15" hidden="false" customHeight="false" outlineLevel="0" collapsed="false">
      <c r="A87" s="4" t="n">
        <v>17</v>
      </c>
      <c r="B87" s="13" t="s">
        <v>63</v>
      </c>
      <c r="C87" s="13" t="s">
        <v>64</v>
      </c>
      <c r="D87" s="4" t="n">
        <v>1</v>
      </c>
      <c r="E87" s="13" t="s">
        <v>77</v>
      </c>
      <c r="F87" s="14" t="n">
        <v>3493</v>
      </c>
      <c r="G87" s="14" t="n">
        <v>6700</v>
      </c>
      <c r="H87" s="4" t="str">
        <f aca="false">ROUND(F87/G87,2)&amp;":1"</f>
        <v>0.52:1</v>
      </c>
    </row>
    <row r="88" customFormat="false" ht="15" hidden="false" customHeight="false" outlineLevel="0" collapsed="false">
      <c r="A88" s="4" t="n">
        <v>17</v>
      </c>
      <c r="B88" s="13" t="s">
        <v>63</v>
      </c>
      <c r="C88" s="13" t="s">
        <v>64</v>
      </c>
      <c r="D88" s="4" t="n">
        <v>2</v>
      </c>
      <c r="E88" s="13" t="s">
        <v>78</v>
      </c>
      <c r="F88" s="14" t="n">
        <v>3493</v>
      </c>
      <c r="G88" s="14" t="n">
        <v>6700</v>
      </c>
      <c r="H88" s="4" t="str">
        <f aca="false">ROUND(F88/G88,2)&amp;":1"</f>
        <v>0.52:1</v>
      </c>
    </row>
    <row r="89" customFormat="false" ht="15" hidden="false" customHeight="false" outlineLevel="0" collapsed="false">
      <c r="A89" s="4" t="n">
        <v>17</v>
      </c>
      <c r="B89" s="13" t="s">
        <v>63</v>
      </c>
      <c r="C89" s="13" t="s">
        <v>64</v>
      </c>
      <c r="D89" s="4" t="n">
        <v>3</v>
      </c>
      <c r="E89" s="13" t="s">
        <v>96</v>
      </c>
      <c r="F89" s="14" t="n">
        <v>3612</v>
      </c>
      <c r="G89" s="14" t="n">
        <v>6800</v>
      </c>
      <c r="H89" s="4" t="str">
        <f aca="false">ROUND(F89/G89,2)&amp;":1"</f>
        <v>0.53:1</v>
      </c>
    </row>
  </sheetData>
  <autoFilter ref="A4:H89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B981"/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8"/>
    <col collapsed="false" customWidth="true" hidden="false" outlineLevel="0" max="3" min="3" style="0" width="13"/>
    <col collapsed="false" customWidth="true" hidden="false" outlineLevel="0" max="4" min="4" style="0" width="27"/>
    <col collapsed="false" customWidth="true" hidden="false" outlineLevel="0" max="5" min="5" style="0" width="20"/>
    <col collapsed="false" customWidth="true" hidden="false" outlineLevel="0" max="6" min="6" style="0" width="17"/>
    <col collapsed="false" customWidth="true" hidden="false" outlineLevel="0" max="7" min="7" style="0" width="12"/>
    <col collapsed="false" customWidth="true" hidden="false" outlineLevel="0" max="8" min="8" style="0" width="17"/>
  </cols>
  <sheetData>
    <row r="1" customFormat="false" ht="17.35" hidden="false" customHeight="false" outlineLevel="0" collapsed="false">
      <c r="A1" s="1" t="s">
        <v>108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109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4</v>
      </c>
      <c r="C4" s="3" t="s">
        <v>8</v>
      </c>
      <c r="D4" s="3" t="s">
        <v>110</v>
      </c>
      <c r="E4" s="3" t="s">
        <v>111</v>
      </c>
      <c r="F4" s="3" t="s">
        <v>112</v>
      </c>
      <c r="G4" s="3" t="s">
        <v>113</v>
      </c>
      <c r="H4" s="3" t="s">
        <v>12</v>
      </c>
    </row>
    <row r="5" customFormat="false" ht="15" hidden="false" customHeight="false" outlineLevel="0" collapsed="false">
      <c r="A5" s="4" t="n">
        <v>1</v>
      </c>
      <c r="B5" s="13" t="s">
        <v>15</v>
      </c>
      <c r="C5" s="17" t="n">
        <v>12.49</v>
      </c>
      <c r="D5" s="17" t="n">
        <f aca="false">CEILING(C5*2.5,5)-0.01</f>
        <v>34.99</v>
      </c>
      <c r="E5" s="17" t="n">
        <f aca="false">D5*2</f>
        <v>69.98</v>
      </c>
      <c r="F5" s="18" t="n">
        <f aca="false">(D5-C5)/D5</f>
        <v>0.643040868819663</v>
      </c>
      <c r="G5" s="4" t="s">
        <v>114</v>
      </c>
      <c r="H5" s="4" t="s">
        <v>19</v>
      </c>
    </row>
    <row r="6" customFormat="false" ht="15" hidden="false" customHeight="false" outlineLevel="0" collapsed="false">
      <c r="A6" s="4" t="n">
        <v>2</v>
      </c>
      <c r="B6" s="13" t="s">
        <v>21</v>
      </c>
      <c r="C6" s="17" t="n">
        <v>11.69</v>
      </c>
      <c r="D6" s="17" t="n">
        <f aca="false">CEILING(C6*2.5,5)-0.01</f>
        <v>29.99</v>
      </c>
      <c r="E6" s="17" t="n">
        <f aca="false">D6*2</f>
        <v>59.98</v>
      </c>
      <c r="F6" s="18" t="n">
        <f aca="false">(D6-C6)/D6</f>
        <v>0.610203401133711</v>
      </c>
      <c r="G6" s="4" t="s">
        <v>114</v>
      </c>
      <c r="H6" s="4" t="s">
        <v>23</v>
      </c>
    </row>
    <row r="7" customFormat="false" ht="15" hidden="false" customHeight="false" outlineLevel="0" collapsed="false">
      <c r="A7" s="4" t="n">
        <v>3</v>
      </c>
      <c r="B7" s="13" t="s">
        <v>25</v>
      </c>
      <c r="C7" s="17" t="n">
        <v>13.39</v>
      </c>
      <c r="D7" s="17" t="n">
        <f aca="false">CEILING(C7*2.5,5)-0.01</f>
        <v>34.99</v>
      </c>
      <c r="E7" s="17" t="n">
        <f aca="false">D7*2</f>
        <v>69.98</v>
      </c>
      <c r="F7" s="18" t="n">
        <f aca="false">(D7-C7)/D7</f>
        <v>0.617319234066876</v>
      </c>
      <c r="G7" s="4" t="s">
        <v>114</v>
      </c>
      <c r="H7" s="4" t="s">
        <v>23</v>
      </c>
    </row>
    <row r="8" customFormat="false" ht="15" hidden="false" customHeight="false" outlineLevel="0" collapsed="false">
      <c r="A8" s="4" t="n">
        <v>4</v>
      </c>
      <c r="B8" s="13" t="s">
        <v>27</v>
      </c>
      <c r="C8" s="17" t="n">
        <v>9.59</v>
      </c>
      <c r="D8" s="17" t="n">
        <f aca="false">CEILING(C8*2.5,5)-0.01</f>
        <v>24.99</v>
      </c>
      <c r="E8" s="17" t="n">
        <f aca="false">D8*2</f>
        <v>49.98</v>
      </c>
      <c r="F8" s="18" t="n">
        <f aca="false">(D8-C8)/D8</f>
        <v>0.61624649859944</v>
      </c>
      <c r="G8" s="4" t="s">
        <v>115</v>
      </c>
      <c r="H8" s="4" t="s">
        <v>23</v>
      </c>
    </row>
    <row r="9" customFormat="false" ht="15" hidden="false" customHeight="false" outlineLevel="0" collapsed="false">
      <c r="A9" s="4" t="n">
        <v>5</v>
      </c>
      <c r="B9" s="13" t="s">
        <v>29</v>
      </c>
      <c r="C9" s="17" t="n">
        <v>13.59</v>
      </c>
      <c r="D9" s="17" t="n">
        <f aca="false">CEILING(C9*2.5,5)-0.01</f>
        <v>34.99</v>
      </c>
      <c r="E9" s="17" t="n">
        <f aca="false">D9*2</f>
        <v>69.98</v>
      </c>
      <c r="F9" s="18" t="n">
        <f aca="false">(D9-C9)/D9</f>
        <v>0.611603315232924</v>
      </c>
      <c r="G9" s="4" t="s">
        <v>114</v>
      </c>
      <c r="H9" s="4" t="s">
        <v>31</v>
      </c>
    </row>
    <row r="10" customFormat="false" ht="15" hidden="false" customHeight="false" outlineLevel="0" collapsed="false">
      <c r="A10" s="4" t="n">
        <v>6</v>
      </c>
      <c r="B10" s="13" t="s">
        <v>34</v>
      </c>
      <c r="C10" s="17" t="n">
        <v>7.69</v>
      </c>
      <c r="D10" s="17" t="n">
        <f aca="false">CEILING(C10*2.5,5)-0.01</f>
        <v>19.99</v>
      </c>
      <c r="E10" s="17" t="n">
        <f aca="false">D10*2</f>
        <v>39.98</v>
      </c>
      <c r="F10" s="18" t="n">
        <f aca="false">(D10-C10)/D10</f>
        <v>0.615307653826913</v>
      </c>
      <c r="G10" s="4" t="s">
        <v>115</v>
      </c>
      <c r="H10" s="4" t="s">
        <v>35</v>
      </c>
    </row>
    <row r="11" customFormat="false" ht="15" hidden="false" customHeight="false" outlineLevel="0" collapsed="false">
      <c r="A11" s="4" t="n">
        <v>7</v>
      </c>
      <c r="B11" s="13" t="s">
        <v>37</v>
      </c>
      <c r="C11" s="17" t="n">
        <v>7.91</v>
      </c>
      <c r="D11" s="17" t="n">
        <f aca="false">CEILING(C11*2.5,5)-0.01</f>
        <v>19.99</v>
      </c>
      <c r="E11" s="17" t="n">
        <f aca="false">D11*2</f>
        <v>39.98</v>
      </c>
      <c r="F11" s="18" t="n">
        <f aca="false">(D11-C11)/D11</f>
        <v>0.604302151075538</v>
      </c>
      <c r="G11" s="4" t="s">
        <v>115</v>
      </c>
      <c r="H11" s="4" t="s">
        <v>39</v>
      </c>
    </row>
    <row r="12" customFormat="false" ht="15" hidden="false" customHeight="false" outlineLevel="0" collapsed="false">
      <c r="A12" s="4" t="n">
        <v>8</v>
      </c>
      <c r="B12" s="13" t="s">
        <v>41</v>
      </c>
      <c r="C12" s="17" t="n">
        <v>9.23</v>
      </c>
      <c r="D12" s="17" t="n">
        <f aca="false">CEILING(C12*2.5,5)-0.01</f>
        <v>24.99</v>
      </c>
      <c r="E12" s="17" t="n">
        <f aca="false">D12*2</f>
        <v>49.98</v>
      </c>
      <c r="F12" s="18" t="n">
        <f aca="false">(D12-C12)/D12</f>
        <v>0.630652260904362</v>
      </c>
      <c r="G12" s="4" t="s">
        <v>115</v>
      </c>
      <c r="H12" s="4" t="s">
        <v>19</v>
      </c>
    </row>
    <row r="13" customFormat="false" ht="15" hidden="false" customHeight="false" outlineLevel="0" collapsed="false">
      <c r="A13" s="4" t="n">
        <v>9</v>
      </c>
      <c r="B13" s="13" t="s">
        <v>43</v>
      </c>
      <c r="C13" s="17" t="n">
        <v>6.15</v>
      </c>
      <c r="D13" s="17" t="n">
        <f aca="false">CEILING(C13*2.5,5)-0.01</f>
        <v>19.99</v>
      </c>
      <c r="E13" s="17" t="n">
        <f aca="false">D13*2</f>
        <v>39.98</v>
      </c>
      <c r="F13" s="18" t="n">
        <f aca="false">(D13-C13)/D13</f>
        <v>0.692346173086543</v>
      </c>
      <c r="G13" s="4" t="s">
        <v>116</v>
      </c>
      <c r="H13" s="4" t="s">
        <v>35</v>
      </c>
    </row>
    <row r="14" customFormat="false" ht="15" hidden="false" customHeight="false" outlineLevel="0" collapsed="false">
      <c r="A14" s="4" t="n">
        <v>10</v>
      </c>
      <c r="B14" s="13" t="s">
        <v>47</v>
      </c>
      <c r="C14" s="17" t="n">
        <v>3.99</v>
      </c>
      <c r="D14" s="17" t="n">
        <f aca="false">CEILING(C14*2.5,5)-0.01</f>
        <v>9.99</v>
      </c>
      <c r="E14" s="17" t="n">
        <f aca="false">D14*2</f>
        <v>19.98</v>
      </c>
      <c r="F14" s="18" t="n">
        <f aca="false">(D14-C14)/D14</f>
        <v>0.600600600600601</v>
      </c>
      <c r="G14" s="4" t="s">
        <v>116</v>
      </c>
      <c r="H14" s="4" t="s">
        <v>19</v>
      </c>
    </row>
    <row r="15" customFormat="false" ht="15" hidden="false" customHeight="false" outlineLevel="0" collapsed="false">
      <c r="A15" s="4" t="n">
        <v>11</v>
      </c>
      <c r="B15" s="13" t="s">
        <v>50</v>
      </c>
      <c r="C15" s="17" t="n">
        <v>6.89</v>
      </c>
      <c r="D15" s="17" t="n">
        <f aca="false">CEILING(C15*2.5,5)-0.01</f>
        <v>19.99</v>
      </c>
      <c r="E15" s="17" t="n">
        <f aca="false">D15*2</f>
        <v>39.98</v>
      </c>
      <c r="F15" s="18" t="n">
        <f aca="false">(D15-C15)/D15</f>
        <v>0.655327663831916</v>
      </c>
      <c r="G15" s="4" t="s">
        <v>116</v>
      </c>
      <c r="H15" s="4" t="s">
        <v>23</v>
      </c>
    </row>
    <row r="16" customFormat="false" ht="15" hidden="false" customHeight="false" outlineLevel="0" collapsed="false">
      <c r="A16" s="4" t="n">
        <v>12</v>
      </c>
      <c r="B16" s="13" t="s">
        <v>52</v>
      </c>
      <c r="C16" s="17" t="n">
        <v>10.29</v>
      </c>
      <c r="D16" s="17" t="n">
        <f aca="false">CEILING(C16*2.5,5)-0.01</f>
        <v>29.99</v>
      </c>
      <c r="E16" s="17" t="n">
        <f aca="false">D16*2</f>
        <v>59.98</v>
      </c>
      <c r="F16" s="18" t="n">
        <f aca="false">(D16-C16)/D16</f>
        <v>0.656885628542848</v>
      </c>
      <c r="G16" s="4" t="s">
        <v>115</v>
      </c>
      <c r="H16" s="4" t="s">
        <v>35</v>
      </c>
    </row>
    <row r="17" customFormat="false" ht="15" hidden="false" customHeight="false" outlineLevel="0" collapsed="false">
      <c r="A17" s="4" t="n">
        <v>13</v>
      </c>
      <c r="B17" s="13" t="s">
        <v>54</v>
      </c>
      <c r="C17" s="17" t="n">
        <v>14.09</v>
      </c>
      <c r="D17" s="17" t="n">
        <f aca="false">CEILING(C17*2.5,5)-0.01</f>
        <v>39.99</v>
      </c>
      <c r="E17" s="17" t="n">
        <f aca="false">D17*2</f>
        <v>79.98</v>
      </c>
      <c r="F17" s="18" t="n">
        <f aca="false">(D17-C17)/D17</f>
        <v>0.64766191547887</v>
      </c>
      <c r="G17" s="4" t="s">
        <v>114</v>
      </c>
      <c r="H17" s="4" t="s">
        <v>23</v>
      </c>
    </row>
    <row r="18" customFormat="false" ht="15" hidden="false" customHeight="false" outlineLevel="0" collapsed="false">
      <c r="A18" s="4" t="n">
        <v>14</v>
      </c>
      <c r="B18" s="13" t="s">
        <v>57</v>
      </c>
      <c r="C18" s="17" t="n">
        <v>11.76</v>
      </c>
      <c r="D18" s="17" t="n">
        <f aca="false">CEILING(C18*2.5,5)-0.01</f>
        <v>29.99</v>
      </c>
      <c r="E18" s="17" t="n">
        <f aca="false">D18*2</f>
        <v>59.98</v>
      </c>
      <c r="F18" s="18" t="n">
        <f aca="false">(D18-C18)/D18</f>
        <v>0.607869289763254</v>
      </c>
      <c r="G18" s="4" t="s">
        <v>114</v>
      </c>
      <c r="H18" s="4" t="s">
        <v>35</v>
      </c>
    </row>
    <row r="19" customFormat="false" ht="15" hidden="false" customHeight="false" outlineLevel="0" collapsed="false">
      <c r="A19" s="4" t="n">
        <v>15</v>
      </c>
      <c r="B19" s="13" t="s">
        <v>59</v>
      </c>
      <c r="C19" s="17" t="n">
        <v>16.99</v>
      </c>
      <c r="D19" s="17" t="n">
        <f aca="false">CEILING(C19*2.5,5)-0.01</f>
        <v>44.99</v>
      </c>
      <c r="E19" s="17" t="n">
        <f aca="false">D19*2</f>
        <v>89.98</v>
      </c>
      <c r="F19" s="18" t="n">
        <f aca="false">(D19-C19)/D19</f>
        <v>0.622360524561014</v>
      </c>
      <c r="G19" s="4" t="s">
        <v>114</v>
      </c>
      <c r="H19" s="4" t="s">
        <v>35</v>
      </c>
    </row>
    <row r="20" customFormat="false" ht="15" hidden="false" customHeight="false" outlineLevel="0" collapsed="false">
      <c r="A20" s="4" t="n">
        <v>16</v>
      </c>
      <c r="B20" s="13" t="s">
        <v>117</v>
      </c>
      <c r="C20" s="17" t="n">
        <v>8.99</v>
      </c>
      <c r="D20" s="17" t="n">
        <f aca="false">CEILING(C20*2.5,5)-0.01</f>
        <v>24.99</v>
      </c>
      <c r="E20" s="17" t="n">
        <f aca="false">D20*2</f>
        <v>49.98</v>
      </c>
      <c r="F20" s="18" t="n">
        <f aca="false">(D20-C20)/D20</f>
        <v>0.640256102440976</v>
      </c>
      <c r="G20" s="4" t="s">
        <v>115</v>
      </c>
      <c r="H20" s="4" t="s">
        <v>35</v>
      </c>
    </row>
    <row r="21" customFormat="false" ht="15" hidden="false" customHeight="false" outlineLevel="0" collapsed="false">
      <c r="A21" s="4" t="n">
        <v>17</v>
      </c>
      <c r="B21" s="13" t="s">
        <v>64</v>
      </c>
      <c r="C21" s="17" t="n">
        <v>8.46</v>
      </c>
      <c r="D21" s="17" t="n">
        <f aca="false">CEILING(C21*2.5,5)-0.01</f>
        <v>24.99</v>
      </c>
      <c r="E21" s="17" t="n">
        <f aca="false">D21*2</f>
        <v>49.98</v>
      </c>
      <c r="F21" s="18" t="n">
        <f aca="false">(D21-C21)/D21</f>
        <v>0.661464585834334</v>
      </c>
      <c r="G21" s="4" t="s">
        <v>115</v>
      </c>
      <c r="H21" s="4" t="s">
        <v>39</v>
      </c>
    </row>
    <row r="22" customFormat="false" ht="15" hidden="false" customHeight="false" outlineLevel="0" collapsed="false">
      <c r="A22" s="4" t="n">
        <v>18</v>
      </c>
      <c r="B22" s="13" t="s">
        <v>118</v>
      </c>
      <c r="C22" s="17" t="n">
        <v>18.5</v>
      </c>
      <c r="D22" s="17" t="n">
        <f aca="false">CEILING(C22*2.5,5)-0.01</f>
        <v>49.99</v>
      </c>
      <c r="E22" s="17" t="n">
        <f aca="false">D22*2</f>
        <v>99.98</v>
      </c>
      <c r="F22" s="18" t="n">
        <f aca="false">(D22-C22)/D22</f>
        <v>0.62992598519704</v>
      </c>
      <c r="G22" s="4" t="s">
        <v>114</v>
      </c>
      <c r="H22" s="4" t="s">
        <v>35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2026-03-01T12:15:45Z</dcterms:created>
  <dc:creator>openpyxl</dc:creator>
  <dc:description/>
  <dc:language>en-US</dc:language>
  <cp:lastModifiedBy/>
  <dcterms:modified xsi:type="dcterms:W3CDTF">2026-03-01T12:15:45Z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