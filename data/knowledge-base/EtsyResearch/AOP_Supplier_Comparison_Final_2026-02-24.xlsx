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wner\Documents\EtsyAutomation\EtsyResearch\"/>
    </mc:Choice>
  </mc:AlternateContent>
  <xr:revisionPtr revIDLastSave="0" documentId="13_ncr:1_{CE12089F-4DBB-4332-B982-D3EA8F66DAED}" xr6:coauthVersionLast="47" xr6:coauthVersionMax="47" xr10:uidLastSave="{00000000-0000-0000-0000-000000000000}"/>
  <bookViews>
    <workbookView xWindow="-108" yWindow="-108" windowWidth="30936" windowHeight="16776" tabRatio="500" xr2:uid="{00000000-000D-0000-FFFF-FFFF00000000}"/>
  </bookViews>
  <sheets>
    <sheet name="Supplier Overview" sheetId="1" r:id="rId1"/>
    <sheet name="Pricing Comparison" sheetId="2" r:id="rId2"/>
    <sheet name="API &amp; Integration" sheetId="3" r:id="rId3"/>
    <sheet name="Quality &amp; Reviews" sheetId="4" r:id="rId4"/>
    <sheet name="Scoring" sheetId="5" r:id="rId5"/>
    <sheet name="Recommendation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1" i="5" l="1"/>
  <c r="K12" i="1" s="1"/>
  <c r="I10" i="5"/>
  <c r="K13" i="1" s="1"/>
  <c r="I9" i="5"/>
  <c r="K11" i="1" s="1"/>
  <c r="I8" i="5"/>
  <c r="K10" i="1" s="1"/>
  <c r="I7" i="5"/>
  <c r="J7" i="5" s="1"/>
  <c r="I6" i="5"/>
  <c r="K8" i="1" s="1"/>
  <c r="J5" i="5"/>
  <c r="I5" i="5"/>
  <c r="K7" i="1" s="1"/>
  <c r="I4" i="5"/>
  <c r="K6" i="1" s="1"/>
  <c r="I3" i="5"/>
  <c r="J3" i="5" s="1"/>
  <c r="E21" i="2"/>
  <c r="D21" i="2"/>
  <c r="F21" i="2" s="1"/>
  <c r="G21" i="2" s="1"/>
  <c r="E20" i="2"/>
  <c r="D20" i="2"/>
  <c r="F20" i="2" s="1"/>
  <c r="G20" i="2" s="1"/>
  <c r="E19" i="2"/>
  <c r="D19" i="2"/>
  <c r="F19" i="2" s="1"/>
  <c r="G19" i="2" s="1"/>
  <c r="E18" i="2"/>
  <c r="D18" i="2"/>
  <c r="F18" i="2" s="1"/>
  <c r="G18" i="2" s="1"/>
  <c r="E17" i="2"/>
  <c r="D17" i="2"/>
  <c r="F17" i="2" s="1"/>
  <c r="G17" i="2" s="1"/>
  <c r="E16" i="2"/>
  <c r="D16" i="2"/>
  <c r="F16" i="2" s="1"/>
  <c r="G16" i="2" s="1"/>
  <c r="E15" i="2"/>
  <c r="D15" i="2"/>
  <c r="D5" i="6" s="1"/>
  <c r="F14" i="2"/>
  <c r="G14" i="2" s="1"/>
  <c r="E14" i="2"/>
  <c r="D14" i="2"/>
  <c r="E13" i="2"/>
  <c r="D13" i="2"/>
  <c r="F13" i="2" s="1"/>
  <c r="G13" i="2" s="1"/>
  <c r="E12" i="2"/>
  <c r="D12" i="2"/>
  <c r="D4" i="6" s="1"/>
  <c r="F12" i="2" l="1"/>
  <c r="G12" i="2" s="1"/>
  <c r="J4" i="5"/>
  <c r="J6" i="5"/>
  <c r="K5" i="1"/>
  <c r="K9" i="1"/>
  <c r="J10" i="5"/>
  <c r="J11" i="5"/>
  <c r="J8" i="5"/>
  <c r="J9" i="5"/>
  <c r="F15" i="2"/>
  <c r="G15" i="2" s="1"/>
</calcChain>
</file>

<file path=xl/sharedStrings.xml><?xml version="1.0" encoding="utf-8"?>
<sst xmlns="http://schemas.openxmlformats.org/spreadsheetml/2006/main" count="362" uniqueCount="262">
  <si>
    <t>AOP POD Supplier Comparative Analysis — LunarAuraDesignStore</t>
  </si>
  <si>
    <t>Report Date: Feb 24, 2026 | Current Provider: Printify (MWW On Demand BP 450) | Target: Price-competitive AOP hoodies for multi-tier Etsy listings</t>
  </si>
  <si>
    <t>Supplier</t>
  </si>
  <si>
    <t>HQ / Mfg Location</t>
  </si>
  <si>
    <t>Founded</t>
  </si>
  <si>
    <t>AOP Specialization</t>
  </si>
  <si>
    <t>Product Range</t>
  </si>
  <si>
    <t>Etsy Integration</t>
  </si>
  <si>
    <t>API Available</t>
  </si>
  <si>
    <t>Shopify App Rating</t>
  </si>
  <si>
    <t>Key Strength</t>
  </si>
  <si>
    <t>Key Weakness</t>
  </si>
  <si>
    <t>Overall Score</t>
  </si>
  <si>
    <t>Printify (Current)</t>
  </si>
  <si>
    <t>USA / Multi-provider network</t>
  </si>
  <si>
    <t>2015</t>
  </si>
  <si>
    <t>Yes (via providers)</t>
  </si>
  <si>
    <t>900+ products</t>
  </si>
  <si>
    <t>Native</t>
  </si>
  <si>
    <t>Yes (REST API)</t>
  </si>
  <si>
    <t>4.7 / 5</t>
  </si>
  <si>
    <t>Largest provider network, competitive routing</t>
  </si>
  <si>
    <t>Quality varies by provider</t>
  </si>
  <si>
    <t>Subliminator</t>
  </si>
  <si>
    <t>Netherlands / China mfg</t>
  </si>
  <si>
    <t>2018</t>
  </si>
  <si>
    <t>AOP-first (cut &amp; sew)</t>
  </si>
  <si>
    <t>150+ AOP products</t>
  </si>
  <si>
    <t>Coming Soon</t>
  </si>
  <si>
    <t>Via Shopify only</t>
  </si>
  <si>
    <t>4.5 / 5</t>
  </si>
  <si>
    <t>Best-in-class AOP print quality</t>
  </si>
  <si>
    <t>Limited product range, no Etsy yet</t>
  </si>
  <si>
    <t>Merchize</t>
  </si>
  <si>
    <t>USA / Vietnam mfg</t>
  </si>
  <si>
    <t>Strong AOP focus</t>
  </si>
  <si>
    <t>1,000+ products</t>
  </si>
  <si>
    <t>3.8 / 5</t>
  </si>
  <si>
    <t>Lowest AOP base costs, Vietnam factory</t>
  </si>
  <si>
    <t>Mixed reviews, 7% processing fee</t>
  </si>
  <si>
    <t>AOP+</t>
  </si>
  <si>
    <t>London, UK / UK mfg</t>
  </si>
  <si>
    <t>2009</t>
  </si>
  <si>
    <t>AOP + DTG specialist</t>
  </si>
  <si>
    <t>200+ products</t>
  </si>
  <si>
    <t>App-based only</t>
  </si>
  <si>
    <t>4.2 / 5</t>
  </si>
  <si>
    <t>Eco-friendly, great quality, UK production</t>
  </si>
  <si>
    <t>High US shipping, slower delivery</t>
  </si>
  <si>
    <t>Gooten</t>
  </si>
  <si>
    <t>USA / Multi-provider</t>
  </si>
  <si>
    <t>2013</t>
  </si>
  <si>
    <t>525+ products</t>
  </si>
  <si>
    <t>Via 3rd party</t>
  </si>
  <si>
    <t>3.7 / 5</t>
  </si>
  <si>
    <t>Free robust API, VIM volume discounts</t>
  </si>
  <si>
    <t>QC inconsistencies, no direct Etsy</t>
  </si>
  <si>
    <t>Printful</t>
  </si>
  <si>
    <t>USA / Global facilities</t>
  </si>
  <si>
    <t>Yes (sublimation)</t>
  </si>
  <si>
    <t>350+ products</t>
  </si>
  <si>
    <t>4.4 / 5</t>
  </si>
  <si>
    <t>Best QC (0.24% reshipment), branding</t>
  </si>
  <si>
    <t>Highest prices, AOP costs premium</t>
  </si>
  <si>
    <t>HugePOD</t>
  </si>
  <si>
    <t>China</t>
  </si>
  <si>
    <t>2020</t>
  </si>
  <si>
    <t>AOP-focused</t>
  </si>
  <si>
    <t>500+ styles</t>
  </si>
  <si>
    <t>No</t>
  </si>
  <si>
    <t>3.2 / 5 (Trustpilot)</t>
  </si>
  <si>
    <t>Very low prices, bulk discounts</t>
  </si>
  <si>
    <t>Quality inconsistent, slow shipping</t>
  </si>
  <si>
    <t>Yoycol</t>
  </si>
  <si>
    <t>China (Shenzhen)</t>
  </si>
  <si>
    <t>2016</t>
  </si>
  <si>
    <t>AOP-first (800+ AOP)</t>
  </si>
  <si>
    <t>800+ products</t>
  </si>
  <si>
    <t>Yes — Full REST API (V4)</t>
  </si>
  <si>
    <t>Cheapest AOP on market, 3D mockup tools</t>
  </si>
  <si>
    <t>China shipping (7-20 days), no thread color match</t>
  </si>
  <si>
    <t>SPOD (Spreadshirt)</t>
  </si>
  <si>
    <t>Germany / EU + US</t>
  </si>
  <si>
    <t>2002</t>
  </si>
  <si>
    <t>No AOP hoodies</t>
  </si>
  <si>
    <t>250+ products</t>
  </si>
  <si>
    <t>4.0 / 5</t>
  </si>
  <si>
    <t>48hr production, great DTG</t>
  </si>
  <si>
    <t>NO AOP hoodies available</t>
  </si>
  <si>
    <t>AOP Hoodie Pricing — Cost Per Unit Comparison (USD)</t>
  </si>
  <si>
    <t>All prices in USD. Shipping to continental US. Size M baseline unless noted. Blue = input assumptions you can change.</t>
  </si>
  <si>
    <t>ASSUMPTIONS (editable)</t>
  </si>
  <si>
    <t>Your Etsy Sale Price</t>
  </si>
  <si>
    <t>Etsy Transaction Fee</t>
  </si>
  <si>
    <t>Etsy Listing Fee</t>
  </si>
  <si>
    <t>Etsy Payment Processing</t>
  </si>
  <si>
    <t>Etsy Offsite Ads (est.)</t>
  </si>
  <si>
    <t>AOP Hoodie
Base Cost</t>
  </si>
  <si>
    <t>Shipping
(US Std)</t>
  </si>
  <si>
    <t>Total
Landed Cost</t>
  </si>
  <si>
    <t>Etsy Fees
(on $74.99)</t>
  </si>
  <si>
    <t>Net Profit
per Unit</t>
  </si>
  <si>
    <t>Profit
Margin</t>
  </si>
  <si>
    <t>Production
Time</t>
  </si>
  <si>
    <t>Ship to
Customer</t>
  </si>
  <si>
    <t>Total
Fulfillment</t>
  </si>
  <si>
    <t>Material</t>
  </si>
  <si>
    <t>Fabric
Weight</t>
  </si>
  <si>
    <t>Printify (MWW — BP450)</t>
  </si>
  <si>
    <t>3-6 days</t>
  </si>
  <si>
    <t>3-7 days</t>
  </si>
  <si>
    <t>6-13 days</t>
  </si>
  <si>
    <t>86% poly / 14% cotton</t>
  </si>
  <si>
    <t>8.85 oz/yd²</t>
  </si>
  <si>
    <t>Printify (Subliminator — BP592)</t>
  </si>
  <si>
    <t>6-9 days</t>
  </si>
  <si>
    <t>9-16 days</t>
  </si>
  <si>
    <t>75% poly / 20% cotton / 5% spandex</t>
  </si>
  <si>
    <t>7.7 oz/yd²</t>
  </si>
  <si>
    <t>Subliminator (Direct)</t>
  </si>
  <si>
    <t>Merchize (Lightweight)</t>
  </si>
  <si>
    <t>2-6 days</t>
  </si>
  <si>
    <t>4-7 days</t>
  </si>
  <si>
    <t>100% polyester</t>
  </si>
  <si>
    <t>260 GSM</t>
  </si>
  <si>
    <t>Merchize (Standard)</t>
  </si>
  <si>
    <t>AOP+ (Classic Hoodie)</t>
  </si>
  <si>
    <t>3-5 days</t>
  </si>
  <si>
    <t>5-10 days</t>
  </si>
  <si>
    <t>8-15 days</t>
  </si>
  <si>
    <t>80% poly / 20% cotton</t>
  </si>
  <si>
    <t>280 GSM</t>
  </si>
  <si>
    <t>Gooten (AOP Hoodie)</t>
  </si>
  <si>
    <t>4-8 days</t>
  </si>
  <si>
    <t>7-15 days</t>
  </si>
  <si>
    <t>95% polyester / 5% spandex</t>
  </si>
  <si>
    <t>8.0 oz/yd²</t>
  </si>
  <si>
    <t>Printful (AOP Recycled)</t>
  </si>
  <si>
    <t>2-5 days</t>
  </si>
  <si>
    <t>70% poly / 27% cotton / 3% elastane</t>
  </si>
  <si>
    <t>HugePOD (AOP Hoodie)</t>
  </si>
  <si>
    <t>10-20 days</t>
  </si>
  <si>
    <t>15-30 days</t>
  </si>
  <si>
    <t>Thin (~200 GSM)</t>
  </si>
  <si>
    <t>Yoycol (AOP Hoodie)</t>
  </si>
  <si>
    <t>7-20 days</t>
  </si>
  <si>
    <t>9-25 days</t>
  </si>
  <si>
    <t>~260 GSM (est.)</t>
  </si>
  <si>
    <t>API Capabilities &amp; Platform Integration Comparison</t>
  </si>
  <si>
    <t>REST API</t>
  </si>
  <si>
    <t>API Docs</t>
  </si>
  <si>
    <t>Product Creation
via API</t>
  </si>
  <si>
    <t>Order Mgmt
via API</t>
  </si>
  <si>
    <t>Etsy
Integration</t>
  </si>
  <si>
    <t>Shopify
Integration</t>
  </si>
  <si>
    <t>Automation
Friendliness</t>
  </si>
  <si>
    <t>Yes — Full REST API</t>
  </si>
  <si>
    <t>developers.printify.com</t>
  </si>
  <si>
    <t>Yes — create products, upload images</t>
  </si>
  <si>
    <t>Yes — create/cancel/ship</t>
  </si>
  <si>
    <t>Native (auto-sync)</t>
  </si>
  <si>
    <t>EXCELLENT</t>
  </si>
  <si>
    <t>No public API</t>
  </si>
  <si>
    <t>N/A</t>
  </si>
  <si>
    <t>No — Shopify app only</t>
  </si>
  <si>
    <t>Auto via Shopify orders</t>
  </si>
  <si>
    <t>Native app</t>
  </si>
  <si>
    <t>LIMITED</t>
  </si>
  <si>
    <t>Yes — REST API</t>
  </si>
  <si>
    <t>Via dashboard</t>
  </si>
  <si>
    <t>Yes — product + variants</t>
  </si>
  <si>
    <t>Yes — order placement</t>
  </si>
  <si>
    <t>Private/custom app</t>
  </si>
  <si>
    <t>GOOD</t>
  </si>
  <si>
    <t>No — app-based only</t>
  </si>
  <si>
    <t>Auto via platform orders</t>
  </si>
  <si>
    <t>developer.gooten.com</t>
  </si>
  <si>
    <t>Yes — full product CRUD</t>
  </si>
  <si>
    <t>Yes — create/track/cancel</t>
  </si>
  <si>
    <t>developers.printful.com</t>
  </si>
  <si>
    <t>Yes — create products, mockups</t>
  </si>
  <si>
    <t>Yes — full order lifecycle</t>
  </si>
  <si>
    <t>No — manual order entry</t>
  </si>
  <si>
    <t>NONE</t>
  </si>
  <si>
    <t>SPOD</t>
  </si>
  <si>
    <t>api.spod.com/docs</t>
  </si>
  <si>
    <t>Yes — product creation</t>
  </si>
  <si>
    <t>Yes — order fulfillment</t>
  </si>
  <si>
    <t>GOOD (no AOP)</t>
  </si>
  <si>
    <t>yoycol.com/api/2025/redoc</t>
  </si>
  <si>
    <t>Yes — product templates, store products, variant upserts</t>
  </si>
  <si>
    <t>Yes — create/update/cancel/track orders</t>
  </si>
  <si>
    <t>Product Quality &amp; User Reviews Summary</t>
  </si>
  <si>
    <t>Print Method</t>
  </si>
  <si>
    <t>Print Quality
(1-10)</t>
  </si>
  <si>
    <t>Fabric Quality
(1-10)</t>
  </si>
  <si>
    <t>Consistency
(1-10)</t>
  </si>
  <si>
    <t>User Sentiment</t>
  </si>
  <si>
    <t>Key Review Quotes</t>
  </si>
  <si>
    <t>Printify (MWW)</t>
  </si>
  <si>
    <t>Dye-sublimation (cut &amp; sew)</t>
  </si>
  <si>
    <t>Positive</t>
  </si>
  <si>
    <t>Solid AOP quality. Provider-dependent consistency.</t>
  </si>
  <si>
    <t>Cut &amp; sew sublimation</t>
  </si>
  <si>
    <t>Very Positive</t>
  </si>
  <si>
    <t>"Best AOP quality on the market." Color-matched stitching. Superb fabrics.</t>
  </si>
  <si>
    <t>Mixed</t>
  </si>
  <si>
    <t>Low costs but some wrong-product and double-charge reports. Vietnam factory.</t>
  </si>
  <si>
    <t>DTG + sublimation</t>
  </si>
  <si>
    <t>"By far one of the best print quality in POD." Eco-focus. UK made.</t>
  </si>
  <si>
    <t>Dye-sublimation</t>
  </si>
  <si>
    <t>Good at scale with VIM. 20% misprint rate reported by some users.</t>
  </si>
  <si>
    <t>0.24% reshipment rate. Premium blanks. Most consistent quality.</t>
  </si>
  <si>
    <t>Sublimation</t>
  </si>
  <si>
    <t>Negative</t>
  </si>
  <si>
    <t>Material mismatch (polyester vs advertised cotton). Month-long shipping.</t>
  </si>
  <si>
    <t>DTG / DTF only</t>
  </si>
  <si>
    <t>48hr production. No AOP hoodies — DTG/DTF only.</t>
  </si>
  <si>
    <t>"Best cost effective AOP company." Vibrant colors, soft. No thread color match.</t>
  </si>
  <si>
    <t>Weighted Scoring Model — Best AOP Supplier for LunarAuraDesignStore</t>
  </si>
  <si>
    <t>Weights →</t>
  </si>
  <si>
    <t>Price
Competitiveness</t>
  </si>
  <si>
    <t>Print
Quality</t>
  </si>
  <si>
    <t>API /
Automation</t>
  </si>
  <si>
    <t>Fulfillment
Speed</t>
  </si>
  <si>
    <t>Material
Quality</t>
  </si>
  <si>
    <t>Scalability</t>
  </si>
  <si>
    <t>Weighted
Total</t>
  </si>
  <si>
    <t>Rank</t>
  </si>
  <si>
    <t>Weight:</t>
  </si>
  <si>
    <t>Strategic Recommendation for LunarAuraDesignStore</t>
  </si>
  <si>
    <t>TIER</t>
  </si>
  <si>
    <t>RECOMMENDED SUPPLIER</t>
  </si>
  <si>
    <t>PRODUCT</t>
  </si>
  <si>
    <t>EST. COST (LANDED)</t>
  </si>
  <si>
    <t>SALE PRICE</t>
  </si>
  <si>
    <t>Premium (Hero)</t>
  </si>
  <si>
    <t>Printify — MWW On Demand (BP 450)</t>
  </si>
  <si>
    <t>AOP Hoodie (86/14 blend)</t>
  </si>
  <si>
    <t>$74.99</t>
  </si>
  <si>
    <t>Mid-Tier</t>
  </si>
  <si>
    <t>Merchize OR AOP+</t>
  </si>
  <si>
    <t>AOP Hoodie (lightweight)</t>
  </si>
  <si>
    <t>$49.99</t>
  </si>
  <si>
    <t>Entry</t>
  </si>
  <si>
    <t>AOP Tee (lightweight)</t>
  </si>
  <si>
    <t>$29.99</t>
  </si>
  <si>
    <t>KEY FINDINGS</t>
  </si>
  <si>
    <t>1.</t>
  </si>
  <si>
    <t>KEEP Printify/MWW for premium hoodies — best fabric blend, fastest US fulfillment, native Etsy + full API</t>
  </si>
  <si>
    <t>2.</t>
  </si>
  <si>
    <t>ADD Merchize as secondary provider — 60% lower base cost ($15.50 vs $44.25), REST API available, native Etsy</t>
  </si>
  <si>
    <t>3.</t>
  </si>
  <si>
    <t>CONSIDER AOP+ for UK/EU orders — great quality, eco-friendly, but high US shipping ($9.39)</t>
  </si>
  <si>
    <t>4.</t>
  </si>
  <si>
    <t>SKIP Subliminator for now — best quality but NO Etsy integration and NO public API (Shopify-only)</t>
  </si>
  <si>
    <t>5.</t>
  </si>
  <si>
    <t>SKIP HugePOD — cheapest but quality too inconsistent, no integrations, 15-30 day fulfillment</t>
  </si>
  <si>
    <t>7.</t>
  </si>
  <si>
    <t>STRONG CONTENDER: Yoycol — $6.20 base AOP hoodie + full REST API (V4) with product creation, variant mgmt, order lifecycle, shipping quotes. Native Etsy app. Caveat: China shipping (7-20 days), no thread color matching. 59% margin at $74.99.</t>
  </si>
  <si>
    <t>DUAL-SUPPLIER STRATEGY</t>
  </si>
  <si>
    <t>Premium customers get MWW quality (86/14 cotton-blend, 8.85oz). Price-sensitive customers get Merchize value (100% poly, lighter). Both work via API + Etsy.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</si>
</sst>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\$#,##0.00"/>
    <numFmt numFmtId="166" formatCode="0.0%"/>
  </numFmts>
  <fonts count="12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9"/>
      <color rgb="FF94A3B8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b/>
      <sz val="11"/>
      <color rgb="FF1E293B"/>
      <name val="Arial"/>
      <charset val="1"/>
    </font>
    <font>
      <sz val="10"/>
      <color rgb="FF0000FF"/>
      <name val="Arial"/>
      <charset val="1"/>
    </font>
    <font>
      <b/>
      <sz val="10"/>
      <color rgb="FF000000"/>
      <name val="Arial"/>
      <charset val="1"/>
    </font>
    <font>
      <b/>
      <sz val="10"/>
      <color rgb="FF008000"/>
      <name val="Arial"/>
      <charset val="1"/>
    </font>
    <font>
      <b/>
      <sz val="12"/>
      <name val="Arial"/>
      <charset val="1"/>
    </font>
    <font>
      <sz val="10"/>
      <color rgb="FF00800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1E293B"/>
        <bgColor rgb="FF0F172A"/>
      </patternFill>
    </fill>
    <fill>
      <patternFill patternType="solid">
        <fgColor rgb="FFE0F2FE"/>
        <bgColor rgb="FFDCFCE7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DCFCE7"/>
        <bgColor rgb="FFE0F2FE"/>
      </patternFill>
    </fill>
    <fill>
      <patternFill patternType="solid">
        <fgColor rgb="FFFEE2E2"/>
        <bgColor rgb="FFFED7AA"/>
      </patternFill>
    </fill>
    <fill>
      <patternFill patternType="solid">
        <fgColor rgb="FFFEF9C3"/>
        <bgColor rgb="FFF8FAFC"/>
      </patternFill>
    </fill>
    <fill>
      <patternFill patternType="solid">
        <fgColor rgb="FFFED7AA"/>
        <bgColor rgb="FFFEE2E2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6" fillId="9" borderId="0" xfId="0" applyFont="1" applyFill="1" applyBorder="1" applyAlignment="1"/>
    <xf numFmtId="0" fontId="2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Alignment="1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0" borderId="0" xfId="0" applyFont="1" applyAlignment="1"/>
    <xf numFmtId="165" fontId="7" fillId="0" borderId="0" xfId="0" applyNumberFormat="1" applyFont="1" applyAlignment="1"/>
    <xf numFmtId="166" fontId="7" fillId="0" borderId="0" xfId="0" applyNumberFormat="1" applyFont="1" applyAlignment="1"/>
    <xf numFmtId="165" fontId="4" fillId="4" borderId="1" xfId="0" applyNumberFormat="1" applyFont="1" applyFill="1" applyBorder="1" applyAlignment="1">
      <alignment horizontal="left" vertical="center" wrapText="1"/>
    </xf>
    <xf numFmtId="165" fontId="8" fillId="4" borderId="1" xfId="0" applyNumberFormat="1" applyFont="1" applyFill="1" applyBorder="1" applyAlignment="1">
      <alignment horizontal="left" vertical="center" wrapText="1"/>
    </xf>
    <xf numFmtId="165" fontId="9" fillId="4" borderId="1" xfId="0" applyNumberFormat="1" applyFont="1" applyFill="1" applyBorder="1" applyAlignment="1">
      <alignment horizontal="left" vertical="center" wrapText="1"/>
    </xf>
    <xf numFmtId="166" fontId="4" fillId="4" borderId="1" xfId="0" applyNumberFormat="1" applyFont="1" applyFill="1" applyBorder="1" applyAlignment="1">
      <alignment horizontal="left" vertical="center" wrapText="1"/>
    </xf>
    <xf numFmtId="165" fontId="4" fillId="5" borderId="1" xfId="0" applyNumberFormat="1" applyFont="1" applyFill="1" applyBorder="1" applyAlignment="1">
      <alignment horizontal="left" vertical="center" wrapText="1"/>
    </xf>
    <xf numFmtId="165" fontId="8" fillId="5" borderId="1" xfId="0" applyNumberFormat="1" applyFont="1" applyFill="1" applyBorder="1" applyAlignment="1">
      <alignment horizontal="left" vertical="center" wrapText="1"/>
    </xf>
    <xf numFmtId="165" fontId="9" fillId="5" borderId="1" xfId="0" applyNumberFormat="1" applyFont="1" applyFill="1" applyBorder="1" applyAlignment="1">
      <alignment horizontal="left" vertical="center" wrapText="1"/>
    </xf>
    <xf numFmtId="166" fontId="4" fillId="5" borderId="1" xfId="0" applyNumberFormat="1" applyFont="1" applyFill="1" applyBorder="1" applyAlignment="1">
      <alignment horizontal="left" vertical="center" wrapText="1"/>
    </xf>
    <xf numFmtId="165" fontId="4" fillId="6" borderId="1" xfId="0" applyNumberFormat="1" applyFont="1" applyFill="1" applyBorder="1" applyAlignment="1">
      <alignment horizontal="left" vertical="center" wrapText="1"/>
    </xf>
    <xf numFmtId="165" fontId="8" fillId="6" borderId="1" xfId="0" applyNumberFormat="1" applyFont="1" applyFill="1" applyBorder="1" applyAlignment="1">
      <alignment horizontal="left" vertical="center" wrapText="1"/>
    </xf>
    <xf numFmtId="165" fontId="9" fillId="6" borderId="1" xfId="0" applyNumberFormat="1" applyFont="1" applyFill="1" applyBorder="1" applyAlignment="1">
      <alignment horizontal="left" vertical="center" wrapText="1"/>
    </xf>
    <xf numFmtId="166" fontId="4" fillId="6" borderId="1" xfId="0" applyNumberFormat="1" applyFont="1" applyFill="1" applyBorder="1" applyAlignment="1">
      <alignment horizontal="left" vertical="center" wrapText="1"/>
    </xf>
    <xf numFmtId="165" fontId="4" fillId="7" borderId="1" xfId="0" applyNumberFormat="1" applyFont="1" applyFill="1" applyBorder="1" applyAlignment="1">
      <alignment horizontal="left" vertical="center" wrapText="1"/>
    </xf>
    <xf numFmtId="165" fontId="8" fillId="7" borderId="1" xfId="0" applyNumberFormat="1" applyFont="1" applyFill="1" applyBorder="1" applyAlignment="1">
      <alignment horizontal="left" vertical="center" wrapText="1"/>
    </xf>
    <xf numFmtId="165" fontId="9" fillId="7" borderId="1" xfId="0" applyNumberFormat="1" applyFont="1" applyFill="1" applyBorder="1" applyAlignment="1">
      <alignment horizontal="left" vertical="center" wrapText="1"/>
    </xf>
    <xf numFmtId="166" fontId="4" fillId="7" borderId="1" xfId="0" applyNumberFormat="1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165" fontId="7" fillId="7" borderId="1" xfId="0" applyNumberFormat="1" applyFont="1" applyFill="1" applyBorder="1" applyAlignment="1">
      <alignment horizontal="left" vertical="center" wrapText="1"/>
    </xf>
    <xf numFmtId="165" fontId="0" fillId="7" borderId="1" xfId="0" applyNumberFormat="1" applyFill="1" applyBorder="1" applyAlignment="1">
      <alignment horizontal="left" vertical="center" wrapText="1"/>
    </xf>
    <xf numFmtId="166" fontId="0" fillId="7" borderId="1" xfId="0" applyNumberForma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/>
    <xf numFmtId="0" fontId="4" fillId="6" borderId="1" xfId="0" applyFont="1" applyFill="1" applyBorder="1" applyAlignment="1"/>
    <xf numFmtId="0" fontId="4" fillId="0" borderId="1" xfId="0" applyFont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6" fillId="0" borderId="0" xfId="0" applyFont="1" applyAlignment="1"/>
    <xf numFmtId="0" fontId="6" fillId="9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164" fontId="4" fillId="6" borderId="1" xfId="0" applyNumberFormat="1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8" fillId="0" borderId="0" xfId="0" applyFont="1" applyAlignment="1"/>
    <xf numFmtId="0" fontId="7" fillId="7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 vertical="center" wrapText="1"/>
    </xf>
    <xf numFmtId="165" fontId="11" fillId="6" borderId="1" xfId="0" applyNumberFormat="1" applyFont="1" applyFill="1" applyBorder="1" applyAlignment="1">
      <alignment horizontal="left" vertical="center" wrapText="1"/>
    </xf>
    <xf numFmtId="165" fontId="11" fillId="5" borderId="1" xfId="0" applyNumberFormat="1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164" fontId="5" fillId="6" borderId="1" xfId="0" applyNumberFormat="1" applyFont="1" applyFill="1" applyBorder="1" applyAlignment="1">
      <alignment horizontal="center" vertical="center" wrapText="1"/>
    </xf>
    <xf numFmtId="164" fontId="5" fillId="0" borderId="0" xfId="0" applyNumberFormat="1" applyFont="1" applyAlignment="1">
      <alignment horizontal="center"/>
    </xf>
    <xf numFmtId="164" fontId="5" fillId="8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9C3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6B6D4"/>
      <rgbColor rgb="FFE0F2FE"/>
      <rgbColor rgb="FFF8FAFC"/>
      <rgbColor rgb="FFFEE2E2"/>
      <rgbColor rgb="FF99CCFF"/>
      <rgbColor rgb="FFFF99CC"/>
      <rgbColor rgb="FFCC99FF"/>
      <rgbColor rgb="FFFED7AA"/>
      <rgbColor rgb="FF3B82F6"/>
      <rgbColor rgb="FF33CCCC"/>
      <rgbColor rgb="FF99CC00"/>
      <rgbColor rgb="FFFFCC00"/>
      <rgbColor rgb="FFF59E0B"/>
      <rgbColor rgb="FFEF4444"/>
      <rgbColor rgb="FF8B5CF6"/>
      <rgbColor rgb="FF94A3B8"/>
      <rgbColor rgb="FF003366"/>
      <rgbColor rgb="FF22C55E"/>
      <rgbColor rgb="FF0F172A"/>
      <rgbColor rgb="FF333300"/>
      <rgbColor rgb="FF993300"/>
      <rgbColor rgb="FF993366"/>
      <rgbColor rgb="FF333399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6B6D4"/>
  </sheetPr>
  <dimension ref="A1:K13"/>
  <sheetViews>
    <sheetView tabSelected="1" zoomScaleNormal="100" workbookViewId="0">
      <pane ySplit="4" topLeftCell="A5" activePane="bottomLeft" state="frozen"/>
      <selection pane="bottomLeft" activeCell="H19" sqref="H19"/>
    </sheetView>
  </sheetViews>
  <sheetFormatPr defaultColWidth="8.6640625" defaultRowHeight="15" customHeight="1" x14ac:dyDescent="0.3"/>
  <cols>
    <col min="1" max="1" width="22" style="4" customWidth="1"/>
    <col min="2" max="2" width="28" style="4" customWidth="1"/>
    <col min="3" max="3" width="10" style="4" customWidth="1"/>
    <col min="4" max="4" width="22" style="4" customWidth="1"/>
    <col min="5" max="5" width="18" style="4" customWidth="1"/>
    <col min="6" max="6" width="14" style="4" customWidth="1"/>
    <col min="7" max="7" width="16" style="4" customWidth="1"/>
    <col min="8" max="8" width="18" style="4" customWidth="1"/>
    <col min="9" max="10" width="38" style="4" customWidth="1"/>
    <col min="11" max="11" width="14" style="65" customWidth="1"/>
  </cols>
  <sheetData>
    <row r="1" spans="1:11" ht="17.25" customHeight="1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5" customHeight="1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 ht="26.25" customHeight="1" x14ac:dyDescent="0.3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</row>
    <row r="5" spans="1:11" ht="15" customHeight="1" x14ac:dyDescent="0.3">
      <c r="A5" s="6" t="s">
        <v>13</v>
      </c>
      <c r="B5" s="6" t="s">
        <v>14</v>
      </c>
      <c r="C5" s="6" t="s">
        <v>15</v>
      </c>
      <c r="D5" s="6" t="s">
        <v>16</v>
      </c>
      <c r="E5" s="6" t="s">
        <v>17</v>
      </c>
      <c r="F5" s="6" t="s">
        <v>18</v>
      </c>
      <c r="G5" s="6" t="s">
        <v>19</v>
      </c>
      <c r="H5" s="6" t="s">
        <v>20</v>
      </c>
      <c r="I5" s="6" t="s">
        <v>21</v>
      </c>
      <c r="J5" s="6" t="s">
        <v>22</v>
      </c>
      <c r="K5" s="60">
        <f>Scoring!I3</f>
        <v>7.8</v>
      </c>
    </row>
    <row r="6" spans="1:11" ht="15" customHeight="1" x14ac:dyDescent="0.3">
      <c r="A6" s="7" t="s">
        <v>23</v>
      </c>
      <c r="B6" s="7" t="s">
        <v>24</v>
      </c>
      <c r="C6" s="7" t="s">
        <v>25</v>
      </c>
      <c r="D6" s="7" t="s">
        <v>26</v>
      </c>
      <c r="E6" s="7" t="s">
        <v>27</v>
      </c>
      <c r="F6" s="7" t="s">
        <v>28</v>
      </c>
      <c r="G6" s="7" t="s">
        <v>29</v>
      </c>
      <c r="H6" s="7" t="s">
        <v>30</v>
      </c>
      <c r="I6" s="7" t="s">
        <v>31</v>
      </c>
      <c r="J6" s="7" t="s">
        <v>32</v>
      </c>
      <c r="K6" s="61">
        <f>Scoring!I4</f>
        <v>6.15</v>
      </c>
    </row>
    <row r="7" spans="1:11" ht="15" customHeight="1" x14ac:dyDescent="0.3">
      <c r="A7" s="8" t="s">
        <v>33</v>
      </c>
      <c r="B7" s="8" t="s">
        <v>34</v>
      </c>
      <c r="C7" s="8" t="s">
        <v>25</v>
      </c>
      <c r="D7" s="8" t="s">
        <v>35</v>
      </c>
      <c r="E7" s="8" t="s">
        <v>36</v>
      </c>
      <c r="F7" s="8" t="s">
        <v>18</v>
      </c>
      <c r="G7" s="8" t="s">
        <v>19</v>
      </c>
      <c r="H7" s="8" t="s">
        <v>37</v>
      </c>
      <c r="I7" s="8" t="s">
        <v>38</v>
      </c>
      <c r="J7" s="8" t="s">
        <v>39</v>
      </c>
      <c r="K7" s="62">
        <f>Scoring!I5</f>
        <v>7.5500000000000007</v>
      </c>
    </row>
    <row r="8" spans="1:11" ht="15" customHeight="1" x14ac:dyDescent="0.3">
      <c r="A8" s="7" t="s">
        <v>40</v>
      </c>
      <c r="B8" s="7" t="s">
        <v>41</v>
      </c>
      <c r="C8" s="7" t="s">
        <v>42</v>
      </c>
      <c r="D8" s="7" t="s">
        <v>43</v>
      </c>
      <c r="E8" s="7" t="s">
        <v>44</v>
      </c>
      <c r="F8" s="7" t="s">
        <v>18</v>
      </c>
      <c r="G8" s="7" t="s">
        <v>45</v>
      </c>
      <c r="H8" s="7" t="s">
        <v>46</v>
      </c>
      <c r="I8" s="7" t="s">
        <v>47</v>
      </c>
      <c r="J8" s="7" t="s">
        <v>48</v>
      </c>
      <c r="K8" s="61">
        <f>Scoring!I6</f>
        <v>7.05</v>
      </c>
    </row>
    <row r="9" spans="1:11" ht="15" customHeight="1" x14ac:dyDescent="0.3">
      <c r="A9" s="8" t="s">
        <v>49</v>
      </c>
      <c r="B9" s="8" t="s">
        <v>50</v>
      </c>
      <c r="C9" s="8" t="s">
        <v>51</v>
      </c>
      <c r="D9" s="8" t="s">
        <v>16</v>
      </c>
      <c r="E9" s="8" t="s">
        <v>52</v>
      </c>
      <c r="F9" s="8" t="s">
        <v>53</v>
      </c>
      <c r="G9" s="8" t="s">
        <v>19</v>
      </c>
      <c r="H9" s="8" t="s">
        <v>54</v>
      </c>
      <c r="I9" s="8" t="s">
        <v>55</v>
      </c>
      <c r="J9" s="8" t="s">
        <v>56</v>
      </c>
      <c r="K9" s="62">
        <f>Scoring!I7</f>
        <v>6.8500000000000005</v>
      </c>
    </row>
    <row r="10" spans="1:11" ht="15" customHeight="1" x14ac:dyDescent="0.3">
      <c r="A10" s="7" t="s">
        <v>57</v>
      </c>
      <c r="B10" s="7" t="s">
        <v>58</v>
      </c>
      <c r="C10" s="7" t="s">
        <v>51</v>
      </c>
      <c r="D10" s="7" t="s">
        <v>59</v>
      </c>
      <c r="E10" s="7" t="s">
        <v>60</v>
      </c>
      <c r="F10" s="7" t="s">
        <v>18</v>
      </c>
      <c r="G10" s="7" t="s">
        <v>19</v>
      </c>
      <c r="H10" s="7" t="s">
        <v>61</v>
      </c>
      <c r="I10" s="7" t="s">
        <v>62</v>
      </c>
      <c r="J10" s="7" t="s">
        <v>63</v>
      </c>
      <c r="K10" s="61">
        <f>Scoring!I8</f>
        <v>7.95</v>
      </c>
    </row>
    <row r="11" spans="1:11" ht="15" customHeight="1" x14ac:dyDescent="0.3">
      <c r="A11" s="8" t="s">
        <v>64</v>
      </c>
      <c r="B11" s="8" t="s">
        <v>65</v>
      </c>
      <c r="C11" s="8" t="s">
        <v>66</v>
      </c>
      <c r="D11" s="8" t="s">
        <v>67</v>
      </c>
      <c r="E11" s="8" t="s">
        <v>68</v>
      </c>
      <c r="F11" s="8" t="s">
        <v>69</v>
      </c>
      <c r="G11" s="8" t="s">
        <v>69</v>
      </c>
      <c r="H11" s="8" t="s">
        <v>70</v>
      </c>
      <c r="I11" s="8" t="s">
        <v>71</v>
      </c>
      <c r="J11" s="8" t="s">
        <v>72</v>
      </c>
      <c r="K11" s="62">
        <f>Scoring!I9</f>
        <v>4.5500000000000007</v>
      </c>
    </row>
    <row r="12" spans="1:11" ht="15" customHeight="1" x14ac:dyDescent="0.3">
      <c r="A12" s="9" t="s">
        <v>73</v>
      </c>
      <c r="B12" s="9" t="s">
        <v>74</v>
      </c>
      <c r="C12" s="9" t="s">
        <v>75</v>
      </c>
      <c r="D12" s="9" t="s">
        <v>76</v>
      </c>
      <c r="E12" s="9" t="s">
        <v>77</v>
      </c>
      <c r="F12" s="9" t="s">
        <v>18</v>
      </c>
      <c r="G12" s="9" t="s">
        <v>78</v>
      </c>
      <c r="H12" s="9" t="s">
        <v>61</v>
      </c>
      <c r="I12" s="9" t="s">
        <v>79</v>
      </c>
      <c r="J12" s="9" t="s">
        <v>80</v>
      </c>
      <c r="K12" s="63">
        <f>Scoring!I11</f>
        <v>7.8500000000000005</v>
      </c>
    </row>
    <row r="13" spans="1:11" ht="15" customHeight="1" x14ac:dyDescent="0.3">
      <c r="A13" s="10" t="s">
        <v>81</v>
      </c>
      <c r="B13" s="10" t="s">
        <v>82</v>
      </c>
      <c r="C13" s="10" t="s">
        <v>83</v>
      </c>
      <c r="D13" s="10" t="s">
        <v>84</v>
      </c>
      <c r="E13" s="10" t="s">
        <v>85</v>
      </c>
      <c r="F13" s="10" t="s">
        <v>18</v>
      </c>
      <c r="G13" s="10" t="s">
        <v>19</v>
      </c>
      <c r="H13" s="10" t="s">
        <v>86</v>
      </c>
      <c r="I13" s="10" t="s">
        <v>87</v>
      </c>
      <c r="J13" s="10" t="s">
        <v>88</v>
      </c>
      <c r="K13" s="64">
        <f>Scoring!I10</f>
        <v>7.55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2C55E"/>
  </sheetPr>
  <dimension ref="A1:L21"/>
  <sheetViews>
    <sheetView zoomScaleNormal="100" workbookViewId="0">
      <pane ySplit="11" topLeftCell="A12" activePane="bottomLeft" state="frozen"/>
      <selection pane="bottomLeft"/>
    </sheetView>
  </sheetViews>
  <sheetFormatPr defaultColWidth="8.6640625" defaultRowHeight="15" customHeight="1" x14ac:dyDescent="0.3"/>
  <cols>
    <col min="1" max="1" width="30" style="4" customWidth="1"/>
    <col min="2" max="2" width="14" style="4" customWidth="1"/>
    <col min="3" max="3" width="12" style="4" customWidth="1"/>
    <col min="4" max="6" width="14" style="4" customWidth="1"/>
    <col min="7" max="7" width="10" style="4" customWidth="1"/>
    <col min="8" max="10" width="14" style="4" customWidth="1"/>
    <col min="11" max="11" width="28" style="4" customWidth="1"/>
    <col min="12" max="12" width="14" style="4" customWidth="1"/>
  </cols>
  <sheetData>
    <row r="1" spans="1:12" ht="17.25" customHeight="1" x14ac:dyDescent="0.3">
      <c r="A1" s="3" t="s">
        <v>89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15" customHeight="1" x14ac:dyDescent="0.3">
      <c r="A2" s="2" t="s">
        <v>90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ht="15" customHeight="1" x14ac:dyDescent="0.3">
      <c r="A4" s="1" t="s">
        <v>91</v>
      </c>
      <c r="B4" s="1"/>
    </row>
    <row r="5" spans="1:12" ht="15" customHeight="1" x14ac:dyDescent="0.3">
      <c r="A5" s="11" t="s">
        <v>92</v>
      </c>
      <c r="B5" s="12">
        <v>74.989999999999995</v>
      </c>
    </row>
    <row r="6" spans="1:12" ht="15" customHeight="1" x14ac:dyDescent="0.3">
      <c r="A6" s="11" t="s">
        <v>93</v>
      </c>
      <c r="B6" s="13">
        <v>6.5000000000000002E-2</v>
      </c>
    </row>
    <row r="7" spans="1:12" ht="15" customHeight="1" x14ac:dyDescent="0.3">
      <c r="A7" s="11" t="s">
        <v>94</v>
      </c>
      <c r="B7" s="12">
        <v>0.2</v>
      </c>
    </row>
    <row r="8" spans="1:12" ht="15" customHeight="1" x14ac:dyDescent="0.3">
      <c r="A8" s="11" t="s">
        <v>95</v>
      </c>
      <c r="B8" s="13">
        <v>0.03</v>
      </c>
    </row>
    <row r="9" spans="1:12" ht="15" customHeight="1" x14ac:dyDescent="0.3">
      <c r="A9" s="11" t="s">
        <v>96</v>
      </c>
      <c r="B9" s="13">
        <v>0.15</v>
      </c>
    </row>
    <row r="11" spans="1:12" ht="26.25" customHeight="1" x14ac:dyDescent="0.3">
      <c r="A11" s="5" t="s">
        <v>2</v>
      </c>
      <c r="B11" s="5" t="s">
        <v>97</v>
      </c>
      <c r="C11" s="5" t="s">
        <v>98</v>
      </c>
      <c r="D11" s="5" t="s">
        <v>99</v>
      </c>
      <c r="E11" s="5" t="s">
        <v>100</v>
      </c>
      <c r="F11" s="5" t="s">
        <v>101</v>
      </c>
      <c r="G11" s="5" t="s">
        <v>102</v>
      </c>
      <c r="H11" s="5" t="s">
        <v>103</v>
      </c>
      <c r="I11" s="5" t="s">
        <v>104</v>
      </c>
      <c r="J11" s="5" t="s">
        <v>105</v>
      </c>
      <c r="K11" s="5" t="s">
        <v>106</v>
      </c>
      <c r="L11" s="5" t="s">
        <v>107</v>
      </c>
    </row>
    <row r="12" spans="1:12" ht="15" customHeight="1" x14ac:dyDescent="0.3">
      <c r="A12" s="6" t="s">
        <v>108</v>
      </c>
      <c r="B12" s="14">
        <v>44.25</v>
      </c>
      <c r="C12" s="14">
        <v>6.49</v>
      </c>
      <c r="D12" s="15">
        <f t="shared" ref="D12:D21" si="0">B12+C12</f>
        <v>50.74</v>
      </c>
      <c r="E12" s="14">
        <f t="shared" ref="E12:E21" si="1">$B$5*($B$6+$B$8+$B$9)+$B$7</f>
        <v>18.572549999999996</v>
      </c>
      <c r="F12" s="16">
        <f t="shared" ref="F12:F21" si="2">$B$5-D12-E12</f>
        <v>5.6774499999999968</v>
      </c>
      <c r="G12" s="17">
        <f t="shared" ref="G12:G21" si="3">IF($B$5&gt;0,F12/$B$5,0)</f>
        <v>7.5709427923723122E-2</v>
      </c>
      <c r="H12" s="6" t="s">
        <v>109</v>
      </c>
      <c r="I12" s="6" t="s">
        <v>110</v>
      </c>
      <c r="J12" s="6" t="s">
        <v>111</v>
      </c>
      <c r="K12" s="6" t="s">
        <v>112</v>
      </c>
      <c r="L12" s="6" t="s">
        <v>113</v>
      </c>
    </row>
    <row r="13" spans="1:12" ht="23.25" customHeight="1" x14ac:dyDescent="0.3">
      <c r="A13" s="7" t="s">
        <v>114</v>
      </c>
      <c r="B13" s="18">
        <v>32</v>
      </c>
      <c r="C13" s="18">
        <v>0</v>
      </c>
      <c r="D13" s="19">
        <f t="shared" si="0"/>
        <v>32</v>
      </c>
      <c r="E13" s="18">
        <f t="shared" si="1"/>
        <v>18.572549999999996</v>
      </c>
      <c r="F13" s="20">
        <f t="shared" si="2"/>
        <v>24.417449999999999</v>
      </c>
      <c r="G13" s="21">
        <f t="shared" si="3"/>
        <v>0.32560941458861181</v>
      </c>
      <c r="H13" s="7" t="s">
        <v>110</v>
      </c>
      <c r="I13" s="7" t="s">
        <v>115</v>
      </c>
      <c r="J13" s="7" t="s">
        <v>116</v>
      </c>
      <c r="K13" s="7" t="s">
        <v>117</v>
      </c>
      <c r="L13" s="7" t="s">
        <v>118</v>
      </c>
    </row>
    <row r="14" spans="1:12" ht="23.25" customHeight="1" x14ac:dyDescent="0.3">
      <c r="A14" s="8" t="s">
        <v>119</v>
      </c>
      <c r="B14" s="22">
        <v>32</v>
      </c>
      <c r="C14" s="22">
        <v>0</v>
      </c>
      <c r="D14" s="23">
        <f t="shared" si="0"/>
        <v>32</v>
      </c>
      <c r="E14" s="22">
        <f t="shared" si="1"/>
        <v>18.572549999999996</v>
      </c>
      <c r="F14" s="24">
        <f t="shared" si="2"/>
        <v>24.417449999999999</v>
      </c>
      <c r="G14" s="25">
        <f t="shared" si="3"/>
        <v>0.32560941458861181</v>
      </c>
      <c r="H14" s="8" t="s">
        <v>110</v>
      </c>
      <c r="I14" s="8" t="s">
        <v>115</v>
      </c>
      <c r="J14" s="8" t="s">
        <v>116</v>
      </c>
      <c r="K14" s="8" t="s">
        <v>117</v>
      </c>
      <c r="L14" s="8" t="s">
        <v>118</v>
      </c>
    </row>
    <row r="15" spans="1:12" ht="15" customHeight="1" x14ac:dyDescent="0.3">
      <c r="A15" s="9" t="s">
        <v>120</v>
      </c>
      <c r="B15" s="26">
        <v>15.5</v>
      </c>
      <c r="C15" s="26">
        <v>7.99</v>
      </c>
      <c r="D15" s="27">
        <f t="shared" si="0"/>
        <v>23.490000000000002</v>
      </c>
      <c r="E15" s="26">
        <f t="shared" si="1"/>
        <v>18.572549999999996</v>
      </c>
      <c r="F15" s="28">
        <f t="shared" si="2"/>
        <v>32.927449999999993</v>
      </c>
      <c r="G15" s="29">
        <f t="shared" si="3"/>
        <v>0.4390912121616215</v>
      </c>
      <c r="H15" s="9" t="s">
        <v>121</v>
      </c>
      <c r="I15" s="9" t="s">
        <v>122</v>
      </c>
      <c r="J15" s="9" t="s">
        <v>111</v>
      </c>
      <c r="K15" s="9" t="s">
        <v>123</v>
      </c>
      <c r="L15" s="9" t="s">
        <v>124</v>
      </c>
    </row>
    <row r="16" spans="1:12" ht="15" customHeight="1" x14ac:dyDescent="0.3">
      <c r="A16" s="8" t="s">
        <v>125</v>
      </c>
      <c r="B16" s="22">
        <v>19</v>
      </c>
      <c r="C16" s="22">
        <v>7.99</v>
      </c>
      <c r="D16" s="23">
        <f t="shared" si="0"/>
        <v>26.990000000000002</v>
      </c>
      <c r="E16" s="22">
        <f t="shared" si="1"/>
        <v>18.572549999999996</v>
      </c>
      <c r="F16" s="24">
        <f t="shared" si="2"/>
        <v>29.427449999999997</v>
      </c>
      <c r="G16" s="25">
        <f t="shared" si="3"/>
        <v>0.39241832244299241</v>
      </c>
      <c r="H16" s="8" t="s">
        <v>121</v>
      </c>
      <c r="I16" s="8" t="s">
        <v>122</v>
      </c>
      <c r="J16" s="8" t="s">
        <v>111</v>
      </c>
      <c r="K16" s="8" t="s">
        <v>123</v>
      </c>
      <c r="L16" s="8" t="s">
        <v>124</v>
      </c>
    </row>
    <row r="17" spans="1:12" ht="15" customHeight="1" x14ac:dyDescent="0.3">
      <c r="A17" s="7" t="s">
        <v>126</v>
      </c>
      <c r="B17" s="18">
        <v>18.989999999999998</v>
      </c>
      <c r="C17" s="18">
        <v>9.39</v>
      </c>
      <c r="D17" s="19">
        <f t="shared" si="0"/>
        <v>28.38</v>
      </c>
      <c r="E17" s="18">
        <f t="shared" si="1"/>
        <v>18.572549999999996</v>
      </c>
      <c r="F17" s="20">
        <f t="shared" si="2"/>
        <v>28.037450000000003</v>
      </c>
      <c r="G17" s="21">
        <f t="shared" si="3"/>
        <v>0.37388251766902258</v>
      </c>
      <c r="H17" s="7" t="s">
        <v>127</v>
      </c>
      <c r="I17" s="7" t="s">
        <v>128</v>
      </c>
      <c r="J17" s="7" t="s">
        <v>129</v>
      </c>
      <c r="K17" s="7" t="s">
        <v>130</v>
      </c>
      <c r="L17" s="7" t="s">
        <v>131</v>
      </c>
    </row>
    <row r="18" spans="1:12" ht="15" customHeight="1" x14ac:dyDescent="0.3">
      <c r="A18" s="8" t="s">
        <v>132</v>
      </c>
      <c r="B18" s="22">
        <v>28</v>
      </c>
      <c r="C18" s="22">
        <v>7.5</v>
      </c>
      <c r="D18" s="23">
        <f t="shared" si="0"/>
        <v>35.5</v>
      </c>
      <c r="E18" s="22">
        <f t="shared" si="1"/>
        <v>18.572549999999996</v>
      </c>
      <c r="F18" s="24">
        <f t="shared" si="2"/>
        <v>20.917449999999999</v>
      </c>
      <c r="G18" s="25">
        <f t="shared" si="3"/>
        <v>0.27893652486998266</v>
      </c>
      <c r="H18" s="8" t="s">
        <v>133</v>
      </c>
      <c r="I18" s="8" t="s">
        <v>110</v>
      </c>
      <c r="J18" s="8" t="s">
        <v>134</v>
      </c>
      <c r="K18" s="8" t="s">
        <v>135</v>
      </c>
      <c r="L18" s="8" t="s">
        <v>136</v>
      </c>
    </row>
    <row r="19" spans="1:12" ht="23.25" customHeight="1" x14ac:dyDescent="0.3">
      <c r="A19" s="7" t="s">
        <v>137</v>
      </c>
      <c r="B19" s="18">
        <v>33.5</v>
      </c>
      <c r="C19" s="18">
        <v>4.2</v>
      </c>
      <c r="D19" s="19">
        <f t="shared" si="0"/>
        <v>37.700000000000003</v>
      </c>
      <c r="E19" s="18">
        <f t="shared" si="1"/>
        <v>18.572549999999996</v>
      </c>
      <c r="F19" s="20">
        <f t="shared" si="2"/>
        <v>18.717449999999996</v>
      </c>
      <c r="G19" s="21">
        <f t="shared" si="3"/>
        <v>0.24959927990398717</v>
      </c>
      <c r="H19" s="7" t="s">
        <v>138</v>
      </c>
      <c r="I19" s="7" t="s">
        <v>127</v>
      </c>
      <c r="J19" s="7" t="s">
        <v>128</v>
      </c>
      <c r="K19" s="7" t="s">
        <v>139</v>
      </c>
      <c r="L19" s="7" t="s">
        <v>113</v>
      </c>
    </row>
    <row r="20" spans="1:12" ht="23.25" customHeight="1" x14ac:dyDescent="0.3">
      <c r="A20" s="8" t="s">
        <v>140</v>
      </c>
      <c r="B20" s="22">
        <v>16</v>
      </c>
      <c r="C20" s="22">
        <v>8</v>
      </c>
      <c r="D20" s="23">
        <f t="shared" si="0"/>
        <v>24</v>
      </c>
      <c r="E20" s="22">
        <f t="shared" si="1"/>
        <v>18.572549999999996</v>
      </c>
      <c r="F20" s="24">
        <f t="shared" si="2"/>
        <v>32.417450000000002</v>
      </c>
      <c r="G20" s="25">
        <f t="shared" si="3"/>
        <v>0.43229030537404994</v>
      </c>
      <c r="H20" s="8" t="s">
        <v>128</v>
      </c>
      <c r="I20" s="8" t="s">
        <v>141</v>
      </c>
      <c r="J20" s="8" t="s">
        <v>142</v>
      </c>
      <c r="K20" s="8" t="s">
        <v>123</v>
      </c>
      <c r="L20" s="8" t="s">
        <v>143</v>
      </c>
    </row>
    <row r="21" spans="1:12" ht="15" customHeight="1" x14ac:dyDescent="0.3">
      <c r="A21" s="30" t="s">
        <v>144</v>
      </c>
      <c r="B21" s="31">
        <v>6.2</v>
      </c>
      <c r="C21" s="31">
        <v>6.01</v>
      </c>
      <c r="D21" s="27">
        <f t="shared" si="0"/>
        <v>12.21</v>
      </c>
      <c r="E21" s="32">
        <f t="shared" si="1"/>
        <v>18.572549999999996</v>
      </c>
      <c r="F21" s="28">
        <f t="shared" si="2"/>
        <v>44.207449999999994</v>
      </c>
      <c r="G21" s="33">
        <f t="shared" si="3"/>
        <v>0.58951126816908916</v>
      </c>
      <c r="H21" s="9" t="s">
        <v>138</v>
      </c>
      <c r="I21" s="9" t="s">
        <v>145</v>
      </c>
      <c r="J21" s="9" t="s">
        <v>146</v>
      </c>
      <c r="K21" s="9" t="s">
        <v>123</v>
      </c>
      <c r="L21" s="9" t="s">
        <v>147</v>
      </c>
    </row>
  </sheetData>
  <mergeCells count="3">
    <mergeCell ref="A1:L1"/>
    <mergeCell ref="A2:L2"/>
    <mergeCell ref="A4:B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B82F6"/>
  </sheetPr>
  <dimension ref="A1:H12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5" customHeight="1" x14ac:dyDescent="0.3"/>
  <cols>
    <col min="1" max="1" width="25" style="4" customWidth="1"/>
    <col min="2" max="2" width="22" style="4" customWidth="1"/>
    <col min="3" max="3" width="24" style="4" customWidth="1"/>
    <col min="4" max="4" width="28" style="4" customWidth="1"/>
    <col min="5" max="5" width="24" style="4" customWidth="1"/>
    <col min="6" max="8" width="18" style="4" customWidth="1"/>
  </cols>
  <sheetData>
    <row r="1" spans="1:8" ht="17.25" customHeight="1" x14ac:dyDescent="0.3">
      <c r="A1" s="3" t="s">
        <v>148</v>
      </c>
      <c r="B1" s="3"/>
      <c r="C1" s="3"/>
      <c r="D1" s="3"/>
      <c r="E1" s="3"/>
      <c r="F1" s="3"/>
      <c r="G1" s="3"/>
      <c r="H1" s="3"/>
    </row>
    <row r="3" spans="1:8" ht="26.25" customHeight="1" x14ac:dyDescent="0.3">
      <c r="A3" s="5" t="s">
        <v>2</v>
      </c>
      <c r="B3" s="5" t="s">
        <v>149</v>
      </c>
      <c r="C3" s="5" t="s">
        <v>150</v>
      </c>
      <c r="D3" s="5" t="s">
        <v>151</v>
      </c>
      <c r="E3" s="5" t="s">
        <v>152</v>
      </c>
      <c r="F3" s="5" t="s">
        <v>153</v>
      </c>
      <c r="G3" s="5" t="s">
        <v>154</v>
      </c>
      <c r="H3" s="5" t="s">
        <v>155</v>
      </c>
    </row>
    <row r="4" spans="1:8" ht="23.25" customHeight="1" x14ac:dyDescent="0.3">
      <c r="A4" s="8" t="s">
        <v>13</v>
      </c>
      <c r="B4" s="8" t="s">
        <v>156</v>
      </c>
      <c r="C4" s="8" t="s">
        <v>157</v>
      </c>
      <c r="D4" s="8" t="s">
        <v>158</v>
      </c>
      <c r="E4" s="8" t="s">
        <v>159</v>
      </c>
      <c r="F4" s="8" t="s">
        <v>160</v>
      </c>
      <c r="G4" s="8" t="s">
        <v>160</v>
      </c>
      <c r="H4" s="34" t="s">
        <v>161</v>
      </c>
    </row>
    <row r="5" spans="1:8" ht="15" customHeight="1" x14ac:dyDescent="0.3">
      <c r="A5" s="7" t="s">
        <v>23</v>
      </c>
      <c r="B5" s="7" t="s">
        <v>162</v>
      </c>
      <c r="C5" s="7" t="s">
        <v>163</v>
      </c>
      <c r="D5" s="7" t="s">
        <v>164</v>
      </c>
      <c r="E5" s="7" t="s">
        <v>165</v>
      </c>
      <c r="F5" s="7" t="s">
        <v>28</v>
      </c>
      <c r="G5" s="7" t="s">
        <v>166</v>
      </c>
      <c r="H5" s="35" t="s">
        <v>167</v>
      </c>
    </row>
    <row r="6" spans="1:8" ht="15" customHeight="1" x14ac:dyDescent="0.3">
      <c r="A6" s="8" t="s">
        <v>33</v>
      </c>
      <c r="B6" s="8" t="s">
        <v>168</v>
      </c>
      <c r="C6" s="8" t="s">
        <v>169</v>
      </c>
      <c r="D6" s="8" t="s">
        <v>170</v>
      </c>
      <c r="E6" s="8" t="s">
        <v>171</v>
      </c>
      <c r="F6" s="8" t="s">
        <v>18</v>
      </c>
      <c r="G6" s="8" t="s">
        <v>172</v>
      </c>
      <c r="H6" s="36" t="s">
        <v>173</v>
      </c>
    </row>
    <row r="7" spans="1:8" ht="15" customHeight="1" x14ac:dyDescent="0.3">
      <c r="A7" s="7" t="s">
        <v>40</v>
      </c>
      <c r="B7" s="7" t="s">
        <v>162</v>
      </c>
      <c r="C7" s="7" t="s">
        <v>163</v>
      </c>
      <c r="D7" s="7" t="s">
        <v>174</v>
      </c>
      <c r="E7" s="7" t="s">
        <v>175</v>
      </c>
      <c r="F7" s="7" t="s">
        <v>166</v>
      </c>
      <c r="G7" s="7" t="s">
        <v>166</v>
      </c>
      <c r="H7" s="35" t="s">
        <v>167</v>
      </c>
    </row>
    <row r="8" spans="1:8" ht="15" customHeight="1" x14ac:dyDescent="0.3">
      <c r="A8" s="8" t="s">
        <v>49</v>
      </c>
      <c r="B8" s="8" t="s">
        <v>156</v>
      </c>
      <c r="C8" s="8" t="s">
        <v>176</v>
      </c>
      <c r="D8" s="8" t="s">
        <v>177</v>
      </c>
      <c r="E8" s="8" t="s">
        <v>178</v>
      </c>
      <c r="F8" s="8" t="s">
        <v>53</v>
      </c>
      <c r="G8" s="8" t="s">
        <v>166</v>
      </c>
      <c r="H8" s="34" t="s">
        <v>161</v>
      </c>
    </row>
    <row r="9" spans="1:8" ht="15" customHeight="1" x14ac:dyDescent="0.3">
      <c r="A9" s="7" t="s">
        <v>57</v>
      </c>
      <c r="B9" s="7" t="s">
        <v>156</v>
      </c>
      <c r="C9" s="7" t="s">
        <v>179</v>
      </c>
      <c r="D9" s="7" t="s">
        <v>180</v>
      </c>
      <c r="E9" s="7" t="s">
        <v>181</v>
      </c>
      <c r="F9" s="7" t="s">
        <v>160</v>
      </c>
      <c r="G9" s="7" t="s">
        <v>160</v>
      </c>
      <c r="H9" s="34" t="s">
        <v>161</v>
      </c>
    </row>
    <row r="10" spans="1:8" ht="15" customHeight="1" x14ac:dyDescent="0.3">
      <c r="A10" s="8" t="s">
        <v>64</v>
      </c>
      <c r="B10" s="8" t="s">
        <v>162</v>
      </c>
      <c r="C10" s="8" t="s">
        <v>163</v>
      </c>
      <c r="D10" s="8" t="s">
        <v>69</v>
      </c>
      <c r="E10" s="8" t="s">
        <v>182</v>
      </c>
      <c r="F10" s="8" t="s">
        <v>69</v>
      </c>
      <c r="G10" s="8" t="s">
        <v>69</v>
      </c>
      <c r="H10" s="37" t="s">
        <v>183</v>
      </c>
    </row>
    <row r="11" spans="1:8" ht="15" customHeight="1" x14ac:dyDescent="0.3">
      <c r="A11" s="7" t="s">
        <v>184</v>
      </c>
      <c r="B11" s="7" t="s">
        <v>168</v>
      </c>
      <c r="C11" s="7" t="s">
        <v>185</v>
      </c>
      <c r="D11" s="7" t="s">
        <v>186</v>
      </c>
      <c r="E11" s="7" t="s">
        <v>187</v>
      </c>
      <c r="F11" s="7" t="s">
        <v>18</v>
      </c>
      <c r="G11" s="7" t="s">
        <v>166</v>
      </c>
      <c r="H11" s="36" t="s">
        <v>188</v>
      </c>
    </row>
    <row r="12" spans="1:8" ht="15" customHeight="1" x14ac:dyDescent="0.3">
      <c r="A12" s="38" t="s">
        <v>73</v>
      </c>
      <c r="B12" s="39" t="s">
        <v>78</v>
      </c>
      <c r="C12" s="39" t="s">
        <v>189</v>
      </c>
      <c r="D12" s="39" t="s">
        <v>190</v>
      </c>
      <c r="E12" s="39" t="s">
        <v>191</v>
      </c>
      <c r="F12" s="39" t="s">
        <v>166</v>
      </c>
      <c r="G12" s="39" t="s">
        <v>166</v>
      </c>
      <c r="H12" s="34" t="s">
        <v>161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59E0B"/>
  </sheetPr>
  <dimension ref="A1:G12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5" customHeight="1" x14ac:dyDescent="0.3"/>
  <cols>
    <col min="1" max="1" width="22" style="4" customWidth="1"/>
    <col min="2" max="2" width="26" style="4" customWidth="1"/>
    <col min="3" max="5" width="14" style="4" customWidth="1"/>
    <col min="6" max="6" width="16" style="4" customWidth="1"/>
    <col min="7" max="7" width="60" style="4" customWidth="1"/>
  </cols>
  <sheetData>
    <row r="1" spans="1:7" ht="17.25" customHeight="1" x14ac:dyDescent="0.3">
      <c r="A1" s="3" t="s">
        <v>192</v>
      </c>
      <c r="B1" s="3"/>
      <c r="C1" s="3"/>
      <c r="D1" s="3"/>
      <c r="E1" s="3"/>
      <c r="F1" s="3"/>
      <c r="G1" s="3"/>
    </row>
    <row r="3" spans="1:7" ht="39" customHeight="1" x14ac:dyDescent="0.3">
      <c r="A3" s="5" t="s">
        <v>2</v>
      </c>
      <c r="B3" s="5" t="s">
        <v>193</v>
      </c>
      <c r="C3" s="5" t="s">
        <v>194</v>
      </c>
      <c r="D3" s="5" t="s">
        <v>195</v>
      </c>
      <c r="E3" s="5" t="s">
        <v>196</v>
      </c>
      <c r="F3" s="5" t="s">
        <v>197</v>
      </c>
      <c r="G3" s="5" t="s">
        <v>198</v>
      </c>
    </row>
    <row r="4" spans="1:7" ht="15" customHeight="1" x14ac:dyDescent="0.3">
      <c r="A4" s="8" t="s">
        <v>199</v>
      </c>
      <c r="B4" s="8" t="s">
        <v>200</v>
      </c>
      <c r="C4" s="34">
        <v>8</v>
      </c>
      <c r="D4" s="34">
        <v>8</v>
      </c>
      <c r="E4" s="36">
        <v>7</v>
      </c>
      <c r="F4" s="8" t="s">
        <v>201</v>
      </c>
      <c r="G4" s="8" t="s">
        <v>202</v>
      </c>
    </row>
    <row r="5" spans="1:7" ht="23.25" customHeight="1" x14ac:dyDescent="0.3">
      <c r="A5" s="7" t="s">
        <v>23</v>
      </c>
      <c r="B5" s="7" t="s">
        <v>203</v>
      </c>
      <c r="C5" s="34">
        <v>10</v>
      </c>
      <c r="D5" s="34">
        <v>9</v>
      </c>
      <c r="E5" s="34">
        <v>9</v>
      </c>
      <c r="F5" s="7" t="s">
        <v>204</v>
      </c>
      <c r="G5" s="7" t="s">
        <v>205</v>
      </c>
    </row>
    <row r="6" spans="1:7" ht="23.25" customHeight="1" x14ac:dyDescent="0.3">
      <c r="A6" s="8" t="s">
        <v>33</v>
      </c>
      <c r="B6" s="8" t="s">
        <v>203</v>
      </c>
      <c r="C6" s="36">
        <v>7</v>
      </c>
      <c r="D6" s="36">
        <v>6</v>
      </c>
      <c r="E6" s="36">
        <v>6</v>
      </c>
      <c r="F6" s="8" t="s">
        <v>206</v>
      </c>
      <c r="G6" s="8" t="s">
        <v>207</v>
      </c>
    </row>
    <row r="7" spans="1:7" ht="15" customHeight="1" x14ac:dyDescent="0.3">
      <c r="A7" s="7" t="s">
        <v>40</v>
      </c>
      <c r="B7" s="7" t="s">
        <v>208</v>
      </c>
      <c r="C7" s="34">
        <v>9</v>
      </c>
      <c r="D7" s="34">
        <v>8</v>
      </c>
      <c r="E7" s="34">
        <v>8</v>
      </c>
      <c r="F7" s="7" t="s">
        <v>201</v>
      </c>
      <c r="G7" s="7" t="s">
        <v>209</v>
      </c>
    </row>
    <row r="8" spans="1:7" ht="15" customHeight="1" x14ac:dyDescent="0.3">
      <c r="A8" s="8" t="s">
        <v>49</v>
      </c>
      <c r="B8" s="8" t="s">
        <v>210</v>
      </c>
      <c r="C8" s="36">
        <v>7</v>
      </c>
      <c r="D8" s="36">
        <v>7</v>
      </c>
      <c r="E8" s="37">
        <v>5</v>
      </c>
      <c r="F8" s="8" t="s">
        <v>206</v>
      </c>
      <c r="G8" s="8" t="s">
        <v>211</v>
      </c>
    </row>
    <row r="9" spans="1:7" ht="15" customHeight="1" x14ac:dyDescent="0.3">
      <c r="A9" s="7" t="s">
        <v>57</v>
      </c>
      <c r="B9" s="7" t="s">
        <v>210</v>
      </c>
      <c r="C9" s="34">
        <v>9</v>
      </c>
      <c r="D9" s="34">
        <v>9</v>
      </c>
      <c r="E9" s="34">
        <v>9</v>
      </c>
      <c r="F9" s="7" t="s">
        <v>204</v>
      </c>
      <c r="G9" s="7" t="s">
        <v>212</v>
      </c>
    </row>
    <row r="10" spans="1:7" ht="15" customHeight="1" x14ac:dyDescent="0.3">
      <c r="A10" s="8" t="s">
        <v>64</v>
      </c>
      <c r="B10" s="8" t="s">
        <v>213</v>
      </c>
      <c r="C10" s="37">
        <v>5</v>
      </c>
      <c r="D10" s="37">
        <v>4</v>
      </c>
      <c r="E10" s="37">
        <v>3</v>
      </c>
      <c r="F10" s="8" t="s">
        <v>214</v>
      </c>
      <c r="G10" s="8" t="s">
        <v>215</v>
      </c>
    </row>
    <row r="11" spans="1:7" ht="15" customHeight="1" x14ac:dyDescent="0.3">
      <c r="A11" s="7" t="s">
        <v>184</v>
      </c>
      <c r="B11" s="7" t="s">
        <v>216</v>
      </c>
      <c r="C11" s="34">
        <v>8</v>
      </c>
      <c r="D11" s="34">
        <v>8</v>
      </c>
      <c r="E11" s="34">
        <v>9</v>
      </c>
      <c r="F11" s="7" t="s">
        <v>201</v>
      </c>
      <c r="G11" s="7" t="s">
        <v>217</v>
      </c>
    </row>
    <row r="12" spans="1:7" ht="23.25" customHeight="1" x14ac:dyDescent="0.3">
      <c r="A12" s="40" t="s">
        <v>73</v>
      </c>
      <c r="B12" s="40" t="s">
        <v>203</v>
      </c>
      <c r="C12" s="41">
        <v>7</v>
      </c>
      <c r="D12" s="41">
        <v>7</v>
      </c>
      <c r="E12" s="41">
        <v>6</v>
      </c>
      <c r="F12" s="40" t="s">
        <v>201</v>
      </c>
      <c r="G12" s="40" t="s">
        <v>218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F4444"/>
  </sheetPr>
  <dimension ref="A1:J13"/>
  <sheetViews>
    <sheetView zoomScaleNormal="100" workbookViewId="0">
      <selection activeCell="E20" sqref="E20"/>
    </sheetView>
  </sheetViews>
  <sheetFormatPr defaultColWidth="8.6640625" defaultRowHeight="15" customHeight="1" x14ac:dyDescent="0.3"/>
  <cols>
    <col min="1" max="1" width="22" style="4" customWidth="1"/>
    <col min="2" max="2" width="16" style="4" customWidth="1"/>
    <col min="3" max="9" width="14" style="4" customWidth="1"/>
    <col min="10" max="10" width="10" style="4" customWidth="1"/>
  </cols>
  <sheetData>
    <row r="1" spans="1:10" ht="17.25" customHeight="1" x14ac:dyDescent="0.3">
      <c r="A1" s="3" t="s">
        <v>219</v>
      </c>
      <c r="B1" s="3"/>
      <c r="C1" s="3"/>
      <c r="D1" s="3"/>
      <c r="E1" s="3"/>
      <c r="F1" s="3"/>
      <c r="G1" s="3"/>
      <c r="H1" s="3"/>
      <c r="I1" s="3"/>
      <c r="J1" s="3"/>
    </row>
    <row r="2" spans="1:10" ht="39" customHeight="1" x14ac:dyDescent="0.3">
      <c r="A2" s="42" t="s">
        <v>220</v>
      </c>
      <c r="B2" s="43" t="s">
        <v>221</v>
      </c>
      <c r="C2" s="43" t="s">
        <v>222</v>
      </c>
      <c r="D2" s="43" t="s">
        <v>223</v>
      </c>
      <c r="E2" s="43" t="s">
        <v>153</v>
      </c>
      <c r="F2" s="43" t="s">
        <v>224</v>
      </c>
      <c r="G2" s="43" t="s">
        <v>225</v>
      </c>
      <c r="H2" s="43" t="s">
        <v>226</v>
      </c>
      <c r="I2" s="44" t="s">
        <v>227</v>
      </c>
      <c r="J2" s="44" t="s">
        <v>228</v>
      </c>
    </row>
    <row r="3" spans="1:10" ht="15" customHeight="1" x14ac:dyDescent="0.3">
      <c r="A3" s="8" t="s">
        <v>199</v>
      </c>
      <c r="B3" s="45">
        <v>5</v>
      </c>
      <c r="C3" s="9">
        <v>8</v>
      </c>
      <c r="D3" s="9">
        <v>10</v>
      </c>
      <c r="E3" s="9">
        <v>10</v>
      </c>
      <c r="F3" s="45">
        <v>7</v>
      </c>
      <c r="G3" s="9">
        <v>8</v>
      </c>
      <c r="H3" s="9">
        <v>9</v>
      </c>
      <c r="I3" s="46">
        <f t="shared" ref="I3:I11" si="0">B3*0.25+C3*0.2+D3*0.15+E3*0.15+F3*0.1+G3*0.1+H3*0.05</f>
        <v>7.8</v>
      </c>
      <c r="J3" s="47">
        <f t="shared" ref="J3:J11" si="1">RANK(I3,I$3:I$11)</f>
        <v>3</v>
      </c>
    </row>
    <row r="4" spans="1:10" ht="15" customHeight="1" x14ac:dyDescent="0.3">
      <c r="A4" s="7" t="s">
        <v>23</v>
      </c>
      <c r="B4" s="45">
        <v>7</v>
      </c>
      <c r="C4" s="9">
        <v>10</v>
      </c>
      <c r="D4" s="10">
        <v>3</v>
      </c>
      <c r="E4" s="10">
        <v>2</v>
      </c>
      <c r="F4" s="45">
        <v>5</v>
      </c>
      <c r="G4" s="9">
        <v>9</v>
      </c>
      <c r="H4" s="45">
        <v>5</v>
      </c>
      <c r="I4" s="48">
        <f t="shared" si="0"/>
        <v>6.15</v>
      </c>
      <c r="J4" s="49">
        <f t="shared" si="1"/>
        <v>8</v>
      </c>
    </row>
    <row r="5" spans="1:10" ht="15" customHeight="1" x14ac:dyDescent="0.3">
      <c r="A5" s="8" t="s">
        <v>33</v>
      </c>
      <c r="B5" s="9">
        <v>9</v>
      </c>
      <c r="C5" s="45">
        <v>7</v>
      </c>
      <c r="D5" s="45">
        <v>7</v>
      </c>
      <c r="E5" s="9">
        <v>8</v>
      </c>
      <c r="F5" s="45">
        <v>7</v>
      </c>
      <c r="G5" s="45">
        <v>6</v>
      </c>
      <c r="H5" s="45">
        <v>7</v>
      </c>
      <c r="I5" s="46">
        <f t="shared" si="0"/>
        <v>7.5500000000000007</v>
      </c>
      <c r="J5" s="47">
        <f t="shared" si="1"/>
        <v>4</v>
      </c>
    </row>
    <row r="6" spans="1:10" ht="15" customHeight="1" x14ac:dyDescent="0.3">
      <c r="A6" s="7" t="s">
        <v>40</v>
      </c>
      <c r="B6" s="9">
        <v>8</v>
      </c>
      <c r="C6" s="9">
        <v>9</v>
      </c>
      <c r="D6" s="10">
        <v>3</v>
      </c>
      <c r="E6" s="9">
        <v>8</v>
      </c>
      <c r="F6" s="45">
        <v>5</v>
      </c>
      <c r="G6" s="9">
        <v>8</v>
      </c>
      <c r="H6" s="45">
        <v>6</v>
      </c>
      <c r="I6" s="48">
        <f t="shared" si="0"/>
        <v>7.05</v>
      </c>
      <c r="J6" s="49">
        <f t="shared" si="1"/>
        <v>6</v>
      </c>
    </row>
    <row r="7" spans="1:10" ht="15" customHeight="1" x14ac:dyDescent="0.3">
      <c r="A7" s="8" t="s">
        <v>49</v>
      </c>
      <c r="B7" s="45">
        <v>7</v>
      </c>
      <c r="C7" s="45">
        <v>7</v>
      </c>
      <c r="D7" s="9">
        <v>10</v>
      </c>
      <c r="E7" s="10">
        <v>4</v>
      </c>
      <c r="F7" s="45">
        <v>5</v>
      </c>
      <c r="G7" s="45">
        <v>7</v>
      </c>
      <c r="H7" s="9">
        <v>8</v>
      </c>
      <c r="I7" s="46">
        <f t="shared" si="0"/>
        <v>6.8500000000000005</v>
      </c>
      <c r="J7" s="47">
        <f t="shared" si="1"/>
        <v>7</v>
      </c>
    </row>
    <row r="8" spans="1:10" ht="15" customHeight="1" x14ac:dyDescent="0.3">
      <c r="A8" s="7" t="s">
        <v>57</v>
      </c>
      <c r="B8" s="10">
        <v>4</v>
      </c>
      <c r="C8" s="9">
        <v>9</v>
      </c>
      <c r="D8" s="9">
        <v>10</v>
      </c>
      <c r="E8" s="9">
        <v>10</v>
      </c>
      <c r="F8" s="9">
        <v>8</v>
      </c>
      <c r="G8" s="9">
        <v>9</v>
      </c>
      <c r="H8" s="9">
        <v>9</v>
      </c>
      <c r="I8" s="48">
        <f t="shared" si="0"/>
        <v>7.95</v>
      </c>
      <c r="J8" s="49">
        <f t="shared" si="1"/>
        <v>1</v>
      </c>
    </row>
    <row r="9" spans="1:10" ht="15" customHeight="1" x14ac:dyDescent="0.3">
      <c r="A9" s="8" t="s">
        <v>64</v>
      </c>
      <c r="B9" s="9">
        <v>10</v>
      </c>
      <c r="C9" s="45">
        <v>5</v>
      </c>
      <c r="D9" s="10">
        <v>1</v>
      </c>
      <c r="E9" s="10">
        <v>1</v>
      </c>
      <c r="F9" s="10">
        <v>2</v>
      </c>
      <c r="G9" s="10">
        <v>4</v>
      </c>
      <c r="H9" s="10">
        <v>3</v>
      </c>
      <c r="I9" s="46">
        <f t="shared" si="0"/>
        <v>4.5500000000000007</v>
      </c>
      <c r="J9" s="47">
        <f t="shared" si="1"/>
        <v>9</v>
      </c>
    </row>
    <row r="10" spans="1:10" ht="15" customHeight="1" x14ac:dyDescent="0.3">
      <c r="A10" s="7" t="s">
        <v>184</v>
      </c>
      <c r="B10" s="45">
        <v>6</v>
      </c>
      <c r="C10" s="9">
        <v>8</v>
      </c>
      <c r="D10" s="9">
        <v>8</v>
      </c>
      <c r="E10" s="9">
        <v>8</v>
      </c>
      <c r="F10" s="9">
        <v>9</v>
      </c>
      <c r="G10" s="9">
        <v>8</v>
      </c>
      <c r="H10" s="45">
        <v>7</v>
      </c>
      <c r="I10" s="48">
        <f t="shared" si="0"/>
        <v>7.55</v>
      </c>
      <c r="J10" s="49">
        <f t="shared" si="1"/>
        <v>5</v>
      </c>
    </row>
    <row r="11" spans="1:10" ht="15" customHeight="1" x14ac:dyDescent="0.3">
      <c r="A11" s="50" t="s">
        <v>73</v>
      </c>
      <c r="B11" s="51">
        <v>10</v>
      </c>
      <c r="C11" s="52">
        <v>7</v>
      </c>
      <c r="D11" s="51">
        <v>9</v>
      </c>
      <c r="E11" s="51">
        <v>8</v>
      </c>
      <c r="F11" s="53">
        <v>3</v>
      </c>
      <c r="G11" s="52">
        <v>7</v>
      </c>
      <c r="H11" s="51">
        <v>8</v>
      </c>
      <c r="I11" s="54">
        <f t="shared" si="0"/>
        <v>7.8500000000000005</v>
      </c>
      <c r="J11" s="55">
        <f t="shared" si="1"/>
        <v>2</v>
      </c>
    </row>
    <row r="13" spans="1:10" ht="15" customHeight="1" x14ac:dyDescent="0.3">
      <c r="A13" s="42" t="s">
        <v>229</v>
      </c>
      <c r="B13" s="56">
        <v>0.25</v>
      </c>
      <c r="C13" s="56">
        <v>0.2</v>
      </c>
      <c r="D13" s="56">
        <v>0.15</v>
      </c>
      <c r="E13" s="56">
        <v>0.15</v>
      </c>
      <c r="F13" s="56">
        <v>0.1</v>
      </c>
      <c r="G13" s="56">
        <v>0.1</v>
      </c>
      <c r="H13" s="56">
        <v>0.05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B5CF6"/>
  </sheetPr>
  <dimension ref="A1:E17"/>
  <sheetViews>
    <sheetView zoomScaleNormal="100" workbookViewId="0">
      <selection activeCell="B21" sqref="B21"/>
    </sheetView>
  </sheetViews>
  <sheetFormatPr defaultColWidth="8.6640625" defaultRowHeight="15" customHeight="1" x14ac:dyDescent="0.3"/>
  <cols>
    <col min="1" max="1" width="6" style="4" customWidth="1"/>
    <col min="2" max="2" width="80" style="4" customWidth="1"/>
    <col min="3" max="3" width="28" style="4" customWidth="1"/>
    <col min="4" max="4" width="20" style="4" customWidth="1"/>
    <col min="5" max="5" width="14" style="4" customWidth="1"/>
  </cols>
  <sheetData>
    <row r="1" spans="1:5" ht="17.25" customHeight="1" x14ac:dyDescent="0.3">
      <c r="A1" s="3" t="s">
        <v>230</v>
      </c>
      <c r="B1" s="3"/>
      <c r="C1" s="3"/>
      <c r="D1" s="3"/>
      <c r="E1" s="3"/>
    </row>
    <row r="3" spans="1:5" ht="26.25" customHeight="1" x14ac:dyDescent="0.3">
      <c r="A3" s="5" t="s">
        <v>231</v>
      </c>
      <c r="B3" s="5" t="s">
        <v>232</v>
      </c>
      <c r="C3" s="5" t="s">
        <v>233</v>
      </c>
      <c r="D3" s="5" t="s">
        <v>234</v>
      </c>
      <c r="E3" s="5" t="s">
        <v>235</v>
      </c>
    </row>
    <row r="4" spans="1:5" ht="34.5" customHeight="1" x14ac:dyDescent="0.3">
      <c r="A4" s="8" t="s">
        <v>236</v>
      </c>
      <c r="B4" s="8" t="s">
        <v>237</v>
      </c>
      <c r="C4" s="8" t="s">
        <v>238</v>
      </c>
      <c r="D4" s="57">
        <f>'Pricing Comparison'!D12</f>
        <v>50.74</v>
      </c>
      <c r="E4" s="8" t="s">
        <v>239</v>
      </c>
    </row>
    <row r="5" spans="1:5" ht="23.25" customHeight="1" x14ac:dyDescent="0.3">
      <c r="A5" s="7" t="s">
        <v>240</v>
      </c>
      <c r="B5" s="7" t="s">
        <v>241</v>
      </c>
      <c r="C5" s="7" t="s">
        <v>242</v>
      </c>
      <c r="D5" s="58">
        <f>'Pricing Comparison'!D15</f>
        <v>23.490000000000002</v>
      </c>
      <c r="E5" s="7" t="s">
        <v>243</v>
      </c>
    </row>
    <row r="6" spans="1:5" ht="15" customHeight="1" x14ac:dyDescent="0.3">
      <c r="A6" s="8" t="s">
        <v>244</v>
      </c>
      <c r="B6" s="8" t="s">
        <v>33</v>
      </c>
      <c r="C6" s="8" t="s">
        <v>245</v>
      </c>
      <c r="D6" s="8"/>
      <c r="E6" s="8" t="s">
        <v>246</v>
      </c>
    </row>
    <row r="8" spans="1:5" ht="15" customHeight="1" x14ac:dyDescent="0.3">
      <c r="A8" s="4" t="s">
        <v>247</v>
      </c>
    </row>
    <row r="9" spans="1:5" ht="23.25" customHeight="1" x14ac:dyDescent="0.3">
      <c r="A9" s="50" t="s">
        <v>248</v>
      </c>
      <c r="B9" s="59" t="s">
        <v>249</v>
      </c>
    </row>
    <row r="10" spans="1:5" ht="23.25" customHeight="1" x14ac:dyDescent="0.3">
      <c r="A10" s="50" t="s">
        <v>250</v>
      </c>
      <c r="B10" s="59" t="s">
        <v>251</v>
      </c>
    </row>
    <row r="11" spans="1:5" ht="15" customHeight="1" x14ac:dyDescent="0.3">
      <c r="A11" s="50" t="s">
        <v>252</v>
      </c>
      <c r="B11" s="59" t="s">
        <v>253</v>
      </c>
    </row>
    <row r="12" spans="1:5" ht="15" customHeight="1" x14ac:dyDescent="0.3">
      <c r="A12" s="50" t="s">
        <v>254</v>
      </c>
      <c r="B12" s="59" t="s">
        <v>255</v>
      </c>
    </row>
    <row r="13" spans="1:5" ht="15" customHeight="1" x14ac:dyDescent="0.3">
      <c r="A13" s="50" t="s">
        <v>256</v>
      </c>
      <c r="B13" s="59" t="s">
        <v>257</v>
      </c>
    </row>
    <row r="14" spans="1:5" ht="15" customHeight="1" x14ac:dyDescent="0.3">
      <c r="A14" s="50" t="s">
        <v>258</v>
      </c>
      <c r="B14" s="59" t="s">
        <v>259</v>
      </c>
    </row>
    <row r="16" spans="1:5" ht="15" customHeight="1" x14ac:dyDescent="0.3">
      <c r="A16" s="42" t="s">
        <v>260</v>
      </c>
    </row>
    <row r="17" spans="1:1" ht="15" customHeight="1" x14ac:dyDescent="0.3">
      <c r="A17" s="4" t="s">
        <v>261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Supplier Overview</vt:lpstr>
      <vt:lpstr>Pricing Comparison</vt:lpstr>
      <vt:lpstr>API &amp; Integration</vt:lpstr>
      <vt:lpstr>Quality &amp; Reviews</vt:lpstr>
      <vt:lpstr>Scoring</vt:lpstr>
      <vt:lpstr>Recommendation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Owner</cp:lastModifiedBy>
  <cp:revision>0</cp:revision>
  <dcterms:created xsi:type="dcterms:W3CDTF">2026-02-24T03:28:27Z</dcterms:created>
  <dcterms:modified xsi:type="dcterms:W3CDTF">2026-02-24T04:23:55Z</dcterms:modified>
  <dc:language>en-US</dc:language>
</cp:coreProperties>
</file>