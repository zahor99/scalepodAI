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Overview" sheetId="1" state="visible" r:id="rId3"/>
    <sheet name="True Landed Cost" sheetId="2" state="visible" r:id="rId4"/>
    <sheet name="Margin Analysis" sheetId="3" state="visible" r:id="rId5"/>
    <sheet name="API Comparison" sheetId="4" state="visible" r:id="rId6"/>
    <sheet name="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<sst xmlns="http://schemas.openxmlformats.org/spreadsheetml/2006/main" count="553" uniqueCount="338">
  <si>
    <t xml:space="preserve">Alternative AOP Suppliers — Research Report</t>
  </si>
  <si>
    <t xml:space="preserve">Beyond Printify / Printful / Gelato  •  Updated March 2026</t>
  </si>
  <si>
    <t xml:space="preserve">Supplier</t>
  </si>
  <si>
    <t xml:space="preserve">HQ / Fulfillment</t>
  </si>
  <si>
    <t xml:space="preserve">AOP Method</t>
  </si>
  <si>
    <t xml:space="preserve">API Access</t>
  </si>
  <si>
    <t xml:space="preserve">API Quality</t>
  </si>
  <si>
    <t xml:space="preserve">Etsy Integration</t>
  </si>
  <si>
    <t xml:space="preserve">Key AOP Products</t>
  </si>
  <si>
    <t xml:space="preserve">Production Time</t>
  </si>
  <si>
    <t xml:space="preserve">Shipping to US</t>
  </si>
  <si>
    <t xml:space="preserve">Notable Differentiator</t>
  </si>
  <si>
    <t xml:space="preserve">MWW On Demand</t>
  </si>
  <si>
    <t xml:space="preserve">US (Johnstown, PA)</t>
  </si>
  <si>
    <t xml:space="preserve">Dye-sublimation</t>
  </si>
  <si>
    <t xml:space="preserve">YES — JSON REST API</t>
  </si>
  <si>
    <t xml:space="preserve">★★★★☆ (Full order mgmt)</t>
  </si>
  <si>
    <t xml:space="preserve">Via Printify or direct</t>
  </si>
  <si>
    <t xml:space="preserve">AOP Hoodies, Tees, Sweatshirts, Dresses, Skirts, Leggings</t>
  </si>
  <si>
    <t xml:space="preserve">2-5 days</t>
  </si>
  <si>
    <t xml:space="preserve">Domestic (fast)</t>
  </si>
  <si>
    <t xml:space="preserve">THE manufacturer behind Printify's BP450. Go direct = cut out middleman markup.</t>
  </si>
  <si>
    <t xml:space="preserve">Gooten</t>
  </si>
  <si>
    <t xml:space="preserve">US (NY HQ, multi-facility)</t>
  </si>
  <si>
    <t xml:space="preserve">YES — Full REST API (free)</t>
  </si>
  <si>
    <t xml:space="preserve">★★★★★ (Best in class)</t>
  </si>
  <si>
    <t xml:space="preserve">Via Etsy API or manual</t>
  </si>
  <si>
    <t xml:space="preserve">AOP Hoodies, Zip Hoodies, Sweatshirts, Hooded Dresses, Joggers</t>
  </si>
  <si>
    <t xml:space="preserve">3-7 days</t>
  </si>
  <si>
    <t xml:space="preserve">Domestic</t>
  </si>
  <si>
    <t xml:space="preserve">Free API, VIM loyalty = volume discounts. Strong AOP hoodie catalog.</t>
  </si>
  <si>
    <t xml:space="preserve">CustomCat</t>
  </si>
  <si>
    <t xml:space="preserve">US (Saginaw, MI)</t>
  </si>
  <si>
    <t xml:space="preserve">DIGISOFT™ (DTG+DTF hybrid)</t>
  </si>
  <si>
    <t xml:space="preserve">YES — REST API</t>
  </si>
  <si>
    <t xml:space="preserve">★★★☆☆ (Enterprise tier best)</t>
  </si>
  <si>
    <t xml:space="preserve">Shopify/WooCommerce, manual Etsy</t>
  </si>
  <si>
    <t xml:space="preserve">Hoodies, Sweatshirts, Tees, Bags (NOT true AOP sublimation)</t>
  </si>
  <si>
    <t xml:space="preserve">48 hours!</t>
  </si>
  <si>
    <t xml:space="preserve">Domestic (fastest)</t>
  </si>
  <si>
    <t xml:space="preserve">48-hour production. BUT DIGISOFT ≠ true AOP sublimation — panel-limited printing.</t>
  </si>
  <si>
    <t xml:space="preserve">Subliminator</t>
  </si>
  <si>
    <t xml:space="preserve">US fulfillment (Israel HQ)</t>
  </si>
  <si>
    <t xml:space="preserve">Dye-sublimation (cut &amp; sew)</t>
  </si>
  <si>
    <t xml:space="preserve">LIMITED — Shopify app, order sync</t>
  </si>
  <si>
    <t xml:space="preserve">★★☆☆☆ (No public REST API)</t>
  </si>
  <si>
    <t xml:space="preserve">Not native — manual/CSV</t>
  </si>
  <si>
    <t xml:space="preserve">AOP Hoodies, Dresses, Sweatshirts, Joggers, Bomber Jackets, Skater Dresses</t>
  </si>
  <si>
    <t xml:space="preserve">3-5 days</t>
  </si>
  <si>
    <t xml:space="preserve">6-9 days (mixed fulfillment)</t>
  </si>
  <si>
    <t xml:space="preserve">True cut-and-sew AOP. Huge women's catalog (dresses, skater skirts). Low base costs.</t>
  </si>
  <si>
    <t xml:space="preserve">Merchize</t>
  </si>
  <si>
    <t xml:space="preserve">Vietnam + US + EU facilities</t>
  </si>
  <si>
    <t xml:space="preserve">★★★★☆ (Full CRUD)</t>
  </si>
  <si>
    <t xml:space="preserve">Native Etsy integration</t>
  </si>
  <si>
    <t xml:space="preserve">AOP Hoodies, Hoodie Dresses, Sweatshirts (light+mid), Tees, Leggings</t>
  </si>
  <si>
    <t xml:space="preserve">3-5 days (US facility)</t>
  </si>
  <si>
    <t xml:space="preserve">Domestic from US hub</t>
  </si>
  <si>
    <t xml:space="preserve">Cheapest AOP base costs in the market. $11.50 sweatshirt, $15.50 hoodie. API + Etsy native.</t>
  </si>
  <si>
    <t xml:space="preserve">AOP+</t>
  </si>
  <si>
    <t xml:space="preserve">UK (London, in-house)</t>
  </si>
  <si>
    <t xml:space="preserve">Dye-sublimation (organic options)</t>
  </si>
  <si>
    <t xml:space="preserve">LIMITED — Shopify app only</t>
  </si>
  <si>
    <t xml:space="preserve">★★☆☆☆ (No REST API)</t>
  </si>
  <si>
    <t xml:space="preserve">Native Etsy integration via app</t>
  </si>
  <si>
    <t xml:space="preserve">AOP Hoodies, Hoodie Dresses, Tees, Sweatshirts, Leggings, Crop Tops</t>
  </si>
  <si>
    <t xml:space="preserve">7-14 days (UK→US)</t>
  </si>
  <si>
    <t xml:space="preserve">Eco/organic options, 5000+ products. BUT UK-based = slow US shipping. Etsy-native.</t>
  </si>
  <si>
    <t xml:space="preserve">HugePOD</t>
  </si>
  <si>
    <t xml:space="preserve">China (Shenzhen)</t>
  </si>
  <si>
    <t xml:space="preserve">★★★☆☆ (Order-focused)</t>
  </si>
  <si>
    <t xml:space="preserve">Manual/CSV</t>
  </si>
  <si>
    <t xml:space="preserve">AOP Hoodie Dresses, Midi Dresses, Tank Dresses, Cami Dresses, Tees</t>
  </si>
  <si>
    <t xml:space="preserve">10-20 days (China→US)</t>
  </si>
  <si>
    <t xml:space="preserve">Biggest women's dress AOP catalog (19+ styles). Very cheap (&lt;$20 per dress). Slow shipping.</t>
  </si>
  <si>
    <t xml:space="preserve">PeaPrint</t>
  </si>
  <si>
    <t xml:space="preserve">China (multiple facilities)</t>
  </si>
  <si>
    <t xml:space="preserve">LIMITED — Shopify app</t>
  </si>
  <si>
    <t xml:space="preserve">Not native</t>
  </si>
  <si>
    <t xml:space="preserve">AOP Hoodies, V-Neck Hoodie Dresses, Sleeveless Midi, A-Line, Swing, Maxi, Slip, Ruffle Cami, 1000+ products</t>
  </si>
  <si>
    <t xml:space="preserve">7-15 days (China→US)</t>
  </si>
  <si>
    <t xml:space="preserve">25-35% cheaper than Printful. Huge women's dress selection. No real API (Shopify app only). Base costs $8-$15 for dresses.</t>
  </si>
  <si>
    <t xml:space="preserve">Prodigi</t>
  </si>
  <si>
    <t xml:space="preserve">UK + US + EU (multi-facility)</t>
  </si>
  <si>
    <t xml:space="preserve">YES — Print API (excellent)</t>
  </si>
  <si>
    <t xml:space="preserve">★★★★★ (Developer-first)</t>
  </si>
  <si>
    <t xml:space="preserve">Via API to any platform</t>
  </si>
  <si>
    <t xml:space="preserve">AOP Hoodies, Sweatshirts, Jackets, Women's Tees</t>
  </si>
  <si>
    <t xml:space="preserve">Developer-first Print API. Best docs. But smaller AOP apparel catalog than others.</t>
  </si>
  <si>
    <t xml:space="preserve">JetPrint</t>
  </si>
  <si>
    <t xml:space="preserve">China</t>
  </si>
  <si>
    <t xml:space="preserve">★★☆☆☆</t>
  </si>
  <si>
    <t xml:space="preserve">AOP Dresses, Swimsuits, Shoes, Accessories</t>
  </si>
  <si>
    <t xml:space="preserve">5-10 days</t>
  </si>
  <si>
    <t xml:space="preserve">10-20 days</t>
  </si>
  <si>
    <t xml:space="preserve">Unique niche items (shoes, swimwear). Pricier. Slow shipping.</t>
  </si>
  <si>
    <t xml:space="preserve">Awkward Styles</t>
  </si>
  <si>
    <t xml:space="preserve">US (Los Angeles, CA)</t>
  </si>
  <si>
    <t xml:space="preserve">Sublimation + DTG</t>
  </si>
  <si>
    <t xml:space="preserve">YES — REST API (basic auth)</t>
  </si>
  <si>
    <t xml:space="preserve">★★★☆☆ (Order CRUD)</t>
  </si>
  <si>
    <t xml:space="preserve">Manual</t>
  </si>
  <si>
    <t xml:space="preserve">AOP options limited — stronger on DTG. Hoodies, Tees</t>
  </si>
  <si>
    <t xml:space="preserve">LA-based. Has API. But AOP catalog is thin — better for DTG.</t>
  </si>
  <si>
    <t xml:space="preserve">TRUE LANDED COST — China vs US Suppliers (Tariffs + Shipping Included)</t>
  </si>
  <si>
    <t xml:space="preserve">⚠️ CRITICAL: De minimis ($800 exemption) ELIMINATED for China as of May 2025. Every single package from China now pays tariffs.</t>
  </si>
  <si>
    <t xml:space="preserve">Tariff sources: Section 301 (7.5-25%) + Normal duty (10-32%) + De minimis fee ($2/item or % of value). Supreme Court struck IEEPA tariffs Feb 2026, but Section 301 + de minimis end remain.</t>
  </si>
  <si>
    <t xml:space="preserve">TARIFF BREAKDOWN FOR POLYESTER AOP APPAREL FROM CHINA (HTS 6104/6110)</t>
  </si>
  <si>
    <t xml:space="preserve">Cost Component</t>
  </si>
  <si>
    <t xml:space="preserve">Rate / Amount</t>
  </si>
  <si>
    <t xml:space="preserve">Applies To</t>
  </si>
  <si>
    <t xml:space="preserve">Status (Mar 2026)</t>
  </si>
  <si>
    <t xml:space="preserve">Notes</t>
  </si>
  <si>
    <t xml:space="preserve">Normal MFN Duty</t>
  </si>
  <si>
    <t xml:space="preserve">10-32% (avg ~16% for polyester apparel)</t>
  </si>
  <si>
    <t xml:space="preserve">All China imports</t>
  </si>
  <si>
    <t xml:space="preserve">ACTIVE</t>
  </si>
  <si>
    <t xml:space="preserve">HTS chapter 61/62. Polyester dresses ~16%, hoodies ~12-16%.</t>
  </si>
  <si>
    <t xml:space="preserve">Section 301 Tariff (Trump 1.0)</t>
  </si>
  <si>
    <t xml:space="preserve">7.5% additional</t>
  </si>
  <si>
    <t xml:space="preserve">List 4A products (most apparel)</t>
  </si>
  <si>
    <t xml:space="preserve">ACTIVE — upheld by Supreme Court</t>
  </si>
  <si>
    <t xml:space="preserve">Applied since 2019. Not struck down. Cumulative with normal duty.</t>
  </si>
  <si>
    <t xml:space="preserve">De Minimis Elimination</t>
  </si>
  <si>
    <t xml:space="preserve">$2/item flat fee OR ad valorem % of value</t>
  </si>
  <si>
    <t xml:space="preserve">All China packages &lt;$800</t>
  </si>
  <si>
    <t xml:space="preserve">ACTIVE — eliminated May 2025</t>
  </si>
  <si>
    <t xml:space="preserve">Was $0 before. Now every package pays. POD single-item shipments = hit hardest.</t>
  </si>
  <si>
    <t xml:space="preserve">IEEPA / Reciprocal Tariffs</t>
  </si>
  <si>
    <t xml:space="preserve">0% (struck down)</t>
  </si>
  <si>
    <t xml:space="preserve">Was 54-125%, now $0</t>
  </si>
  <si>
    <t xml:space="preserve">STRUCK DOWN — Feb 20, 2026</t>
  </si>
  <si>
    <t xml:space="preserve">Supreme Court ruled unconstitutional. No longer applies.</t>
  </si>
  <si>
    <t xml:space="preserve">TOTAL ESTIMATED DUTY</t>
  </si>
  <si>
    <t xml:space="preserve">~25-45% of declared value</t>
  </si>
  <si>
    <t xml:space="preserve">Polyester AOP apparel from China</t>
  </si>
  <si>
    <t xml:space="preserve">ACTIVE components only</t>
  </si>
  <si>
    <t xml:space="preserve">Normal duty (~16%) + Section 301 (7.5%) + de minimis fee. Varies by exact HTS code.</t>
  </si>
  <si>
    <t xml:space="preserve">TRUE LANDED COST COMPARISON — AOP DRESSES (Elegant Women)</t>
  </si>
  <si>
    <t xml:space="preserve">Origin</t>
  </si>
  <si>
    <t xml:space="preserve">Base COGS</t>
  </si>
  <si>
    <t xml:space="preserve">Shipping to Customer</t>
  </si>
  <si>
    <t xml:space="preserve">Est. Tariff/Duty</t>
  </si>
  <si>
    <t xml:space="preserve">TRUE Landed Cost</t>
  </si>
  <si>
    <t xml:space="preserve">Sale Price</t>
  </si>
  <si>
    <t xml:space="preserve">Etsy Fee (13%)</t>
  </si>
  <si>
    <t xml:space="preserve">Net Profit</t>
  </si>
  <si>
    <t xml:space="preserve">TRUE Margin %</t>
  </si>
  <si>
    <t xml:space="preserve">Delivery Days</t>
  </si>
  <si>
    <t xml:space="preserve">Best Marketplace</t>
  </si>
  <si>
    <t xml:space="preserve">PeaPrint — Slip Dress</t>
  </si>
  <si>
    <t xml:space="preserve">12-20</t>
  </si>
  <si>
    <t xml:space="preserve">Google Shopping</t>
  </si>
  <si>
    <t xml:space="preserve">PeaPrint — Sleeveless Midi</t>
  </si>
  <si>
    <t xml:space="preserve">PeaPrint — Short Sleeve A-Line</t>
  </si>
  <si>
    <t xml:space="preserve">PeaPrint — Long Sleeve Maxi</t>
  </si>
  <si>
    <t xml:space="preserve">PeaPrint — V-Neck Hoodie Dress</t>
  </si>
  <si>
    <t xml:space="preserve">Yoycol — Elegant Long Dress</t>
  </si>
  <si>
    <t xml:space="preserve">10-18</t>
  </si>
  <si>
    <t xml:space="preserve">Yoycol — Slip Dress</t>
  </si>
  <si>
    <t xml:space="preserve">HugePOD — Hoodie Dress</t>
  </si>
  <si>
    <t xml:space="preserve">HugePOD — Midi Cami Dress</t>
  </si>
  <si>
    <t xml:space="preserve">Gooten — Hooded Pullover Dress</t>
  </si>
  <si>
    <t xml:space="preserve">US</t>
  </si>
  <si>
    <t xml:space="preserve">5-9</t>
  </si>
  <si>
    <t xml:space="preserve">Etsy</t>
  </si>
  <si>
    <t xml:space="preserve">Merchize — AOP Hoodie Dress</t>
  </si>
  <si>
    <t xml:space="preserve">US hub</t>
  </si>
  <si>
    <t xml:space="preserve">Subliminator — Skater Dress</t>
  </si>
  <si>
    <t xml:space="preserve">US/Mixed</t>
  </si>
  <si>
    <t xml:space="preserve">TRUE LANDED COST COMPARISON — AOP HOODIES</t>
  </si>
  <si>
    <t xml:space="preserve">MWW Direct (est.)</t>
  </si>
  <si>
    <t xml:space="preserve">3-7</t>
  </si>
  <si>
    <t xml:space="preserve">MWW via Printify (BP450)</t>
  </si>
  <si>
    <t xml:space="preserve">Merchize (US hub)</t>
  </si>
  <si>
    <t xml:space="preserve">PeaPrint — AOP Hoodie</t>
  </si>
  <si>
    <t xml:space="preserve">HugePOD — AOP Hoodie</t>
  </si>
  <si>
    <t xml:space="preserve">KEY TAKEAWAYS</t>
  </si>
  <si>
    <t xml:space="preserve">1. TARIFFS ARE REAL</t>
  </si>
  <si>
    <t xml:space="preserve">China AOP apparel faces ~25% total duty (16% normal + 7.5% Section 301 + de minimis fees). This is NOT going away — Section 301 was upheld by SCOTUS.</t>
  </si>
  <si>
    <t xml:space="preserve">2. DE MINIMIS IS DEAD</t>
  </si>
  <si>
    <t xml:space="preserve">The $800 exemption for China packages was eliminated May 2025. Every single POD item shipped from China to a US customer now pays tariffs. This hits PeaPrint, Yoycol, HugePOD equally.</t>
  </si>
  <si>
    <t xml:space="preserve">3. SHIPPING EATS MARGINS</t>
  </si>
  <si>
    <t xml:space="preserve">China→US shipping adds $7-10/item for apparel (ePacket/standard). Express = $12-18. Your customer either pays this or you absorb it.</t>
  </si>
  <si>
    <t xml:space="preserve">4. ETSY = US SUPPLIERS ONLY</t>
  </si>
  <si>
    <t xml:space="preserve">Etsy buyers expect 5-7 day delivery. China suppliers = 12-20 days. Etsy will penalize your shop with lower search ranking for slow shipping. US suppliers (MWW, Gooten, Merchize) are the only viable option for Etsy.</t>
  </si>
  <si>
    <t xml:space="preserve">5. GOOGLE SHOPPING = CHINA OK</t>
  </si>
  <si>
    <t xml:space="preserve">Google Shopping buyers are more price-sensitive and accept longer shipping (like Amazon buyers). China suppliers with cheap COGS can work here IF margins survive tariffs.</t>
  </si>
  <si>
    <t xml:space="preserve">6. PEAPRINT DRESSES STILL PROFITABLE</t>
  </si>
  <si>
    <t xml:space="preserve">Even with tariffs + shipping, PeaPrint slip dress lands at ~$18.26 vs $49.99 sale = ~50% margin. Better than your MWW hoodies (29.4% via Printify). BUT delivery time kills it for Etsy.</t>
  </si>
  <si>
    <t xml:space="preserve">7. BEST PLAY: DUAL CHANNEL</t>
  </si>
  <si>
    <t xml:space="preserve">Etsy → US suppliers (MWW direct, Gooten, Merchize) for hoodies/sweatshirts. Google Shopping → China suppliers (PeaPrint, Yoycol) for AOP dresses where tariff-adjusted margins are still 40-50%.</t>
  </si>
  <si>
    <t xml:space="preserve">AOP Margin Analysis — Target Products</t>
  </si>
  <si>
    <t xml:space="preserve">Sale prices based on your current strategy (perpetual 50% sale)  •  Shipping paid by buyer</t>
  </si>
  <si>
    <t xml:space="preserve">AOP HOODIES</t>
  </si>
  <si>
    <t xml:space="preserve">Base Cost (S-XL)</t>
  </si>
  <si>
    <t xml:space="preserve">Base Cost (2XL+)</t>
  </si>
  <si>
    <t xml:space="preserve">Listed Price</t>
  </si>
  <si>
    <t xml:space="preserve">Sale Price (50% off)</t>
  </si>
  <si>
    <t xml:space="preserve">Etsy Fee (~13%)</t>
  </si>
  <si>
    <t xml:space="preserve">Net Profit (S-XL)</t>
  </si>
  <si>
    <t xml:space="preserve">Margin %</t>
  </si>
  <si>
    <t xml:space="preserve">Direct pricing ~15-20% less than via Printify. Must register for exact quote.</t>
  </si>
  <si>
    <t xml:space="preserve">Your current supplier. Known quantity.</t>
  </si>
  <si>
    <t xml:space="preserve">Est. from market data. VIM tiers drop $1.50/unit at volume.</t>
  </si>
  <si>
    <t xml:space="preserve">CustomCat (Pro $30/mo)</t>
  </si>
  <si>
    <t xml:space="preserve">⚠️ DIGISOFT not true AOP sublimation. Panel-limited, not edge-to-edge.</t>
  </si>
  <si>
    <t xml:space="preserve">True cut-and-sew AOP. Mixed US/intl fulfillment.</t>
  </si>
  <si>
    <t xml:space="preserve">Cheapest AOP hoodie. Quality TBD — Vietnam/US production.</t>
  </si>
  <si>
    <t xml:space="preserve">UK shipping adds 7-14 days to US. Eco options.</t>
  </si>
  <si>
    <t xml:space="preserve">AOP SWEATSHIRTS / CREWNECKS</t>
  </si>
  <si>
    <t xml:space="preserve">MWW via Printify (BP449)</t>
  </si>
  <si>
    <t xml:space="preserve">Your current mid-tier. Solid quality.</t>
  </si>
  <si>
    <t xml:space="preserve">Estimated. Check Gooten Admin for exact pricing.</t>
  </si>
  <si>
    <t xml:space="preserve">Good value. Cut-and-sew AOP.</t>
  </si>
  <si>
    <t xml:space="preserve">Absurdly cheap. Lightweight option $11.50, midweight ~$15.</t>
  </si>
  <si>
    <t xml:space="preserve">UK-based. Eco options available.</t>
  </si>
  <si>
    <t xml:space="preserve">CustomCat (Pro)</t>
  </si>
  <si>
    <t xml:space="preserve">⚠️ DIGISOFT — not true AOP.</t>
  </si>
  <si>
    <t xml:space="preserve">AOP DRESSES (Elegant Women — Hoodie Dress / Midi / Maxi)</t>
  </si>
  <si>
    <t xml:space="preserve">Your current dress supplier. Best quality-to-price ratio.</t>
  </si>
  <si>
    <t xml:space="preserve">Entry-tier dress. Highest margin potential.</t>
  </si>
  <si>
    <t xml:space="preserve">Hoodie dress hybrid. Estimated pricing.</t>
  </si>
  <si>
    <t xml:space="preserve">AOP+ — Hoodie Dress</t>
  </si>
  <si>
    <t xml:space="preserve">UK-based. Cotton hoodie dress, eco option.</t>
  </si>
  <si>
    <t xml:space="preserve">Cheapest hoodie dress. 10-20 day shipping from China.</t>
  </si>
  <si>
    <t xml:space="preserve">Split midi — elegant look. Slow shipping.</t>
  </si>
  <si>
    <t xml:space="preserve">Cut-and-sew. Good quality. Limited dress styles.</t>
  </si>
  <si>
    <t xml:space="preserve">US-based. 6 sizes. Estimated pricing.</t>
  </si>
  <si>
    <t xml:space="preserve">PeaPrint — AOP V-Neck Long Sleeve Hoodie Dress</t>
  </si>
  <si>
    <t xml:space="preserve">170gsm. Hoodie dress with V-neck. Full AOP sublimation. China fulfillment 7-15 days.</t>
  </si>
  <si>
    <t xml:space="preserve">PeaPrint — AOP Sleeveless Midi Dress</t>
  </si>
  <si>
    <t xml:space="preserve">Elegant sleeveless midi. Lightweight poly. Best margin potential at PeaPrint.</t>
  </si>
  <si>
    <t xml:space="preserve">PeaPrint — AOP Short Sleeve A-Line Dress</t>
  </si>
  <si>
    <t xml:space="preserve">Casual-elegant A-line. Short sleeve. Good for cottagecore/boho florals.</t>
  </si>
  <si>
    <t xml:space="preserve">PeaPrint — AOP Half-Sleeve Swing Dress</t>
  </si>
  <si>
    <t xml:space="preserve">Flowy swing silhouette. Half sleeve. Mid-price range.</t>
  </si>
  <si>
    <t xml:space="preserve">PeaPrint — AOP Long Sleeve Maxi Dress</t>
  </si>
  <si>
    <t xml:space="preserve">Full-length maxi. Long sleeve for fall/winter. Premium feel, still cheap COGS.</t>
  </si>
  <si>
    <t xml:space="preserve">PeaPrint — AOP Slip Dress (Spaghetti Strap)</t>
  </si>
  <si>
    <t xml:space="preserve">Cheapest elegant option. Spaghetti strap slip. Great for celestial/dark floral prints.</t>
  </si>
  <si>
    <t xml:space="preserve">PeaPrint — AOP Ruffle Hem Cami Dress</t>
  </si>
  <si>
    <t xml:space="preserve">Feminine ruffle hem. Cami style. Good for boho aesthetic.</t>
  </si>
  <si>
    <t xml:space="preserve">API Access Deep Dive</t>
  </si>
  <si>
    <t xml:space="preserve">Detailed API capabilities per supplier — critical for automation pipeline</t>
  </si>
  <si>
    <t xml:space="preserve">API Type</t>
  </si>
  <si>
    <t xml:space="preserve">Auth Method</t>
  </si>
  <si>
    <t xml:space="preserve">Product Create</t>
  </si>
  <si>
    <t xml:space="preserve">Order Create</t>
  </si>
  <si>
    <t xml:space="preserve">Order Tracking</t>
  </si>
  <si>
    <t xml:space="preserve">Image Upload</t>
  </si>
  <si>
    <t xml:space="preserve">Webhook Support</t>
  </si>
  <si>
    <t xml:space="preserve">Rate Limits</t>
  </si>
  <si>
    <t xml:space="preserve">Docs Quality</t>
  </si>
  <si>
    <t xml:space="preserve">Verdict for Your Pipeline</t>
  </si>
  <si>
    <t xml:space="preserve">JSON REST</t>
  </si>
  <si>
    <t xml:space="preserve">API Key</t>
  </si>
  <si>
    <t xml:space="preserve">YES</t>
  </si>
  <si>
    <t xml:space="preserve">Unknown</t>
  </si>
  <si>
    <t xml:space="preserve">Unknown — register for docs</t>
  </si>
  <si>
    <t xml:space="preserve">★★★★☆ (GitHub hosted)</t>
  </si>
  <si>
    <t xml:space="preserve">Best option to cut costs. Same manufacturer as your BP450. Direct API = skip Printify markup.</t>
  </si>
  <si>
    <t xml:space="preserve">REST API</t>
  </si>
  <si>
    <t xml:space="preserve">API Key (free)</t>
  </si>
  <si>
    <t xml:space="preserve">Generous</t>
  </si>
  <si>
    <t xml:space="preserve">★★★★★ (Best in POD)</t>
  </si>
  <si>
    <t xml:space="preserve">Excellent alternative. Free API, great docs, VIM volume pricing. Strong AOP catalog.</t>
  </si>
  <si>
    <t xml:space="preserve">Standard</t>
  </si>
  <si>
    <t xml:space="preserve">★★★★☆</t>
  </si>
  <si>
    <t xml:space="preserve">Cheapest base costs + full API. Vietnam+US fulfillment. Worth testing quality.</t>
  </si>
  <si>
    <t xml:space="preserve">Print API</t>
  </si>
  <si>
    <t xml:space="preserve">YES (URL-based)</t>
  </si>
  <si>
    <t xml:space="preserve">Best developer experience. Smaller AOP catalog but expanding. Multi-region fulfillment.</t>
  </si>
  <si>
    <t xml:space="preserve">API Key (Enterprise)</t>
  </si>
  <si>
    <t xml:space="preserve">Limited</t>
  </si>
  <si>
    <t xml:space="preserve">$30/mo Pro needed</t>
  </si>
  <si>
    <t xml:space="preserve">★★★☆☆</t>
  </si>
  <si>
    <t xml:space="preserve">⚠️ NOT true AOP. DIGISOFT is DTG+DTF hybrid. Skip for AOP hoodies.</t>
  </si>
  <si>
    <t xml:space="preserve">HTTP Basic Auth</t>
  </si>
  <si>
    <t xml:space="preserve">No</t>
  </si>
  <si>
    <t xml:space="preserve">Thin AOP catalog. API exists but docs are sparse. Better for DTG.</t>
  </si>
  <si>
    <t xml:space="preserve">Cheap dresses but China shipping kills it for US customers. API works.</t>
  </si>
  <si>
    <t xml:space="preserve">Shopify App only</t>
  </si>
  <si>
    <t xml:space="preserve">OAuth (Shopify)</t>
  </si>
  <si>
    <t xml:space="preserve">Via Shopify</t>
  </si>
  <si>
    <t xml:space="preserve">Auto-sync</t>
  </si>
  <si>
    <t xml:space="preserve">N/A</t>
  </si>
  <si>
    <t xml:space="preserve">No standalone API. Shopify-only. Can't integrate with your Python pipeline directly.</t>
  </si>
  <si>
    <t xml:space="preserve">No REST API. Shopify/Etsy app only. Can't automate from Python.</t>
  </si>
  <si>
    <t xml:space="preserve">No public API. Cheap but no automation path.</t>
  </si>
  <si>
    <t xml:space="preserve">Niche products (shoes, swimwear). No API. Slow shipping.</t>
  </si>
  <si>
    <t xml:space="preserve">Recommendations for LunarAuraDesignStore</t>
  </si>
  <si>
    <t xml:space="preserve">Ranked by fit for your AOP pipeline, ICP (women 22-34, whimsigoth/boho), and margin targets</t>
  </si>
  <si>
    <t xml:space="preserve">Rank</t>
  </si>
  <si>
    <t xml:space="preserve">Category</t>
  </si>
  <si>
    <t xml:space="preserve">Why</t>
  </si>
  <si>
    <t xml:space="preserve">Risk</t>
  </si>
  <si>
    <t xml:space="preserve">Action Item</t>
  </si>
  <si>
    <t xml:space="preserve">Priority</t>
  </si>
  <si>
    <t xml:space="preserve">#1</t>
  </si>
  <si>
    <t xml:space="preserve">MWW On Demand (Direct)</t>
  </si>
  <si>
    <t xml:space="preserve">Hoodies + Sweatshirts</t>
  </si>
  <si>
    <t xml:space="preserve">You already use MWW via Printify (BP450). Going direct cuts out Printify's ~15-20% markup. Same quality, same facility, lower cost. Full JSON API for your Python pipeline.</t>
  </si>
  <si>
    <t xml:space="preserve">Need to register and negotiate pricing. Minimum volumes possible.</t>
  </si>
  <si>
    <t xml:space="preserve">Register at mwwondemand.com, get API docs, compare direct vs Printify pricing.</t>
  </si>
  <si>
    <t xml:space="preserve">🔴 HIGH</t>
  </si>
  <si>
    <t xml:space="preserve">#2</t>
  </si>
  <si>
    <t xml:space="preserve">Hoodies + Dresses</t>
  </si>
  <si>
    <t xml:space="preserve">Free best-in-class API. Strong AOP catalog including hooded dresses. VIM loyalty = volume discounts. US fulfillment. Great fallback/secondary supplier.</t>
  </si>
  <si>
    <t xml:space="preserve">Pricing not public — need account to verify. Quality untested.</t>
  </si>
  <si>
    <t xml:space="preserve">Create Gooten account, check AOP hoodie pricing in Admin, order samples.</t>
  </si>
  <si>
    <t xml:space="preserve">#3</t>
  </si>
  <si>
    <t xml:space="preserve">Sweatshirts + Hoodies (budget tier)</t>
  </si>
  <si>
    <t xml:space="preserve">Lowest base costs in the market ($11.50 sweatshirt, $15.50 hoodie). Full REST API. Native Etsy integration. 55-65% margins possible.</t>
  </si>
  <si>
    <t xml:space="preserve">Vietnam production for some items. Quality variance. Longer shipping from non-US facility.</t>
  </si>
  <si>
    <t xml:space="preserve">Order 2-3 AOP hoodie samples. Test API integration. Compare quality to MWW.</t>
  </si>
  <si>
    <t xml:space="preserve">🟡 MEDIUM</t>
  </si>
  <si>
    <t xml:space="preserve">#4</t>
  </si>
  <si>
    <t xml:space="preserve">Future expansion</t>
  </si>
  <si>
    <t xml:space="preserve">Developer-first Print API with the best documentation. Multi-region fulfillment (US+UK+EU). Great for scaling internationally.</t>
  </si>
  <si>
    <t xml:space="preserve">Smaller AOP apparel catalog. May not have your exact hoodie blanks yet.</t>
  </si>
  <si>
    <t xml:space="preserve">Bookmark for Phase 2/3 when going multi-region SaaS.</t>
  </si>
  <si>
    <t xml:space="preserve">🟢 LOW</t>
  </si>
  <si>
    <t xml:space="preserve">#5</t>
  </si>
  <si>
    <t xml:space="preserve">Dresses only</t>
  </si>
  <si>
    <t xml:space="preserve">Largest women's AOP dress catalog (19+ styles). Very cheap ($10-15 per dress). Good complement to Yoycol.</t>
  </si>
  <si>
    <t xml:space="preserve">China shipping = 10-20 days. Deal-breaker for US Etsy buyers who expect 5-7 day delivery.</t>
  </si>
  <si>
    <t xml:space="preserve">Only consider if you add Google Shopping (where longer shipping is more accepted).</t>
  </si>
  <si>
    <t xml:space="preserve">#6</t>
  </si>
  <si>
    <t xml:space="preserve">Niche women's items</t>
  </si>
  <si>
    <t xml:space="preserve">True cut-and-sew AOP. Skater dresses, bomber jackets — unique items. Good for differentiation.</t>
  </si>
  <si>
    <t xml:space="preserve">No standalone API (Shopify app only). Can't integrate with your Python pipeline without workarounds.</t>
  </si>
  <si>
    <t xml:space="preserve">Skip unless you launch a Shopify store alongside Etsy.</t>
  </si>
  <si>
    <t xml:space="preserve">#7</t>
  </si>
  <si>
    <t xml:space="preserve">Dresses (elegant women)</t>
  </si>
  <si>
    <t xml:space="preserve">Huge women's dress catalog (7+ AOP styles). Cheapest dress COGS in POD ($8-$15). Slip dress at $8.61 = 70%+ margin at $49.99. Better dress variety than Yoycol. No minimum order.</t>
  </si>
  <si>
    <t xml:space="preserve">No REST API — Shopify app only. Can't automate with your Python pipeline. China fulfillment = 7-15 day shipping to US. Quality unknown — need samples.</t>
  </si>
  <si>
    <t xml:space="preserve">Order 3 sample dresses (slip, midi, maxi). Compare quality to Yoycol. If quality matches, use for Google Shopping channel where shipping time is less critical.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</si>
</sst>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2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6C63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57F17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D2D44"/>
        <bgColor rgb="FF1B1B2F"/>
      </patternFill>
    </fill>
    <fill>
      <patternFill patternType="solid">
        <fgColor rgb="FFE8F0FE"/>
        <bgColor rgb="FFE3F2FD"/>
      </patternFill>
    </fill>
    <fill>
      <patternFill patternType="solid">
        <fgColor rgb="FFF5F5FF"/>
        <bgColor rgb="FFE8F0FE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E8F0FE"/>
      </patternFill>
    </fill>
    <fill>
      <patternFill patternType="solid">
        <fgColor rgb="FFF3E5F5"/>
        <bgColor rgb="FFFFEBEE"/>
      </patternFill>
    </fill>
    <fill>
      <patternFill patternType="solid">
        <fgColor rgb="FFFFCDD2"/>
        <bgColor rgb="FFF3E5F5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44336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E8F0FE"/>
      <rgbColor rgb="FFFFEBEE"/>
      <rgbColor rgb="FFF5F5FF"/>
      <rgbColor rgb="FFFFCDD2"/>
      <rgbColor rgb="FF6C63FF"/>
      <rgbColor rgb="FF33CCCC"/>
      <rgbColor rgb="FF99CC00"/>
      <rgbColor rgb="FFFFCC00"/>
      <rgbColor rgb="FFFF9800"/>
      <rgbColor rgb="FFF57F17"/>
      <rgbColor rgb="FF666666"/>
      <rgbColor rgb="FF969696"/>
      <rgbColor rgb="FF003366"/>
      <rgbColor rgb="FF4CAF50"/>
      <rgbColor rgb="FF003300"/>
      <rgbColor rgb="FF1B1B2F"/>
      <rgbColor rgb="FFC62828"/>
      <rgbColor rgb="FF993366"/>
      <rgbColor rgb="FF333399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5" min="4" style="1" width="24"/>
    <col collapsed="false" customWidth="true" hidden="false" outlineLevel="0" max="6" min="6" style="1" width="20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4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3.2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customFormat="false" ht="23.25" hidden="false" customHeight="true" outlineLevel="0" collapsed="false">
      <c r="A6" s="7" t="s">
        <v>22</v>
      </c>
      <c r="B6" s="7" t="s">
        <v>23</v>
      </c>
      <c r="C6" s="7" t="s">
        <v>14</v>
      </c>
      <c r="D6" s="7" t="s">
        <v>24</v>
      </c>
      <c r="E6" s="8" t="s">
        <v>25</v>
      </c>
      <c r="F6" s="7" t="s">
        <v>26</v>
      </c>
      <c r="G6" s="7" t="s">
        <v>27</v>
      </c>
      <c r="H6" s="7" t="s">
        <v>28</v>
      </c>
      <c r="I6" s="7" t="s">
        <v>29</v>
      </c>
      <c r="J6" s="7" t="s">
        <v>30</v>
      </c>
    </row>
    <row r="7" customFormat="false" ht="34.5" hidden="false" customHeight="true" outlineLevel="0" collapsed="false">
      <c r="A7" s="5" t="s">
        <v>31</v>
      </c>
      <c r="B7" s="5" t="s">
        <v>32</v>
      </c>
      <c r="C7" s="5" t="s">
        <v>33</v>
      </c>
      <c r="D7" s="5" t="s">
        <v>34</v>
      </c>
      <c r="E7" s="9" t="s">
        <v>35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</row>
    <row r="8" customFormat="false" ht="23.25" hidden="false" customHeight="true" outlineLevel="0" collapsed="false">
      <c r="A8" s="7" t="s">
        <v>41</v>
      </c>
      <c r="B8" s="7" t="s">
        <v>42</v>
      </c>
      <c r="C8" s="7" t="s">
        <v>43</v>
      </c>
      <c r="D8" s="7" t="s">
        <v>44</v>
      </c>
      <c r="E8" s="9" t="s">
        <v>45</v>
      </c>
      <c r="F8" s="7" t="s">
        <v>46</v>
      </c>
      <c r="G8" s="7" t="s">
        <v>47</v>
      </c>
      <c r="H8" s="7" t="s">
        <v>48</v>
      </c>
      <c r="I8" s="7" t="s">
        <v>49</v>
      </c>
      <c r="J8" s="7" t="s">
        <v>50</v>
      </c>
    </row>
    <row r="9" customFormat="false" ht="23.25" hidden="false" customHeight="true" outlineLevel="0" collapsed="false">
      <c r="A9" s="5" t="s">
        <v>51</v>
      </c>
      <c r="B9" s="5" t="s">
        <v>52</v>
      </c>
      <c r="C9" s="5" t="s">
        <v>14</v>
      </c>
      <c r="D9" s="5" t="s">
        <v>34</v>
      </c>
      <c r="E9" s="6" t="s">
        <v>53</v>
      </c>
      <c r="F9" s="5" t="s">
        <v>54</v>
      </c>
      <c r="G9" s="5" t="s">
        <v>55</v>
      </c>
      <c r="H9" s="5" t="s">
        <v>56</v>
      </c>
      <c r="I9" s="5" t="s">
        <v>57</v>
      </c>
      <c r="J9" s="5" t="s">
        <v>58</v>
      </c>
    </row>
    <row r="10" customFormat="false" ht="23.25" hidden="false" customHeight="true" outlineLevel="0" collapsed="false">
      <c r="A10" s="7" t="s">
        <v>59</v>
      </c>
      <c r="B10" s="7" t="s">
        <v>60</v>
      </c>
      <c r="C10" s="7" t="s">
        <v>61</v>
      </c>
      <c r="D10" s="7" t="s">
        <v>62</v>
      </c>
      <c r="E10" s="9" t="s">
        <v>63</v>
      </c>
      <c r="F10" s="7" t="s">
        <v>64</v>
      </c>
      <c r="G10" s="7" t="s">
        <v>65</v>
      </c>
      <c r="H10" s="7" t="s">
        <v>48</v>
      </c>
      <c r="I10" s="7" t="s">
        <v>66</v>
      </c>
      <c r="J10" s="7" t="s">
        <v>67</v>
      </c>
    </row>
    <row r="11" customFormat="false" ht="23.25" hidden="false" customHeight="true" outlineLevel="0" collapsed="false">
      <c r="A11" s="5" t="s">
        <v>68</v>
      </c>
      <c r="B11" s="5" t="s">
        <v>69</v>
      </c>
      <c r="C11" s="5" t="s">
        <v>14</v>
      </c>
      <c r="D11" s="5" t="s">
        <v>34</v>
      </c>
      <c r="E11" s="9" t="s">
        <v>70</v>
      </c>
      <c r="F11" s="5" t="s">
        <v>71</v>
      </c>
      <c r="G11" s="5" t="s">
        <v>72</v>
      </c>
      <c r="H11" s="5" t="s">
        <v>28</v>
      </c>
      <c r="I11" s="5" t="s">
        <v>73</v>
      </c>
      <c r="J11" s="5" t="s">
        <v>74</v>
      </c>
    </row>
    <row r="12" customFormat="false" ht="23.25" hidden="false" customHeight="true" outlineLevel="0" collapsed="false">
      <c r="A12" s="7" t="s">
        <v>75</v>
      </c>
      <c r="B12" s="7" t="s">
        <v>76</v>
      </c>
      <c r="C12" s="7" t="s">
        <v>14</v>
      </c>
      <c r="D12" s="7" t="s">
        <v>77</v>
      </c>
      <c r="E12" s="9" t="s">
        <v>45</v>
      </c>
      <c r="F12" s="7" t="s">
        <v>78</v>
      </c>
      <c r="G12" s="7" t="s">
        <v>79</v>
      </c>
      <c r="H12" s="7" t="s">
        <v>28</v>
      </c>
      <c r="I12" s="7" t="s">
        <v>80</v>
      </c>
      <c r="J12" s="7" t="s">
        <v>81</v>
      </c>
    </row>
    <row r="13" customFormat="false" ht="23.25" hidden="false" customHeight="true" outlineLevel="0" collapsed="false">
      <c r="A13" s="5" t="s">
        <v>82</v>
      </c>
      <c r="B13" s="5" t="s">
        <v>83</v>
      </c>
      <c r="C13" s="5" t="s">
        <v>14</v>
      </c>
      <c r="D13" s="5" t="s">
        <v>84</v>
      </c>
      <c r="E13" s="8" t="s">
        <v>85</v>
      </c>
      <c r="F13" s="5" t="s">
        <v>86</v>
      </c>
      <c r="G13" s="5" t="s">
        <v>87</v>
      </c>
      <c r="H13" s="5" t="s">
        <v>48</v>
      </c>
      <c r="I13" s="5" t="s">
        <v>57</v>
      </c>
      <c r="J13" s="5" t="s">
        <v>88</v>
      </c>
    </row>
    <row r="14" customFormat="false" ht="23.25" hidden="false" customHeight="true" outlineLevel="0" collapsed="false">
      <c r="A14" s="7" t="s">
        <v>89</v>
      </c>
      <c r="B14" s="7" t="s">
        <v>90</v>
      </c>
      <c r="C14" s="7" t="s">
        <v>14</v>
      </c>
      <c r="D14" s="7" t="s">
        <v>77</v>
      </c>
      <c r="E14" s="9" t="s">
        <v>91</v>
      </c>
      <c r="F14" s="7" t="s">
        <v>78</v>
      </c>
      <c r="G14" s="7" t="s">
        <v>92</v>
      </c>
      <c r="H14" s="7" t="s">
        <v>93</v>
      </c>
      <c r="I14" s="7" t="s">
        <v>94</v>
      </c>
      <c r="J14" s="7" t="s">
        <v>95</v>
      </c>
    </row>
    <row r="15" customFormat="false" ht="23.25" hidden="false" customHeight="true" outlineLevel="0" collapsed="false">
      <c r="A15" s="5" t="s">
        <v>96</v>
      </c>
      <c r="B15" s="5" t="s">
        <v>97</v>
      </c>
      <c r="C15" s="5" t="s">
        <v>98</v>
      </c>
      <c r="D15" s="5" t="s">
        <v>99</v>
      </c>
      <c r="E15" s="9" t="s">
        <v>100</v>
      </c>
      <c r="F15" s="5" t="s">
        <v>101</v>
      </c>
      <c r="G15" s="5" t="s">
        <v>102</v>
      </c>
      <c r="H15" s="5" t="s">
        <v>48</v>
      </c>
      <c r="I15" s="5" t="s">
        <v>29</v>
      </c>
      <c r="J15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1" min="7" style="0" width="12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5" hidden="false" customHeight="false" outlineLevel="0" collapsed="false">
      <c r="A2" s="11" t="s">
        <v>105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A3" s="12" t="s">
        <v>106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customFormat="false" ht="15" hidden="false" customHeight="false" outlineLevel="0" collapsed="false">
      <c r="A5" s="13" t="s">
        <v>107</v>
      </c>
    </row>
    <row r="6" customFormat="false" ht="26.85" hidden="false" customHeight="false" outlineLevel="0" collapsed="false">
      <c r="A6" s="4" t="s">
        <v>108</v>
      </c>
      <c r="B6" s="4" t="s">
        <v>109</v>
      </c>
      <c r="C6" s="4" t="s">
        <v>110</v>
      </c>
      <c r="D6" s="4" t="s">
        <v>111</v>
      </c>
      <c r="E6" s="4" t="s">
        <v>112</v>
      </c>
    </row>
    <row r="7" customFormat="false" ht="57.45" hidden="false" customHeight="false" outlineLevel="0" collapsed="false">
      <c r="A7" s="5" t="s">
        <v>113</v>
      </c>
      <c r="B7" s="5" t="s">
        <v>114</v>
      </c>
      <c r="C7" s="5" t="s">
        <v>115</v>
      </c>
      <c r="D7" s="5" t="s">
        <v>116</v>
      </c>
      <c r="E7" s="5" t="s">
        <v>117</v>
      </c>
    </row>
    <row r="8" customFormat="false" ht="57.45" hidden="false" customHeight="false" outlineLevel="0" collapsed="false">
      <c r="A8" s="7" t="s">
        <v>118</v>
      </c>
      <c r="B8" s="7" t="s">
        <v>119</v>
      </c>
      <c r="C8" s="7" t="s">
        <v>120</v>
      </c>
      <c r="D8" s="7" t="s">
        <v>121</v>
      </c>
      <c r="E8" s="7" t="s">
        <v>122</v>
      </c>
    </row>
    <row r="9" customFormat="false" ht="68.65" hidden="false" customHeight="false" outlineLevel="0" collapsed="false">
      <c r="A9" s="5" t="s">
        <v>123</v>
      </c>
      <c r="B9" s="5" t="s">
        <v>124</v>
      </c>
      <c r="C9" s="5" t="s">
        <v>125</v>
      </c>
      <c r="D9" s="5" t="s">
        <v>126</v>
      </c>
      <c r="E9" s="5" t="s">
        <v>127</v>
      </c>
    </row>
    <row r="10" customFormat="false" ht="57.45" hidden="false" customHeight="false" outlineLevel="0" collapsed="false">
      <c r="A10" s="7" t="s">
        <v>128</v>
      </c>
      <c r="B10" s="7" t="s">
        <v>129</v>
      </c>
      <c r="C10" s="7" t="s">
        <v>130</v>
      </c>
      <c r="D10" s="7" t="s">
        <v>131</v>
      </c>
      <c r="E10" s="7" t="s">
        <v>132</v>
      </c>
    </row>
    <row r="11" customFormat="false" ht="79.85" hidden="false" customHeight="false" outlineLevel="0" collapsed="false">
      <c r="A11" s="14" t="s">
        <v>133</v>
      </c>
      <c r="B11" s="14" t="s">
        <v>134</v>
      </c>
      <c r="C11" s="14" t="s">
        <v>135</v>
      </c>
      <c r="D11" s="14" t="s">
        <v>136</v>
      </c>
      <c r="E11" s="14" t="s">
        <v>137</v>
      </c>
    </row>
    <row r="14" customFormat="false" ht="15" hidden="false" customHeight="false" outlineLevel="0" collapsed="false">
      <c r="A14" s="13" t="s">
        <v>138</v>
      </c>
    </row>
    <row r="15" customFormat="false" ht="26.85" hidden="false" customHeight="false" outlineLevel="0" collapsed="false">
      <c r="A15" s="4" t="s">
        <v>2</v>
      </c>
      <c r="B15" s="4" t="s">
        <v>139</v>
      </c>
      <c r="C15" s="4" t="s">
        <v>140</v>
      </c>
      <c r="D15" s="4" t="s">
        <v>141</v>
      </c>
      <c r="E15" s="4" t="s">
        <v>142</v>
      </c>
      <c r="F15" s="4" t="s">
        <v>143</v>
      </c>
      <c r="G15" s="4" t="s">
        <v>144</v>
      </c>
      <c r="H15" s="4" t="s">
        <v>145</v>
      </c>
      <c r="I15" s="4" t="s">
        <v>146</v>
      </c>
      <c r="J15" s="4" t="s">
        <v>147</v>
      </c>
      <c r="K15" s="4" t="s">
        <v>148</v>
      </c>
      <c r="L15" s="4" t="s">
        <v>149</v>
      </c>
    </row>
    <row r="16" customFormat="false" ht="15" hidden="false" customHeight="false" outlineLevel="0" collapsed="false">
      <c r="A16" s="5" t="s">
        <v>150</v>
      </c>
      <c r="B16" s="15" t="s">
        <v>90</v>
      </c>
      <c r="C16" s="16" t="n">
        <v>8.61</v>
      </c>
      <c r="D16" s="16" t="n">
        <v>7.5</v>
      </c>
      <c r="E16" s="16" t="n">
        <f aca="false">C16*0.25</f>
        <v>2.1525</v>
      </c>
      <c r="F16" s="16" t="n">
        <f aca="false">C16+D16+E16</f>
        <v>18.2625</v>
      </c>
      <c r="G16" s="16" t="n">
        <v>49.99</v>
      </c>
      <c r="H16" s="16" t="n">
        <f aca="false">G16*0.13</f>
        <v>6.4987</v>
      </c>
      <c r="I16" s="16" t="n">
        <f aca="false">G16-F16-H16</f>
        <v>25.2288</v>
      </c>
      <c r="J16" s="17" t="n">
        <f aca="false">IF(G16&gt;0,I16/G16,0)</f>
        <v>0.504676935387078</v>
      </c>
      <c r="K16" s="5" t="s">
        <v>151</v>
      </c>
      <c r="L16" s="18" t="s">
        <v>152</v>
      </c>
    </row>
    <row r="17" customFormat="false" ht="15" hidden="false" customHeight="false" outlineLevel="0" collapsed="false">
      <c r="A17" s="7" t="s">
        <v>153</v>
      </c>
      <c r="B17" s="15" t="s">
        <v>90</v>
      </c>
      <c r="C17" s="19" t="n">
        <v>9.3</v>
      </c>
      <c r="D17" s="19" t="n">
        <v>7.5</v>
      </c>
      <c r="E17" s="19" t="n">
        <f aca="false">C17*0.25</f>
        <v>2.325</v>
      </c>
      <c r="F17" s="19" t="n">
        <f aca="false">C17+D17+E17</f>
        <v>19.125</v>
      </c>
      <c r="G17" s="19" t="n">
        <v>49.99</v>
      </c>
      <c r="H17" s="19" t="n">
        <f aca="false">G17*0.13</f>
        <v>6.4987</v>
      </c>
      <c r="I17" s="19" t="n">
        <f aca="false">G17-F17-H17</f>
        <v>24.3663</v>
      </c>
      <c r="J17" s="20" t="n">
        <f aca="false">IF(G17&gt;0,I17/G17,0)</f>
        <v>0.487423484696939</v>
      </c>
      <c r="K17" s="7" t="s">
        <v>151</v>
      </c>
      <c r="L17" s="18" t="s">
        <v>152</v>
      </c>
    </row>
    <row r="18" customFormat="false" ht="15" hidden="false" customHeight="false" outlineLevel="0" collapsed="false">
      <c r="A18" s="5" t="s">
        <v>154</v>
      </c>
      <c r="B18" s="15" t="s">
        <v>90</v>
      </c>
      <c r="C18" s="16" t="n">
        <v>10.46</v>
      </c>
      <c r="D18" s="16" t="n">
        <v>7.5</v>
      </c>
      <c r="E18" s="16" t="n">
        <f aca="false">C18*0.25</f>
        <v>2.615</v>
      </c>
      <c r="F18" s="16" t="n">
        <f aca="false">C18+D18+E18</f>
        <v>20.575</v>
      </c>
      <c r="G18" s="16" t="n">
        <v>49.99</v>
      </c>
      <c r="H18" s="16" t="n">
        <f aca="false">G18*0.13</f>
        <v>6.4987</v>
      </c>
      <c r="I18" s="16" t="n">
        <f aca="false">G18-F18-H18</f>
        <v>22.9163</v>
      </c>
      <c r="J18" s="17" t="n">
        <f aca="false">IF(G18&gt;0,I18/G18,0)</f>
        <v>0.458417683536707</v>
      </c>
      <c r="K18" s="5" t="s">
        <v>151</v>
      </c>
      <c r="L18" s="18" t="s">
        <v>152</v>
      </c>
    </row>
    <row r="19" customFormat="false" ht="15" hidden="false" customHeight="false" outlineLevel="0" collapsed="false">
      <c r="A19" s="7" t="s">
        <v>155</v>
      </c>
      <c r="B19" s="15" t="s">
        <v>90</v>
      </c>
      <c r="C19" s="19" t="n">
        <v>12.93</v>
      </c>
      <c r="D19" s="19" t="n">
        <v>7.5</v>
      </c>
      <c r="E19" s="19" t="n">
        <f aca="false">C19*0.25</f>
        <v>3.2325</v>
      </c>
      <c r="F19" s="19" t="n">
        <f aca="false">C19+D19+E19</f>
        <v>23.6625</v>
      </c>
      <c r="G19" s="19" t="n">
        <v>49.99</v>
      </c>
      <c r="H19" s="19" t="n">
        <f aca="false">G19*0.13</f>
        <v>6.4987</v>
      </c>
      <c r="I19" s="19" t="n">
        <f aca="false">G19-F19-H19</f>
        <v>19.8288</v>
      </c>
      <c r="J19" s="20" t="n">
        <f aca="false">IF(G19&gt;0,I19/G19,0)</f>
        <v>0.396655331066213</v>
      </c>
      <c r="K19" s="7" t="s">
        <v>151</v>
      </c>
      <c r="L19" s="18" t="s">
        <v>152</v>
      </c>
    </row>
    <row r="20" customFormat="false" ht="15" hidden="false" customHeight="false" outlineLevel="0" collapsed="false">
      <c r="A20" s="5" t="s">
        <v>156</v>
      </c>
      <c r="B20" s="15" t="s">
        <v>90</v>
      </c>
      <c r="C20" s="16" t="n">
        <v>14.43</v>
      </c>
      <c r="D20" s="16" t="n">
        <v>7.5</v>
      </c>
      <c r="E20" s="16" t="n">
        <f aca="false">C20*0.25</f>
        <v>3.6075</v>
      </c>
      <c r="F20" s="16" t="n">
        <f aca="false">C20+D20+E20</f>
        <v>25.5375</v>
      </c>
      <c r="G20" s="16" t="n">
        <v>49.99</v>
      </c>
      <c r="H20" s="16" t="n">
        <f aca="false">G20*0.13</f>
        <v>6.4987</v>
      </c>
      <c r="I20" s="16" t="n">
        <f aca="false">G20-F20-H20</f>
        <v>17.9538</v>
      </c>
      <c r="J20" s="17" t="n">
        <f aca="false">IF(G20&gt;0,I20/G20,0)</f>
        <v>0.359147829565913</v>
      </c>
      <c r="K20" s="5" t="s">
        <v>151</v>
      </c>
      <c r="L20" s="18" t="s">
        <v>152</v>
      </c>
    </row>
    <row r="21" customFormat="false" ht="15" hidden="false" customHeight="false" outlineLevel="0" collapsed="false">
      <c r="A21" s="7" t="s">
        <v>157</v>
      </c>
      <c r="B21" s="15" t="s">
        <v>90</v>
      </c>
      <c r="C21" s="19" t="n">
        <v>15.87</v>
      </c>
      <c r="D21" s="19" t="n">
        <v>9.5</v>
      </c>
      <c r="E21" s="19" t="n">
        <f aca="false">C21*0.25</f>
        <v>3.9675</v>
      </c>
      <c r="F21" s="19" t="n">
        <f aca="false">C21+D21+E21</f>
        <v>29.3375</v>
      </c>
      <c r="G21" s="19" t="n">
        <v>49.99</v>
      </c>
      <c r="H21" s="19" t="n">
        <f aca="false">G21*0.13</f>
        <v>6.4987</v>
      </c>
      <c r="I21" s="19" t="n">
        <f aca="false">G21-F21-H21</f>
        <v>14.1538</v>
      </c>
      <c r="J21" s="20" t="n">
        <f aca="false">IF(G21&gt;0,I21/G21,0)</f>
        <v>0.283132626525305</v>
      </c>
      <c r="K21" s="7" t="s">
        <v>158</v>
      </c>
      <c r="L21" s="18" t="s">
        <v>152</v>
      </c>
    </row>
    <row r="22" customFormat="false" ht="15" hidden="false" customHeight="false" outlineLevel="0" collapsed="false">
      <c r="A22" s="5" t="s">
        <v>159</v>
      </c>
      <c r="B22" s="15" t="s">
        <v>90</v>
      </c>
      <c r="C22" s="16" t="n">
        <v>7.11</v>
      </c>
      <c r="D22" s="16" t="n">
        <v>9.5</v>
      </c>
      <c r="E22" s="16" t="n">
        <f aca="false">C22*0.25</f>
        <v>1.7775</v>
      </c>
      <c r="F22" s="16" t="n">
        <f aca="false">C22+D22+E22</f>
        <v>18.3875</v>
      </c>
      <c r="G22" s="16" t="n">
        <v>34.99</v>
      </c>
      <c r="H22" s="16" t="n">
        <f aca="false">G22*0.13</f>
        <v>4.5487</v>
      </c>
      <c r="I22" s="16" t="n">
        <f aca="false">G22-F22-H22</f>
        <v>12.0538</v>
      </c>
      <c r="J22" s="17" t="n">
        <f aca="false">IF(G22&gt;0,I22/G22,0)</f>
        <v>0.344492712203487</v>
      </c>
      <c r="K22" s="5" t="s">
        <v>158</v>
      </c>
      <c r="L22" s="18" t="s">
        <v>152</v>
      </c>
    </row>
    <row r="23" customFormat="false" ht="15" hidden="false" customHeight="false" outlineLevel="0" collapsed="false">
      <c r="A23" s="7" t="s">
        <v>160</v>
      </c>
      <c r="B23" s="15" t="s">
        <v>90</v>
      </c>
      <c r="C23" s="19" t="n">
        <v>12</v>
      </c>
      <c r="D23" s="19" t="n">
        <v>7</v>
      </c>
      <c r="E23" s="19" t="n">
        <f aca="false">C23*0.25</f>
        <v>3</v>
      </c>
      <c r="F23" s="19" t="n">
        <f aca="false">C23+D23+E23</f>
        <v>22</v>
      </c>
      <c r="G23" s="19" t="n">
        <v>49.99</v>
      </c>
      <c r="H23" s="19" t="n">
        <f aca="false">G23*0.13</f>
        <v>6.4987</v>
      </c>
      <c r="I23" s="19" t="n">
        <f aca="false">G23-F23-H23</f>
        <v>21.4913</v>
      </c>
      <c r="J23" s="20" t="n">
        <f aca="false">IF(G23&gt;0,I23/G23,0)</f>
        <v>0.429911982396479</v>
      </c>
      <c r="K23" s="7" t="s">
        <v>151</v>
      </c>
      <c r="L23" s="18" t="s">
        <v>152</v>
      </c>
    </row>
    <row r="24" customFormat="false" ht="15" hidden="false" customHeight="false" outlineLevel="0" collapsed="false">
      <c r="A24" s="5" t="s">
        <v>161</v>
      </c>
      <c r="B24" s="15" t="s">
        <v>90</v>
      </c>
      <c r="C24" s="16" t="n">
        <v>10</v>
      </c>
      <c r="D24" s="16" t="n">
        <v>7</v>
      </c>
      <c r="E24" s="16" t="n">
        <f aca="false">C24*0.25</f>
        <v>2.5</v>
      </c>
      <c r="F24" s="16" t="n">
        <f aca="false">C24+D24+E24</f>
        <v>19.5</v>
      </c>
      <c r="G24" s="16" t="n">
        <v>49.99</v>
      </c>
      <c r="H24" s="16" t="n">
        <f aca="false">G24*0.13</f>
        <v>6.4987</v>
      </c>
      <c r="I24" s="16" t="n">
        <f aca="false">G24-F24-H24</f>
        <v>23.9913</v>
      </c>
      <c r="J24" s="17" t="n">
        <f aca="false">IF(G24&gt;0,I24/G24,0)</f>
        <v>0.479921984396879</v>
      </c>
      <c r="K24" s="5" t="s">
        <v>151</v>
      </c>
      <c r="L24" s="18" t="s">
        <v>152</v>
      </c>
    </row>
    <row r="25" customFormat="false" ht="15" hidden="false" customHeight="false" outlineLevel="0" collapsed="false">
      <c r="A25" s="7" t="s">
        <v>162</v>
      </c>
      <c r="B25" s="8" t="s">
        <v>163</v>
      </c>
      <c r="C25" s="19" t="n">
        <v>20</v>
      </c>
      <c r="D25" s="19" t="n">
        <v>0</v>
      </c>
      <c r="E25" s="19" t="n">
        <v>0</v>
      </c>
      <c r="F25" s="19" t="n">
        <f aca="false">C25+D25+E25</f>
        <v>20</v>
      </c>
      <c r="G25" s="19" t="n">
        <v>49.99</v>
      </c>
      <c r="H25" s="19" t="n">
        <f aca="false">G25*0.13</f>
        <v>6.4987</v>
      </c>
      <c r="I25" s="19" t="n">
        <f aca="false">G25-F25-H25</f>
        <v>23.4913</v>
      </c>
      <c r="J25" s="20" t="n">
        <f aca="false">IF(G25&gt;0,I25/G25,0)</f>
        <v>0.469919983996799</v>
      </c>
      <c r="K25" s="7" t="s">
        <v>164</v>
      </c>
      <c r="L25" s="21" t="s">
        <v>165</v>
      </c>
    </row>
    <row r="26" customFormat="false" ht="15" hidden="false" customHeight="false" outlineLevel="0" collapsed="false">
      <c r="A26" s="5" t="s">
        <v>166</v>
      </c>
      <c r="B26" s="8" t="s">
        <v>167</v>
      </c>
      <c r="C26" s="16" t="n">
        <v>16</v>
      </c>
      <c r="D26" s="16" t="n">
        <v>0</v>
      </c>
      <c r="E26" s="16" t="n">
        <v>0</v>
      </c>
      <c r="F26" s="16" t="n">
        <f aca="false">C26+D26+E26</f>
        <v>16</v>
      </c>
      <c r="G26" s="16" t="n">
        <v>49.99</v>
      </c>
      <c r="H26" s="16" t="n">
        <f aca="false">G26*0.13</f>
        <v>6.4987</v>
      </c>
      <c r="I26" s="16" t="n">
        <f aca="false">G26-F26-H26</f>
        <v>27.4913</v>
      </c>
      <c r="J26" s="17" t="n">
        <f aca="false">IF(G26&gt;0,I26/G26,0)</f>
        <v>0.54993598719744</v>
      </c>
      <c r="K26" s="5" t="s">
        <v>164</v>
      </c>
      <c r="L26" s="21" t="s">
        <v>165</v>
      </c>
    </row>
    <row r="27" customFormat="false" ht="15" hidden="false" customHeight="false" outlineLevel="0" collapsed="false">
      <c r="A27" s="7" t="s">
        <v>168</v>
      </c>
      <c r="B27" s="8" t="s">
        <v>169</v>
      </c>
      <c r="C27" s="19" t="n">
        <v>18</v>
      </c>
      <c r="D27" s="19" t="n">
        <v>0</v>
      </c>
      <c r="E27" s="19" t="n">
        <v>0</v>
      </c>
      <c r="F27" s="19" t="n">
        <f aca="false">C27+D27+E27</f>
        <v>18</v>
      </c>
      <c r="G27" s="19" t="n">
        <v>49.99</v>
      </c>
      <c r="H27" s="19" t="n">
        <f aca="false">G27*0.13</f>
        <v>6.4987</v>
      </c>
      <c r="I27" s="19" t="n">
        <f aca="false">G27-F27-H27</f>
        <v>25.4913</v>
      </c>
      <c r="J27" s="20" t="n">
        <f aca="false">IF(G27&gt;0,I27/G27,0)</f>
        <v>0.50992798559712</v>
      </c>
      <c r="K27" s="7" t="s">
        <v>164</v>
      </c>
      <c r="L27" s="21" t="s">
        <v>165</v>
      </c>
    </row>
    <row r="30" customFormat="false" ht="15" hidden="false" customHeight="false" outlineLevel="0" collapsed="false">
      <c r="A30" s="13" t="s">
        <v>170</v>
      </c>
    </row>
    <row r="31" customFormat="false" ht="26.85" hidden="false" customHeight="false" outlineLevel="0" collapsed="false">
      <c r="A31" s="4" t="s">
        <v>2</v>
      </c>
      <c r="B31" s="4" t="s">
        <v>139</v>
      </c>
      <c r="C31" s="4" t="s">
        <v>140</v>
      </c>
      <c r="D31" s="4" t="s">
        <v>141</v>
      </c>
      <c r="E31" s="4" t="s">
        <v>142</v>
      </c>
      <c r="F31" s="4" t="s">
        <v>143</v>
      </c>
      <c r="G31" s="4" t="s">
        <v>144</v>
      </c>
      <c r="H31" s="4" t="s">
        <v>145</v>
      </c>
      <c r="I31" s="4" t="s">
        <v>146</v>
      </c>
      <c r="J31" s="4" t="s">
        <v>147</v>
      </c>
      <c r="K31" s="4" t="s">
        <v>148</v>
      </c>
      <c r="L31" s="4" t="s">
        <v>149</v>
      </c>
    </row>
    <row r="32" customFormat="false" ht="15" hidden="false" customHeight="false" outlineLevel="0" collapsed="false">
      <c r="A32" s="5" t="s">
        <v>171</v>
      </c>
      <c r="B32" s="8" t="s">
        <v>163</v>
      </c>
      <c r="C32" s="16" t="n">
        <v>35</v>
      </c>
      <c r="D32" s="16" t="n">
        <v>0</v>
      </c>
      <c r="E32" s="16" t="n">
        <v>0</v>
      </c>
      <c r="F32" s="16" t="n">
        <f aca="false">C32+D32+E32</f>
        <v>35</v>
      </c>
      <c r="G32" s="16" t="n">
        <v>74.99</v>
      </c>
      <c r="H32" s="16" t="n">
        <f aca="false">G32*0.13</f>
        <v>9.7487</v>
      </c>
      <c r="I32" s="16" t="n">
        <f aca="false">G32-F32-H32</f>
        <v>30.2413</v>
      </c>
      <c r="J32" s="17" t="n">
        <f aca="false">IF(G32&gt;0,I32/G32,0)</f>
        <v>0.403271102813709</v>
      </c>
      <c r="K32" s="5" t="s">
        <v>172</v>
      </c>
      <c r="L32" s="21" t="s">
        <v>165</v>
      </c>
    </row>
    <row r="33" customFormat="false" ht="15" hidden="false" customHeight="false" outlineLevel="0" collapsed="false">
      <c r="A33" s="7" t="s">
        <v>173</v>
      </c>
      <c r="B33" s="7" t="s">
        <v>163</v>
      </c>
      <c r="C33" s="19" t="n">
        <v>44.25</v>
      </c>
      <c r="D33" s="19" t="n">
        <v>0</v>
      </c>
      <c r="E33" s="19" t="n">
        <v>0</v>
      </c>
      <c r="F33" s="19" t="n">
        <f aca="false">C33+D33+E33</f>
        <v>44.25</v>
      </c>
      <c r="G33" s="19" t="n">
        <v>74.99</v>
      </c>
      <c r="H33" s="19" t="n">
        <f aca="false">G33*0.13</f>
        <v>9.7487</v>
      </c>
      <c r="I33" s="19" t="n">
        <f aca="false">G33-F33-H33</f>
        <v>20.9913</v>
      </c>
      <c r="J33" s="20" t="n">
        <f aca="false">IF(G33&gt;0,I33/G33,0)</f>
        <v>0.279921322843046</v>
      </c>
      <c r="K33" s="7" t="s">
        <v>172</v>
      </c>
      <c r="L33" s="7" t="s">
        <v>165</v>
      </c>
    </row>
    <row r="34" customFormat="false" ht="15" hidden="false" customHeight="false" outlineLevel="0" collapsed="false">
      <c r="A34" s="5" t="s">
        <v>22</v>
      </c>
      <c r="B34" s="8" t="s">
        <v>163</v>
      </c>
      <c r="C34" s="16" t="n">
        <v>38</v>
      </c>
      <c r="D34" s="16" t="n">
        <v>0</v>
      </c>
      <c r="E34" s="16" t="n">
        <v>0</v>
      </c>
      <c r="F34" s="16" t="n">
        <f aca="false">C34+D34+E34</f>
        <v>38</v>
      </c>
      <c r="G34" s="16" t="n">
        <v>74.99</v>
      </c>
      <c r="H34" s="16" t="n">
        <f aca="false">G34*0.13</f>
        <v>9.7487</v>
      </c>
      <c r="I34" s="16" t="n">
        <f aca="false">G34-F34-H34</f>
        <v>27.2413</v>
      </c>
      <c r="J34" s="17" t="n">
        <f aca="false">IF(G34&gt;0,I34/G34,0)</f>
        <v>0.363265768769169</v>
      </c>
      <c r="K34" s="5" t="s">
        <v>164</v>
      </c>
      <c r="L34" s="21" t="s">
        <v>165</v>
      </c>
    </row>
    <row r="35" customFormat="false" ht="15" hidden="false" customHeight="false" outlineLevel="0" collapsed="false">
      <c r="A35" s="7" t="s">
        <v>174</v>
      </c>
      <c r="B35" s="7" t="s">
        <v>167</v>
      </c>
      <c r="C35" s="19" t="n">
        <v>15.5</v>
      </c>
      <c r="D35" s="19" t="n">
        <v>0</v>
      </c>
      <c r="E35" s="19" t="n">
        <v>0</v>
      </c>
      <c r="F35" s="19" t="n">
        <f aca="false">C35+D35+E35</f>
        <v>15.5</v>
      </c>
      <c r="G35" s="19" t="n">
        <v>74.99</v>
      </c>
      <c r="H35" s="19" t="n">
        <f aca="false">G35*0.13</f>
        <v>9.7487</v>
      </c>
      <c r="I35" s="19" t="n">
        <f aca="false">G35-F35-H35</f>
        <v>49.7413</v>
      </c>
      <c r="J35" s="20" t="n">
        <f aca="false">IF(G35&gt;0,I35/G35,0)</f>
        <v>0.663305774103214</v>
      </c>
      <c r="K35" s="7" t="s">
        <v>164</v>
      </c>
      <c r="L35" s="7" t="s">
        <v>165</v>
      </c>
    </row>
    <row r="36" customFormat="false" ht="15" hidden="false" customHeight="false" outlineLevel="0" collapsed="false">
      <c r="A36" s="5" t="s">
        <v>41</v>
      </c>
      <c r="B36" s="8" t="s">
        <v>169</v>
      </c>
      <c r="C36" s="16" t="n">
        <v>32</v>
      </c>
      <c r="D36" s="16" t="n">
        <v>0</v>
      </c>
      <c r="E36" s="16" t="n">
        <v>0</v>
      </c>
      <c r="F36" s="16" t="n">
        <f aca="false">C36+D36+E36</f>
        <v>32</v>
      </c>
      <c r="G36" s="16" t="n">
        <v>74.99</v>
      </c>
      <c r="H36" s="16" t="n">
        <f aca="false">G36*0.13</f>
        <v>9.7487</v>
      </c>
      <c r="I36" s="16" t="n">
        <f aca="false">G36-F36-H36</f>
        <v>33.2413</v>
      </c>
      <c r="J36" s="17" t="n">
        <f aca="false">IF(G36&gt;0,I36/G36,0)</f>
        <v>0.443276436858248</v>
      </c>
      <c r="K36" s="5" t="s">
        <v>164</v>
      </c>
      <c r="L36" s="21" t="s">
        <v>165</v>
      </c>
    </row>
    <row r="37" customFormat="false" ht="15" hidden="false" customHeight="false" outlineLevel="0" collapsed="false">
      <c r="A37" s="7" t="s">
        <v>175</v>
      </c>
      <c r="B37" s="7" t="s">
        <v>90</v>
      </c>
      <c r="C37" s="19" t="n">
        <v>18</v>
      </c>
      <c r="D37" s="19" t="n">
        <v>8.5</v>
      </c>
      <c r="E37" s="19" t="n">
        <f aca="false">C37*0.25</f>
        <v>4.5</v>
      </c>
      <c r="F37" s="19" t="n">
        <f aca="false">C37+D37+E37</f>
        <v>31</v>
      </c>
      <c r="G37" s="19" t="n">
        <v>74.99</v>
      </c>
      <c r="H37" s="19" t="n">
        <f aca="false">G37*0.13</f>
        <v>9.7487</v>
      </c>
      <c r="I37" s="19" t="n">
        <f aca="false">G37-F37-H37</f>
        <v>34.2413</v>
      </c>
      <c r="J37" s="20" t="n">
        <f aca="false">IF(G37&gt;0,I37/G37,0)</f>
        <v>0.456611548206428</v>
      </c>
      <c r="K37" s="7" t="s">
        <v>151</v>
      </c>
      <c r="L37" s="7" t="s">
        <v>152</v>
      </c>
    </row>
    <row r="38" customFormat="false" ht="15" hidden="false" customHeight="false" outlineLevel="0" collapsed="false">
      <c r="A38" s="5" t="s">
        <v>176</v>
      </c>
      <c r="B38" s="15" t="s">
        <v>90</v>
      </c>
      <c r="C38" s="16" t="n">
        <v>16</v>
      </c>
      <c r="D38" s="16" t="n">
        <v>8.5</v>
      </c>
      <c r="E38" s="16" t="n">
        <f aca="false">C38*0.25</f>
        <v>4</v>
      </c>
      <c r="F38" s="16" t="n">
        <f aca="false">C38+D38+E38</f>
        <v>28.5</v>
      </c>
      <c r="G38" s="16" t="n">
        <v>74.99</v>
      </c>
      <c r="H38" s="16" t="n">
        <f aca="false">G38*0.13</f>
        <v>9.7487</v>
      </c>
      <c r="I38" s="16" t="n">
        <f aca="false">G38-F38-H38</f>
        <v>36.7413</v>
      </c>
      <c r="J38" s="17" t="n">
        <f aca="false">IF(G38&gt;0,I38/G38,0)</f>
        <v>0.489949326576877</v>
      </c>
      <c r="K38" s="5" t="s">
        <v>151</v>
      </c>
      <c r="L38" s="18" t="s">
        <v>152</v>
      </c>
    </row>
    <row r="41" customFormat="false" ht="15" hidden="false" customHeight="false" outlineLevel="0" collapsed="false">
      <c r="A41" s="13" t="s">
        <v>177</v>
      </c>
    </row>
    <row r="42" customFormat="false" ht="15" hidden="false" customHeight="true" outlineLevel="0" collapsed="false">
      <c r="A42" s="22" t="s">
        <v>178</v>
      </c>
      <c r="B42" s="5" t="s">
        <v>179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23.85" hidden="false" customHeight="true" outlineLevel="0" collapsed="false">
      <c r="A43" s="23" t="s">
        <v>180</v>
      </c>
      <c r="B43" s="7" t="s">
        <v>181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 customFormat="false" ht="15" hidden="false" customHeight="true" outlineLevel="0" collapsed="false">
      <c r="A44" s="22" t="s">
        <v>182</v>
      </c>
      <c r="B44" s="5" t="s">
        <v>183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23.85" hidden="false" customHeight="true" outlineLevel="0" collapsed="false">
      <c r="A45" s="23" t="s">
        <v>184</v>
      </c>
      <c r="B45" s="7" t="s">
        <v>185</v>
      </c>
      <c r="C45" s="7"/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5" hidden="false" customHeight="true" outlineLevel="0" collapsed="false">
      <c r="A46" s="22" t="s">
        <v>186</v>
      </c>
      <c r="B46" s="5" t="s">
        <v>187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23.85" hidden="false" customHeight="true" outlineLevel="0" collapsed="false">
      <c r="A47" s="23" t="s">
        <v>188</v>
      </c>
      <c r="B47" s="7" t="s">
        <v>189</v>
      </c>
      <c r="C47" s="7"/>
      <c r="D47" s="7"/>
      <c r="E47" s="7"/>
      <c r="F47" s="7"/>
      <c r="G47" s="7"/>
      <c r="H47" s="7"/>
      <c r="I47" s="7"/>
      <c r="J47" s="7"/>
      <c r="K47" s="7"/>
      <c r="L47" s="7"/>
    </row>
    <row r="48" customFormat="false" ht="23.85" hidden="false" customHeight="true" outlineLevel="0" collapsed="false">
      <c r="A48" s="22" t="s">
        <v>190</v>
      </c>
      <c r="B48" s="5" t="s">
        <v>191</v>
      </c>
      <c r="C48" s="5"/>
      <c r="D48" s="5"/>
      <c r="E48" s="5"/>
      <c r="F48" s="5"/>
      <c r="G48" s="5"/>
      <c r="H48" s="5"/>
      <c r="I48" s="5"/>
      <c r="J48" s="5"/>
      <c r="K48" s="5"/>
      <c r="L48" s="5"/>
    </row>
  </sheetData>
  <mergeCells count="10">
    <mergeCell ref="A1:L1"/>
    <mergeCell ref="A2:L2"/>
    <mergeCell ref="A3:L3"/>
    <mergeCell ref="B42:L42"/>
    <mergeCell ref="B43:L43"/>
    <mergeCell ref="B44:L44"/>
    <mergeCell ref="B45:L45"/>
    <mergeCell ref="B46:L46"/>
    <mergeCell ref="B47:L47"/>
    <mergeCell ref="B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9" min="9" style="1" width="45"/>
  </cols>
  <sheetData>
    <row r="1" customFormat="false" ht="17.25" hidden="false" customHeight="true" outlineLevel="0" collapsed="false">
      <c r="A1" s="2" t="s">
        <v>192</v>
      </c>
    </row>
    <row r="2" customFormat="false" ht="15" hidden="false" customHeight="true" outlineLevel="0" collapsed="false">
      <c r="A2" s="3" t="s">
        <v>193</v>
      </c>
    </row>
    <row r="4" customFormat="false" ht="15" hidden="false" customHeight="true" outlineLevel="0" collapsed="false">
      <c r="A4" s="24" t="s">
        <v>194</v>
      </c>
    </row>
    <row r="5" customFormat="false" ht="26.25" hidden="false" customHeight="true" outlineLevel="0" collapsed="false">
      <c r="A5" s="4" t="s">
        <v>2</v>
      </c>
      <c r="B5" s="4" t="s">
        <v>195</v>
      </c>
      <c r="C5" s="4" t="s">
        <v>196</v>
      </c>
      <c r="D5" s="4" t="s">
        <v>197</v>
      </c>
      <c r="E5" s="4" t="s">
        <v>198</v>
      </c>
      <c r="F5" s="4" t="s">
        <v>199</v>
      </c>
      <c r="G5" s="4" t="s">
        <v>200</v>
      </c>
      <c r="H5" s="4" t="s">
        <v>201</v>
      </c>
      <c r="I5" s="4" t="s">
        <v>112</v>
      </c>
    </row>
    <row r="6" customFormat="false" ht="23.25" hidden="false" customHeight="true" outlineLevel="0" collapsed="false">
      <c r="A6" s="5" t="s">
        <v>171</v>
      </c>
      <c r="B6" s="25" t="n">
        <v>35</v>
      </c>
      <c r="C6" s="25" t="n">
        <v>40</v>
      </c>
      <c r="D6" s="25" t="n">
        <v>149.98</v>
      </c>
      <c r="E6" s="25" t="n">
        <v>74.99</v>
      </c>
      <c r="F6" s="25" t="n">
        <f aca="false">E6*0.13</f>
        <v>9.7487</v>
      </c>
      <c r="G6" s="25" t="n">
        <f aca="false">E6-B6-F6</f>
        <v>30.2413</v>
      </c>
      <c r="H6" s="17" t="n">
        <f aca="false">IF(E6&gt;0,G6/E6,0)</f>
        <v>0.403271102813709</v>
      </c>
      <c r="I6" s="5" t="s">
        <v>202</v>
      </c>
    </row>
    <row r="7" customFormat="false" ht="15" hidden="false" customHeight="true" outlineLevel="0" collapsed="false">
      <c r="A7" s="7" t="s">
        <v>173</v>
      </c>
      <c r="B7" s="26" t="n">
        <v>44.25</v>
      </c>
      <c r="C7" s="26" t="n">
        <v>49.89</v>
      </c>
      <c r="D7" s="26" t="n">
        <v>149.98</v>
      </c>
      <c r="E7" s="26" t="n">
        <v>74.99</v>
      </c>
      <c r="F7" s="26" t="n">
        <f aca="false">E7*0.13</f>
        <v>9.7487</v>
      </c>
      <c r="G7" s="26" t="n">
        <f aca="false">E7-B7-F7</f>
        <v>20.9913</v>
      </c>
      <c r="H7" s="20" t="n">
        <f aca="false">IF(E7&gt;0,G7/E7,0)</f>
        <v>0.279921322843046</v>
      </c>
      <c r="I7" s="7" t="s">
        <v>203</v>
      </c>
    </row>
    <row r="8" customFormat="false" ht="23.25" hidden="false" customHeight="true" outlineLevel="0" collapsed="false">
      <c r="A8" s="5" t="s">
        <v>22</v>
      </c>
      <c r="B8" s="25" t="n">
        <v>38</v>
      </c>
      <c r="C8" s="25" t="n">
        <v>43</v>
      </c>
      <c r="D8" s="25" t="n">
        <v>149.98</v>
      </c>
      <c r="E8" s="25" t="n">
        <v>74.99</v>
      </c>
      <c r="F8" s="25" t="n">
        <f aca="false">E8*0.13</f>
        <v>9.7487</v>
      </c>
      <c r="G8" s="25" t="n">
        <f aca="false">E8-B8-F8</f>
        <v>27.2413</v>
      </c>
      <c r="H8" s="17" t="n">
        <f aca="false">IF(E8&gt;0,G8/E8,0)</f>
        <v>0.363265768769169</v>
      </c>
      <c r="I8" s="5" t="s">
        <v>204</v>
      </c>
    </row>
    <row r="9" customFormat="false" ht="23.25" hidden="false" customHeight="true" outlineLevel="0" collapsed="false">
      <c r="A9" s="7" t="s">
        <v>205</v>
      </c>
      <c r="B9" s="26" t="n">
        <v>24.99</v>
      </c>
      <c r="C9" s="26" t="n">
        <v>29.99</v>
      </c>
      <c r="D9" s="26" t="n">
        <v>149.98</v>
      </c>
      <c r="E9" s="26" t="n">
        <v>74.99</v>
      </c>
      <c r="F9" s="26" t="n">
        <f aca="false">E9*0.13</f>
        <v>9.7487</v>
      </c>
      <c r="G9" s="26" t="n">
        <f aca="false">E9-B9-F9</f>
        <v>40.2513</v>
      </c>
      <c r="H9" s="20" t="n">
        <f aca="false">IF(E9&gt;0,G9/E9,0)</f>
        <v>0.536755567408988</v>
      </c>
      <c r="I9" s="7" t="s">
        <v>206</v>
      </c>
    </row>
    <row r="10" customFormat="false" ht="15" hidden="false" customHeight="true" outlineLevel="0" collapsed="false">
      <c r="A10" s="5" t="s">
        <v>41</v>
      </c>
      <c r="B10" s="25" t="n">
        <v>32</v>
      </c>
      <c r="C10" s="25" t="n">
        <v>37</v>
      </c>
      <c r="D10" s="25" t="n">
        <v>149.98</v>
      </c>
      <c r="E10" s="25" t="n">
        <v>74.99</v>
      </c>
      <c r="F10" s="25" t="n">
        <f aca="false">E10*0.13</f>
        <v>9.7487</v>
      </c>
      <c r="G10" s="25" t="n">
        <f aca="false">E10-B10-F10</f>
        <v>33.2413</v>
      </c>
      <c r="H10" s="17" t="n">
        <f aca="false">IF(E10&gt;0,G10/E10,0)</f>
        <v>0.443276436858248</v>
      </c>
      <c r="I10" s="5" t="s">
        <v>207</v>
      </c>
    </row>
    <row r="11" customFormat="false" ht="23.25" hidden="false" customHeight="true" outlineLevel="0" collapsed="false">
      <c r="A11" s="7" t="s">
        <v>51</v>
      </c>
      <c r="B11" s="26" t="n">
        <v>15.5</v>
      </c>
      <c r="C11" s="26" t="n">
        <v>19</v>
      </c>
      <c r="D11" s="26" t="n">
        <v>149.98</v>
      </c>
      <c r="E11" s="26" t="n">
        <v>74.99</v>
      </c>
      <c r="F11" s="26" t="n">
        <f aca="false">E11*0.13</f>
        <v>9.7487</v>
      </c>
      <c r="G11" s="26" t="n">
        <f aca="false">E11-B11-F11</f>
        <v>49.7413</v>
      </c>
      <c r="H11" s="20" t="n">
        <f aca="false">IF(E11&gt;0,G11/E11,0)</f>
        <v>0.663305774103214</v>
      </c>
      <c r="I11" s="7" t="s">
        <v>208</v>
      </c>
    </row>
    <row r="12" customFormat="false" ht="15" hidden="false" customHeight="true" outlineLevel="0" collapsed="false">
      <c r="A12" s="5" t="s">
        <v>59</v>
      </c>
      <c r="B12" s="25" t="n">
        <v>33</v>
      </c>
      <c r="C12" s="25" t="n">
        <v>38</v>
      </c>
      <c r="D12" s="25" t="n">
        <v>149.98</v>
      </c>
      <c r="E12" s="25" t="n">
        <v>74.99</v>
      </c>
      <c r="F12" s="25" t="n">
        <f aca="false">E12*0.13</f>
        <v>9.7487</v>
      </c>
      <c r="G12" s="25" t="n">
        <f aca="false">E12-B12-F12</f>
        <v>32.2413</v>
      </c>
      <c r="H12" s="17" t="n">
        <f aca="false">IF(E12&gt;0,G12/E12,0)</f>
        <v>0.429941325510068</v>
      </c>
      <c r="I12" s="5" t="s">
        <v>209</v>
      </c>
    </row>
    <row r="15" customFormat="false" ht="15" hidden="false" customHeight="true" outlineLevel="0" collapsed="false">
      <c r="A15" s="24" t="s">
        <v>210</v>
      </c>
    </row>
    <row r="16" customFormat="false" ht="26.25" hidden="false" customHeight="true" outlineLevel="0" collapsed="false">
      <c r="A16" s="4" t="s">
        <v>2</v>
      </c>
      <c r="B16" s="4" t="s">
        <v>195</v>
      </c>
      <c r="C16" s="4" t="s">
        <v>196</v>
      </c>
      <c r="D16" s="4" t="s">
        <v>197</v>
      </c>
      <c r="E16" s="4" t="s">
        <v>198</v>
      </c>
      <c r="F16" s="4" t="s">
        <v>199</v>
      </c>
      <c r="G16" s="4" t="s">
        <v>200</v>
      </c>
      <c r="H16" s="4" t="s">
        <v>201</v>
      </c>
      <c r="I16" s="4" t="s">
        <v>112</v>
      </c>
    </row>
    <row r="17" customFormat="false" ht="15" hidden="false" customHeight="true" outlineLevel="0" collapsed="false">
      <c r="A17" s="5" t="s">
        <v>211</v>
      </c>
      <c r="B17" s="25" t="n">
        <v>29.31</v>
      </c>
      <c r="C17" s="25" t="n">
        <v>34</v>
      </c>
      <c r="D17" s="25" t="n">
        <v>119.98</v>
      </c>
      <c r="E17" s="25" t="n">
        <v>59.99</v>
      </c>
      <c r="F17" s="25" t="n">
        <f aca="false">E17*0.13</f>
        <v>7.7987</v>
      </c>
      <c r="G17" s="25" t="n">
        <f aca="false">E17-B17-F17</f>
        <v>22.8813</v>
      </c>
      <c r="H17" s="17" t="n">
        <f aca="false">IF(E17&gt;0,G17/E17,0)</f>
        <v>0.381418569761627</v>
      </c>
      <c r="I17" s="5" t="s">
        <v>212</v>
      </c>
    </row>
    <row r="18" customFormat="false" ht="15" hidden="false" customHeight="true" outlineLevel="0" collapsed="false">
      <c r="A18" s="7" t="s">
        <v>22</v>
      </c>
      <c r="B18" s="26" t="n">
        <v>28</v>
      </c>
      <c r="C18" s="26" t="n">
        <v>33</v>
      </c>
      <c r="D18" s="26" t="n">
        <v>119.98</v>
      </c>
      <c r="E18" s="26" t="n">
        <v>59.99</v>
      </c>
      <c r="F18" s="26" t="n">
        <f aca="false">E18*0.13</f>
        <v>7.7987</v>
      </c>
      <c r="G18" s="26" t="n">
        <f aca="false">E18-B18-F18</f>
        <v>24.1913</v>
      </c>
      <c r="H18" s="20" t="n">
        <f aca="false">IF(E18&gt;0,G18/E18,0)</f>
        <v>0.403255542590432</v>
      </c>
      <c r="I18" s="7" t="s">
        <v>213</v>
      </c>
    </row>
    <row r="19" customFormat="false" ht="15" hidden="false" customHeight="true" outlineLevel="0" collapsed="false">
      <c r="A19" s="5" t="s">
        <v>41</v>
      </c>
      <c r="B19" s="25" t="n">
        <v>22</v>
      </c>
      <c r="C19" s="25" t="n">
        <v>27</v>
      </c>
      <c r="D19" s="25" t="n">
        <v>119.98</v>
      </c>
      <c r="E19" s="25" t="n">
        <v>59.99</v>
      </c>
      <c r="F19" s="25" t="n">
        <f aca="false">E19*0.13</f>
        <v>7.7987</v>
      </c>
      <c r="G19" s="25" t="n">
        <f aca="false">E19-B19-F19</f>
        <v>30.1913</v>
      </c>
      <c r="H19" s="17" t="n">
        <f aca="false">IF(E19&gt;0,G19/E19,0)</f>
        <v>0.503272212035339</v>
      </c>
      <c r="I19" s="5" t="s">
        <v>214</v>
      </c>
    </row>
    <row r="20" customFormat="false" ht="23.25" hidden="false" customHeight="true" outlineLevel="0" collapsed="false">
      <c r="A20" s="7" t="s">
        <v>51</v>
      </c>
      <c r="B20" s="26" t="n">
        <v>11.5</v>
      </c>
      <c r="C20" s="26" t="n">
        <v>15</v>
      </c>
      <c r="D20" s="26" t="n">
        <v>119.98</v>
      </c>
      <c r="E20" s="26" t="n">
        <v>59.99</v>
      </c>
      <c r="F20" s="26" t="n">
        <f aca="false">E20*0.13</f>
        <v>7.7987</v>
      </c>
      <c r="G20" s="26" t="n">
        <f aca="false">E20-B20-F20</f>
        <v>40.6913</v>
      </c>
      <c r="H20" s="20" t="n">
        <f aca="false">IF(E20&gt;0,G20/E20,0)</f>
        <v>0.678301383563927</v>
      </c>
      <c r="I20" s="7" t="s">
        <v>215</v>
      </c>
    </row>
    <row r="21" customFormat="false" ht="15" hidden="false" customHeight="true" outlineLevel="0" collapsed="false">
      <c r="A21" s="5" t="s">
        <v>59</v>
      </c>
      <c r="B21" s="25" t="n">
        <v>25</v>
      </c>
      <c r="C21" s="25" t="n">
        <v>30</v>
      </c>
      <c r="D21" s="25" t="n">
        <v>119.98</v>
      </c>
      <c r="E21" s="25" t="n">
        <v>59.99</v>
      </c>
      <c r="F21" s="25" t="n">
        <f aca="false">E21*0.13</f>
        <v>7.7987</v>
      </c>
      <c r="G21" s="25" t="n">
        <f aca="false">E21-B21-F21</f>
        <v>27.1913</v>
      </c>
      <c r="H21" s="17" t="n">
        <f aca="false">IF(E21&gt;0,G21/E21,0)</f>
        <v>0.453263877312886</v>
      </c>
      <c r="I21" s="5" t="s">
        <v>216</v>
      </c>
    </row>
    <row r="22" customFormat="false" ht="15" hidden="false" customHeight="true" outlineLevel="0" collapsed="false">
      <c r="A22" s="7" t="s">
        <v>217</v>
      </c>
      <c r="B22" s="26" t="n">
        <v>18</v>
      </c>
      <c r="C22" s="26" t="n">
        <v>22</v>
      </c>
      <c r="D22" s="26" t="n">
        <v>119.98</v>
      </c>
      <c r="E22" s="26" t="n">
        <v>59.99</v>
      </c>
      <c r="F22" s="26" t="n">
        <f aca="false">E22*0.13</f>
        <v>7.7987</v>
      </c>
      <c r="G22" s="26" t="n">
        <f aca="false">E22-B22-F22</f>
        <v>34.1913</v>
      </c>
      <c r="H22" s="20" t="n">
        <f aca="false">IF(E22&gt;0,G22/E22,0)</f>
        <v>0.569949991665278</v>
      </c>
      <c r="I22" s="7" t="s">
        <v>218</v>
      </c>
    </row>
    <row r="25" customFormat="false" ht="15" hidden="false" customHeight="true" outlineLevel="0" collapsed="false">
      <c r="A25" s="24" t="s">
        <v>219</v>
      </c>
    </row>
    <row r="26" customFormat="false" ht="26.25" hidden="false" customHeight="true" outlineLevel="0" collapsed="false">
      <c r="A26" s="4" t="s">
        <v>2</v>
      </c>
      <c r="B26" s="4" t="s">
        <v>195</v>
      </c>
      <c r="C26" s="4" t="s">
        <v>196</v>
      </c>
      <c r="D26" s="4" t="s">
        <v>197</v>
      </c>
      <c r="E26" s="4" t="s">
        <v>198</v>
      </c>
      <c r="F26" s="4" t="s">
        <v>199</v>
      </c>
      <c r="G26" s="4" t="s">
        <v>200</v>
      </c>
      <c r="H26" s="4" t="s">
        <v>201</v>
      </c>
      <c r="I26" s="4" t="s">
        <v>112</v>
      </c>
    </row>
    <row r="27" customFormat="false" ht="15" hidden="false" customHeight="true" outlineLevel="0" collapsed="false">
      <c r="A27" s="5" t="s">
        <v>157</v>
      </c>
      <c r="B27" s="25" t="n">
        <v>15.87</v>
      </c>
      <c r="C27" s="25" t="n">
        <v>18</v>
      </c>
      <c r="D27" s="25" t="n">
        <v>99.98</v>
      </c>
      <c r="E27" s="25" t="n">
        <v>49.99</v>
      </c>
      <c r="F27" s="25" t="n">
        <f aca="false">E27*0.13</f>
        <v>6.4987</v>
      </c>
      <c r="G27" s="25" t="n">
        <f aca="false">E27-B27-F27</f>
        <v>27.6213</v>
      </c>
      <c r="H27" s="17" t="n">
        <f aca="false">IF(E27&gt;0,G27/E27,0)</f>
        <v>0.55253650730146</v>
      </c>
      <c r="I27" s="5" t="s">
        <v>220</v>
      </c>
    </row>
    <row r="28" customFormat="false" ht="15" hidden="false" customHeight="true" outlineLevel="0" collapsed="false">
      <c r="A28" s="7" t="s">
        <v>159</v>
      </c>
      <c r="B28" s="26" t="n">
        <v>7.11</v>
      </c>
      <c r="C28" s="26" t="n">
        <v>9</v>
      </c>
      <c r="D28" s="26" t="n">
        <v>99.98</v>
      </c>
      <c r="E28" s="26" t="n">
        <v>49.99</v>
      </c>
      <c r="F28" s="26" t="n">
        <f aca="false">E28*0.13</f>
        <v>6.4987</v>
      </c>
      <c r="G28" s="26" t="n">
        <f aca="false">E28-B28-F28</f>
        <v>36.3813</v>
      </c>
      <c r="H28" s="20" t="n">
        <f aca="false">IF(E28&gt;0,G28/E28,0)</f>
        <v>0.727771554310862</v>
      </c>
      <c r="I28" s="7" t="s">
        <v>221</v>
      </c>
    </row>
    <row r="29" customFormat="false" ht="15" hidden="false" customHeight="true" outlineLevel="0" collapsed="false">
      <c r="A29" s="5" t="s">
        <v>166</v>
      </c>
      <c r="B29" s="25" t="n">
        <v>16</v>
      </c>
      <c r="C29" s="25" t="n">
        <v>20</v>
      </c>
      <c r="D29" s="25" t="n">
        <v>99.98</v>
      </c>
      <c r="E29" s="25" t="n">
        <v>49.99</v>
      </c>
      <c r="F29" s="25" t="n">
        <f aca="false">E29*0.13</f>
        <v>6.4987</v>
      </c>
      <c r="G29" s="25" t="n">
        <f aca="false">E29-B29-F29</f>
        <v>27.4913</v>
      </c>
      <c r="H29" s="17" t="n">
        <f aca="false">IF(E29&gt;0,G29/E29,0)</f>
        <v>0.54993598719744</v>
      </c>
      <c r="I29" s="5" t="s">
        <v>222</v>
      </c>
    </row>
    <row r="30" customFormat="false" ht="15" hidden="false" customHeight="true" outlineLevel="0" collapsed="false">
      <c r="A30" s="7" t="s">
        <v>223</v>
      </c>
      <c r="B30" s="26" t="n">
        <v>22</v>
      </c>
      <c r="C30" s="26" t="n">
        <v>26</v>
      </c>
      <c r="D30" s="26" t="n">
        <v>99.98</v>
      </c>
      <c r="E30" s="26" t="n">
        <v>49.99</v>
      </c>
      <c r="F30" s="26" t="n">
        <f aca="false">E30*0.13</f>
        <v>6.4987</v>
      </c>
      <c r="G30" s="26" t="n">
        <f aca="false">E30-B30-F30</f>
        <v>21.4913</v>
      </c>
      <c r="H30" s="20" t="n">
        <f aca="false">IF(E30&gt;0,G30/E30,0)</f>
        <v>0.429911982396479</v>
      </c>
      <c r="I30" s="7" t="s">
        <v>224</v>
      </c>
    </row>
    <row r="31" customFormat="false" ht="23.25" hidden="false" customHeight="true" outlineLevel="0" collapsed="false">
      <c r="A31" s="5" t="s">
        <v>160</v>
      </c>
      <c r="B31" s="25" t="n">
        <v>12</v>
      </c>
      <c r="C31" s="25" t="n">
        <v>15</v>
      </c>
      <c r="D31" s="25" t="n">
        <v>99.98</v>
      </c>
      <c r="E31" s="25" t="n">
        <v>49.99</v>
      </c>
      <c r="F31" s="25" t="n">
        <f aca="false">E31*0.13</f>
        <v>6.4987</v>
      </c>
      <c r="G31" s="25" t="n">
        <f aca="false">E31-B31-F31</f>
        <v>31.4913</v>
      </c>
      <c r="H31" s="17" t="n">
        <f aca="false">IF(E31&gt;0,G31/E31,0)</f>
        <v>0.62995199039808</v>
      </c>
      <c r="I31" s="5" t="s">
        <v>225</v>
      </c>
    </row>
    <row r="32" customFormat="false" ht="15" hidden="false" customHeight="true" outlineLevel="0" collapsed="false">
      <c r="A32" s="7" t="s">
        <v>161</v>
      </c>
      <c r="B32" s="26" t="n">
        <v>10</v>
      </c>
      <c r="C32" s="26" t="n">
        <v>13</v>
      </c>
      <c r="D32" s="26" t="n">
        <v>99.98</v>
      </c>
      <c r="E32" s="26" t="n">
        <v>49.99</v>
      </c>
      <c r="F32" s="26" t="n">
        <f aca="false">E32*0.13</f>
        <v>6.4987</v>
      </c>
      <c r="G32" s="26" t="n">
        <f aca="false">E32-B32-F32</f>
        <v>33.4913</v>
      </c>
      <c r="H32" s="20" t="n">
        <f aca="false">IF(E32&gt;0,G32/E32,0)</f>
        <v>0.6699599919984</v>
      </c>
      <c r="I32" s="7" t="s">
        <v>226</v>
      </c>
    </row>
    <row r="33" customFormat="false" ht="15" hidden="false" customHeight="true" outlineLevel="0" collapsed="false">
      <c r="A33" s="5" t="s">
        <v>168</v>
      </c>
      <c r="B33" s="25" t="n">
        <v>18</v>
      </c>
      <c r="C33" s="25" t="n">
        <v>22</v>
      </c>
      <c r="D33" s="25" t="n">
        <v>99.98</v>
      </c>
      <c r="E33" s="25" t="n">
        <v>49.99</v>
      </c>
      <c r="F33" s="25" t="n">
        <f aca="false">E33*0.13</f>
        <v>6.4987</v>
      </c>
      <c r="G33" s="25" t="n">
        <f aca="false">E33-B33-F33</f>
        <v>25.4913</v>
      </c>
      <c r="H33" s="17" t="n">
        <f aca="false">IF(E33&gt;0,G33/E33,0)</f>
        <v>0.50992798559712</v>
      </c>
      <c r="I33" s="5" t="s">
        <v>227</v>
      </c>
    </row>
    <row r="34" customFormat="false" ht="15" hidden="false" customHeight="true" outlineLevel="0" collapsed="false">
      <c r="A34" s="7" t="s">
        <v>162</v>
      </c>
      <c r="B34" s="26" t="n">
        <v>20</v>
      </c>
      <c r="C34" s="26" t="n">
        <v>24</v>
      </c>
      <c r="D34" s="26" t="n">
        <v>99.98</v>
      </c>
      <c r="E34" s="26" t="n">
        <v>49.99</v>
      </c>
      <c r="F34" s="26" t="n">
        <f aca="false">E34*0.13</f>
        <v>6.4987</v>
      </c>
      <c r="G34" s="26" t="n">
        <f aca="false">E34-B34-F34</f>
        <v>23.4913</v>
      </c>
      <c r="H34" s="20" t="n">
        <f aca="false">IF(E34&gt;0,G34/E34,0)</f>
        <v>0.469919983996799</v>
      </c>
      <c r="I34" s="7" t="s">
        <v>228</v>
      </c>
    </row>
    <row r="35" customFormat="false" ht="23.25" hidden="false" customHeight="true" outlineLevel="0" collapsed="false">
      <c r="A35" s="5" t="s">
        <v>229</v>
      </c>
      <c r="B35" s="25" t="n">
        <v>14.43</v>
      </c>
      <c r="C35" s="25" t="n">
        <v>17</v>
      </c>
      <c r="D35" s="25" t="n">
        <v>99.98</v>
      </c>
      <c r="E35" s="25" t="n">
        <v>49.99</v>
      </c>
      <c r="F35" s="25" t="n">
        <f aca="false">E35*0.13</f>
        <v>6.4987</v>
      </c>
      <c r="G35" s="25" t="n">
        <f aca="false">E35-B35-F35</f>
        <v>29.0613</v>
      </c>
      <c r="H35" s="17" t="n">
        <f aca="false">IF(E35&gt;0,G35/E35,0)</f>
        <v>0.581342268453691</v>
      </c>
      <c r="I35" s="5" t="s">
        <v>230</v>
      </c>
    </row>
    <row r="36" customFormat="false" ht="23.25" hidden="false" customHeight="true" outlineLevel="0" collapsed="false">
      <c r="A36" s="7" t="s">
        <v>231</v>
      </c>
      <c r="B36" s="26" t="n">
        <v>9.3</v>
      </c>
      <c r="C36" s="26" t="n">
        <v>11.5</v>
      </c>
      <c r="D36" s="26" t="n">
        <v>99.98</v>
      </c>
      <c r="E36" s="26" t="n">
        <v>49.99</v>
      </c>
      <c r="F36" s="26" t="n">
        <f aca="false">E36*0.13</f>
        <v>6.4987</v>
      </c>
      <c r="G36" s="27" t="n">
        <f aca="false">E36-B36-F36</f>
        <v>34.1913</v>
      </c>
      <c r="H36" s="28" t="n">
        <f aca="false">IF(E36&gt;0,G36/E36,0)</f>
        <v>0.683962792558512</v>
      </c>
      <c r="I36" s="7" t="s">
        <v>232</v>
      </c>
    </row>
    <row r="37" customFormat="false" ht="23.25" hidden="false" customHeight="true" outlineLevel="0" collapsed="false">
      <c r="A37" s="5" t="s">
        <v>233</v>
      </c>
      <c r="B37" s="25" t="n">
        <v>10.46</v>
      </c>
      <c r="C37" s="25" t="n">
        <v>13</v>
      </c>
      <c r="D37" s="25" t="n">
        <v>99.98</v>
      </c>
      <c r="E37" s="25" t="n">
        <v>49.99</v>
      </c>
      <c r="F37" s="25" t="n">
        <f aca="false">E37*0.13</f>
        <v>6.4987</v>
      </c>
      <c r="G37" s="25" t="n">
        <f aca="false">E37-B37-F37</f>
        <v>33.0313</v>
      </c>
      <c r="H37" s="17" t="n">
        <f aca="false">IF(E37&gt;0,G37/E37,0)</f>
        <v>0.660758151630326</v>
      </c>
      <c r="I37" s="5" t="s">
        <v>234</v>
      </c>
    </row>
    <row r="38" customFormat="false" ht="23.25" hidden="false" customHeight="true" outlineLevel="0" collapsed="false">
      <c r="A38" s="7" t="s">
        <v>235</v>
      </c>
      <c r="B38" s="26" t="n">
        <v>11.27</v>
      </c>
      <c r="C38" s="26" t="n">
        <v>14</v>
      </c>
      <c r="D38" s="26" t="n">
        <v>99.98</v>
      </c>
      <c r="E38" s="26" t="n">
        <v>49.99</v>
      </c>
      <c r="F38" s="26" t="n">
        <f aca="false">E38*0.13</f>
        <v>6.4987</v>
      </c>
      <c r="G38" s="26" t="n">
        <f aca="false">E38-B38-F38</f>
        <v>32.2213</v>
      </c>
      <c r="H38" s="20" t="n">
        <f aca="false">IF(E38&gt;0,G38/E38,0)</f>
        <v>0.644554910982196</v>
      </c>
      <c r="I38" s="7" t="s">
        <v>236</v>
      </c>
    </row>
    <row r="39" customFormat="false" ht="23.25" hidden="false" customHeight="true" outlineLevel="0" collapsed="false">
      <c r="A39" s="5" t="s">
        <v>237</v>
      </c>
      <c r="B39" s="25" t="n">
        <v>12.93</v>
      </c>
      <c r="C39" s="25" t="n">
        <v>15.5</v>
      </c>
      <c r="D39" s="25" t="n">
        <v>99.98</v>
      </c>
      <c r="E39" s="25" t="n">
        <v>49.99</v>
      </c>
      <c r="F39" s="25" t="n">
        <f aca="false">E39*0.13</f>
        <v>6.4987</v>
      </c>
      <c r="G39" s="25" t="n">
        <f aca="false">E39-B39-F39</f>
        <v>30.5613</v>
      </c>
      <c r="H39" s="17" t="n">
        <f aca="false">IF(E39&gt;0,G39/E39,0)</f>
        <v>0.611348269653931</v>
      </c>
      <c r="I39" s="5" t="s">
        <v>238</v>
      </c>
    </row>
    <row r="40" customFormat="false" ht="23.25" hidden="false" customHeight="true" outlineLevel="0" collapsed="false">
      <c r="A40" s="7" t="s">
        <v>239</v>
      </c>
      <c r="B40" s="26" t="n">
        <v>8.61</v>
      </c>
      <c r="C40" s="26" t="n">
        <v>10.5</v>
      </c>
      <c r="D40" s="26" t="n">
        <v>99.98</v>
      </c>
      <c r="E40" s="26" t="n">
        <v>49.99</v>
      </c>
      <c r="F40" s="26" t="n">
        <f aca="false">E40*0.13</f>
        <v>6.4987</v>
      </c>
      <c r="G40" s="27" t="n">
        <f aca="false">E40-B40-F40</f>
        <v>34.8813</v>
      </c>
      <c r="H40" s="28" t="n">
        <f aca="false">IF(E40&gt;0,G40/E40,0)</f>
        <v>0.697765553110622</v>
      </c>
      <c r="I40" s="7" t="s">
        <v>240</v>
      </c>
    </row>
    <row r="41" customFormat="false" ht="23.25" hidden="false" customHeight="true" outlineLevel="0" collapsed="false">
      <c r="A41" s="5" t="s">
        <v>241</v>
      </c>
      <c r="B41" s="25" t="n">
        <v>9.56</v>
      </c>
      <c r="C41" s="25" t="n">
        <v>12</v>
      </c>
      <c r="D41" s="25" t="n">
        <v>99.98</v>
      </c>
      <c r="E41" s="25" t="n">
        <v>49.99</v>
      </c>
      <c r="F41" s="25" t="n">
        <f aca="false">E41*0.13</f>
        <v>6.4987</v>
      </c>
      <c r="G41" s="27" t="n">
        <f aca="false">E41-B41-F41</f>
        <v>33.9313</v>
      </c>
      <c r="H41" s="28" t="n">
        <f aca="false">IF(E41&gt;0,G41/E41,0)</f>
        <v>0.67876175235047</v>
      </c>
      <c r="I41" s="5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8" min="4" style="1" width="14"/>
    <col collapsed="false" customWidth="true" hidden="false" outlineLevel="0" max="10" min="9" style="1" width="18"/>
    <col collapsed="false" customWidth="true" hidden="false" outlineLevel="0" max="11" min="11" style="1" width="50"/>
  </cols>
  <sheetData>
    <row r="1" customFormat="false" ht="17.25" hidden="false" customHeight="true" outlineLevel="0" collapsed="false">
      <c r="A1" s="2" t="s">
        <v>243</v>
      </c>
    </row>
    <row r="2" customFormat="false" ht="15" hidden="false" customHeight="true" outlineLevel="0" collapsed="false">
      <c r="A2" s="3" t="s">
        <v>244</v>
      </c>
    </row>
    <row r="4" customFormat="false" ht="26.25" hidden="false" customHeight="true" outlineLevel="0" collapsed="false">
      <c r="A4" s="4" t="s">
        <v>2</v>
      </c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  <c r="I4" s="4" t="s">
        <v>252</v>
      </c>
      <c r="J4" s="4" t="s">
        <v>253</v>
      </c>
      <c r="K4" s="4" t="s">
        <v>254</v>
      </c>
    </row>
    <row r="5" customFormat="false" ht="23.25" hidden="false" customHeight="true" outlineLevel="0" collapsed="false">
      <c r="A5" s="5" t="s">
        <v>12</v>
      </c>
      <c r="B5" s="5" t="s">
        <v>255</v>
      </c>
      <c r="C5" s="5" t="s">
        <v>256</v>
      </c>
      <c r="D5" s="5" t="s">
        <v>257</v>
      </c>
      <c r="E5" s="5" t="s">
        <v>257</v>
      </c>
      <c r="F5" s="5" t="s">
        <v>257</v>
      </c>
      <c r="G5" s="5" t="s">
        <v>257</v>
      </c>
      <c r="H5" s="5" t="s">
        <v>258</v>
      </c>
      <c r="I5" s="5" t="s">
        <v>259</v>
      </c>
      <c r="J5" s="5" t="s">
        <v>260</v>
      </c>
      <c r="K5" s="8" t="s">
        <v>261</v>
      </c>
    </row>
    <row r="6" customFormat="false" ht="23.25" hidden="false" customHeight="true" outlineLevel="0" collapsed="false">
      <c r="A6" s="7" t="s">
        <v>22</v>
      </c>
      <c r="B6" s="7" t="s">
        <v>262</v>
      </c>
      <c r="C6" s="7" t="s">
        <v>263</v>
      </c>
      <c r="D6" s="7" t="s">
        <v>257</v>
      </c>
      <c r="E6" s="7" t="s">
        <v>257</v>
      </c>
      <c r="F6" s="7" t="s">
        <v>257</v>
      </c>
      <c r="G6" s="7" t="s">
        <v>257</v>
      </c>
      <c r="H6" s="7" t="s">
        <v>257</v>
      </c>
      <c r="I6" s="7" t="s">
        <v>264</v>
      </c>
      <c r="J6" s="7" t="s">
        <v>265</v>
      </c>
      <c r="K6" s="7" t="s">
        <v>266</v>
      </c>
    </row>
    <row r="7" customFormat="false" ht="23.25" hidden="false" customHeight="true" outlineLevel="0" collapsed="false">
      <c r="A7" s="5" t="s">
        <v>51</v>
      </c>
      <c r="B7" s="5" t="s">
        <v>262</v>
      </c>
      <c r="C7" s="5" t="s">
        <v>256</v>
      </c>
      <c r="D7" s="5" t="s">
        <v>257</v>
      </c>
      <c r="E7" s="5" t="s">
        <v>257</v>
      </c>
      <c r="F7" s="5" t="s">
        <v>257</v>
      </c>
      <c r="G7" s="5" t="s">
        <v>257</v>
      </c>
      <c r="H7" s="5" t="s">
        <v>257</v>
      </c>
      <c r="I7" s="5" t="s">
        <v>267</v>
      </c>
      <c r="J7" s="5" t="s">
        <v>268</v>
      </c>
      <c r="K7" s="5" t="s">
        <v>269</v>
      </c>
    </row>
    <row r="8" customFormat="false" ht="23.25" hidden="false" customHeight="true" outlineLevel="0" collapsed="false">
      <c r="A8" s="7" t="s">
        <v>82</v>
      </c>
      <c r="B8" s="7" t="s">
        <v>270</v>
      </c>
      <c r="C8" s="7" t="s">
        <v>256</v>
      </c>
      <c r="D8" s="7" t="s">
        <v>257</v>
      </c>
      <c r="E8" s="7" t="s">
        <v>257</v>
      </c>
      <c r="F8" s="7" t="s">
        <v>257</v>
      </c>
      <c r="G8" s="7" t="s">
        <v>271</v>
      </c>
      <c r="H8" s="7" t="s">
        <v>257</v>
      </c>
      <c r="I8" s="7" t="s">
        <v>267</v>
      </c>
      <c r="J8" s="7" t="s">
        <v>85</v>
      </c>
      <c r="K8" s="7" t="s">
        <v>272</v>
      </c>
    </row>
    <row r="9" customFormat="false" ht="23.25" hidden="false" customHeight="true" outlineLevel="0" collapsed="false">
      <c r="A9" s="5" t="s">
        <v>31</v>
      </c>
      <c r="B9" s="5" t="s">
        <v>262</v>
      </c>
      <c r="C9" s="5" t="s">
        <v>273</v>
      </c>
      <c r="D9" s="5" t="s">
        <v>257</v>
      </c>
      <c r="E9" s="5" t="s">
        <v>257</v>
      </c>
      <c r="F9" s="5" t="s">
        <v>257</v>
      </c>
      <c r="G9" s="5" t="s">
        <v>257</v>
      </c>
      <c r="H9" s="5" t="s">
        <v>274</v>
      </c>
      <c r="I9" s="5" t="s">
        <v>275</v>
      </c>
      <c r="J9" s="5" t="s">
        <v>276</v>
      </c>
      <c r="K9" s="15" t="s">
        <v>277</v>
      </c>
    </row>
    <row r="10" customFormat="false" ht="23.25" hidden="false" customHeight="true" outlineLevel="0" collapsed="false">
      <c r="A10" s="7" t="s">
        <v>96</v>
      </c>
      <c r="B10" s="7" t="s">
        <v>262</v>
      </c>
      <c r="C10" s="7" t="s">
        <v>278</v>
      </c>
      <c r="D10" s="7" t="s">
        <v>274</v>
      </c>
      <c r="E10" s="7" t="s">
        <v>257</v>
      </c>
      <c r="F10" s="7" t="s">
        <v>257</v>
      </c>
      <c r="G10" s="7" t="s">
        <v>257</v>
      </c>
      <c r="H10" s="7" t="s">
        <v>279</v>
      </c>
      <c r="I10" s="7" t="s">
        <v>258</v>
      </c>
      <c r="J10" s="7" t="s">
        <v>276</v>
      </c>
      <c r="K10" s="7" t="s">
        <v>280</v>
      </c>
    </row>
    <row r="11" customFormat="false" ht="23.25" hidden="false" customHeight="true" outlineLevel="0" collapsed="false">
      <c r="A11" s="5" t="s">
        <v>68</v>
      </c>
      <c r="B11" s="5" t="s">
        <v>262</v>
      </c>
      <c r="C11" s="5" t="s">
        <v>256</v>
      </c>
      <c r="D11" s="5" t="s">
        <v>257</v>
      </c>
      <c r="E11" s="5" t="s">
        <v>257</v>
      </c>
      <c r="F11" s="5" t="s">
        <v>257</v>
      </c>
      <c r="G11" s="5" t="s">
        <v>257</v>
      </c>
      <c r="H11" s="5" t="s">
        <v>274</v>
      </c>
      <c r="I11" s="5" t="s">
        <v>267</v>
      </c>
      <c r="J11" s="5" t="s">
        <v>276</v>
      </c>
      <c r="K11" s="5" t="s">
        <v>281</v>
      </c>
    </row>
    <row r="12" customFormat="false" ht="23.25" hidden="false" customHeight="true" outlineLevel="0" collapsed="false">
      <c r="A12" s="7" t="s">
        <v>41</v>
      </c>
      <c r="B12" s="7" t="s">
        <v>282</v>
      </c>
      <c r="C12" s="7" t="s">
        <v>283</v>
      </c>
      <c r="D12" s="7" t="s">
        <v>284</v>
      </c>
      <c r="E12" s="7" t="s">
        <v>285</v>
      </c>
      <c r="F12" s="7" t="s">
        <v>285</v>
      </c>
      <c r="G12" s="7" t="s">
        <v>284</v>
      </c>
      <c r="H12" s="7" t="s">
        <v>284</v>
      </c>
      <c r="I12" s="7" t="s">
        <v>286</v>
      </c>
      <c r="J12" s="7" t="s">
        <v>91</v>
      </c>
      <c r="K12" s="7" t="s">
        <v>287</v>
      </c>
    </row>
    <row r="13" customFormat="false" ht="23.25" hidden="false" customHeight="true" outlineLevel="0" collapsed="false">
      <c r="A13" s="5" t="s">
        <v>59</v>
      </c>
      <c r="B13" s="5" t="s">
        <v>282</v>
      </c>
      <c r="C13" s="5" t="s">
        <v>283</v>
      </c>
      <c r="D13" s="5" t="s">
        <v>284</v>
      </c>
      <c r="E13" s="5" t="s">
        <v>285</v>
      </c>
      <c r="F13" s="5" t="s">
        <v>285</v>
      </c>
      <c r="G13" s="5" t="s">
        <v>284</v>
      </c>
      <c r="H13" s="5" t="s">
        <v>284</v>
      </c>
      <c r="I13" s="5" t="s">
        <v>286</v>
      </c>
      <c r="J13" s="5" t="s">
        <v>91</v>
      </c>
      <c r="K13" s="9" t="s">
        <v>288</v>
      </c>
    </row>
    <row r="14" customFormat="false" ht="23.25" hidden="false" customHeight="true" outlineLevel="0" collapsed="false">
      <c r="A14" s="7" t="s">
        <v>75</v>
      </c>
      <c r="B14" s="7" t="s">
        <v>282</v>
      </c>
      <c r="C14" s="7" t="s">
        <v>283</v>
      </c>
      <c r="D14" s="7" t="s">
        <v>284</v>
      </c>
      <c r="E14" s="7" t="s">
        <v>285</v>
      </c>
      <c r="F14" s="7" t="s">
        <v>285</v>
      </c>
      <c r="G14" s="7" t="s">
        <v>284</v>
      </c>
      <c r="H14" s="7" t="s">
        <v>284</v>
      </c>
      <c r="I14" s="7" t="s">
        <v>286</v>
      </c>
      <c r="J14" s="7" t="s">
        <v>91</v>
      </c>
      <c r="K14" s="7" t="s">
        <v>289</v>
      </c>
    </row>
    <row r="15" customFormat="false" ht="23.25" hidden="false" customHeight="true" outlineLevel="0" collapsed="false">
      <c r="A15" s="5" t="s">
        <v>89</v>
      </c>
      <c r="B15" s="5" t="s">
        <v>282</v>
      </c>
      <c r="C15" s="5" t="s">
        <v>283</v>
      </c>
      <c r="D15" s="5" t="s">
        <v>284</v>
      </c>
      <c r="E15" s="5" t="s">
        <v>285</v>
      </c>
      <c r="F15" s="5" t="s">
        <v>285</v>
      </c>
      <c r="G15" s="5" t="s">
        <v>284</v>
      </c>
      <c r="H15" s="5" t="s">
        <v>284</v>
      </c>
      <c r="I15" s="5" t="s">
        <v>286</v>
      </c>
      <c r="J15" s="5" t="s">
        <v>91</v>
      </c>
      <c r="K15" s="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24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45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291</v>
      </c>
    </row>
    <row r="2" customFormat="false" ht="15" hidden="false" customHeight="true" outlineLevel="0" collapsed="false">
      <c r="A2" s="3" t="s">
        <v>292</v>
      </c>
    </row>
    <row r="4" customFormat="false" ht="15" hidden="false" customHeight="true" outlineLevel="0" collapsed="false">
      <c r="A4" s="4" t="s">
        <v>293</v>
      </c>
      <c r="B4" s="4" t="s">
        <v>2</v>
      </c>
      <c r="C4" s="4" t="s">
        <v>294</v>
      </c>
      <c r="D4" s="4" t="s">
        <v>295</v>
      </c>
      <c r="E4" s="4" t="s">
        <v>296</v>
      </c>
      <c r="F4" s="4" t="s">
        <v>297</v>
      </c>
      <c r="G4" s="4" t="s">
        <v>298</v>
      </c>
    </row>
    <row r="5" customFormat="false" ht="34.5" hidden="false" customHeight="true" outlineLevel="0" collapsed="false">
      <c r="A5" s="5" t="s">
        <v>299</v>
      </c>
      <c r="B5" s="5" t="s">
        <v>300</v>
      </c>
      <c r="C5" s="5" t="s">
        <v>301</v>
      </c>
      <c r="D5" s="5" t="s">
        <v>302</v>
      </c>
      <c r="E5" s="5" t="s">
        <v>303</v>
      </c>
      <c r="F5" s="5" t="s">
        <v>304</v>
      </c>
      <c r="G5" s="29" t="s">
        <v>305</v>
      </c>
    </row>
    <row r="6" customFormat="false" ht="34.5" hidden="false" customHeight="true" outlineLevel="0" collapsed="false">
      <c r="A6" s="7" t="s">
        <v>306</v>
      </c>
      <c r="B6" s="7" t="s">
        <v>22</v>
      </c>
      <c r="C6" s="7" t="s">
        <v>307</v>
      </c>
      <c r="D6" s="7" t="s">
        <v>308</v>
      </c>
      <c r="E6" s="7" t="s">
        <v>309</v>
      </c>
      <c r="F6" s="7" t="s">
        <v>310</v>
      </c>
      <c r="G6" s="7" t="s">
        <v>305</v>
      </c>
    </row>
    <row r="7" customFormat="false" ht="34.5" hidden="false" customHeight="true" outlineLevel="0" collapsed="false">
      <c r="A7" s="5" t="s">
        <v>311</v>
      </c>
      <c r="B7" s="5" t="s">
        <v>51</v>
      </c>
      <c r="C7" s="5" t="s">
        <v>312</v>
      </c>
      <c r="D7" s="5" t="s">
        <v>313</v>
      </c>
      <c r="E7" s="5" t="s">
        <v>314</v>
      </c>
      <c r="F7" s="5" t="s">
        <v>315</v>
      </c>
      <c r="G7" s="9" t="s">
        <v>316</v>
      </c>
    </row>
    <row r="8" customFormat="false" ht="23.25" hidden="false" customHeight="true" outlineLevel="0" collapsed="false">
      <c r="A8" s="7" t="s">
        <v>317</v>
      </c>
      <c r="B8" s="7" t="s">
        <v>82</v>
      </c>
      <c r="C8" s="7" t="s">
        <v>318</v>
      </c>
      <c r="D8" s="7" t="s">
        <v>319</v>
      </c>
      <c r="E8" s="7" t="s">
        <v>320</v>
      </c>
      <c r="F8" s="7" t="s">
        <v>321</v>
      </c>
      <c r="G8" s="7" t="s">
        <v>322</v>
      </c>
    </row>
    <row r="9" customFormat="false" ht="23.25" hidden="false" customHeight="true" outlineLevel="0" collapsed="false">
      <c r="A9" s="5" t="s">
        <v>323</v>
      </c>
      <c r="B9" s="5" t="s">
        <v>68</v>
      </c>
      <c r="C9" s="5" t="s">
        <v>324</v>
      </c>
      <c r="D9" s="5" t="s">
        <v>325</v>
      </c>
      <c r="E9" s="5" t="s">
        <v>326</v>
      </c>
      <c r="F9" s="5" t="s">
        <v>327</v>
      </c>
      <c r="G9" s="30" t="s">
        <v>322</v>
      </c>
    </row>
    <row r="10" customFormat="false" ht="34.5" hidden="false" customHeight="true" outlineLevel="0" collapsed="false">
      <c r="A10" s="7" t="s">
        <v>328</v>
      </c>
      <c r="B10" s="7" t="s">
        <v>41</v>
      </c>
      <c r="C10" s="7" t="s">
        <v>329</v>
      </c>
      <c r="D10" s="7" t="s">
        <v>330</v>
      </c>
      <c r="E10" s="7" t="s">
        <v>331</v>
      </c>
      <c r="F10" s="7" t="s">
        <v>332</v>
      </c>
      <c r="G10" s="7" t="s">
        <v>322</v>
      </c>
    </row>
    <row r="11" customFormat="false" ht="45.75" hidden="false" customHeight="true" outlineLevel="0" collapsed="false">
      <c r="A11" s="5" t="s">
        <v>333</v>
      </c>
      <c r="B11" s="5" t="s">
        <v>75</v>
      </c>
      <c r="C11" s="5" t="s">
        <v>334</v>
      </c>
      <c r="D11" s="5" t="s">
        <v>335</v>
      </c>
      <c r="E11" s="5" t="s">
        <v>336</v>
      </c>
      <c r="F11" s="5" t="s">
        <v>337</v>
      </c>
      <c r="G11" s="31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2026-03-02T10:47:00Z</dcterms:created>
  <dc:creator>openpyxl</dc:creator>
  <dc:description/>
  <dc:language>en-US</dc:language>
  <cp:lastModifiedBy/>
  <dcterms:modified xsi:type="dcterms:W3CDTF">2026-03-02T23:50:18Z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