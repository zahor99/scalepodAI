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Owner\Documents\EtsyAutomation\EtsyResearch\"/>
    </mc:Choice>
  </mc:AlternateContent>
  <xr:revisionPtr revIDLastSave="0" documentId="8_{3DDE9D0E-849E-4A57-B244-7E7E01A3A96E}" xr6:coauthVersionLast="47" xr6:coauthVersionMax="47" xr10:uidLastSave="{00000000-0000-0000-0000-000000000000}"/>
  <bookViews>
    <workbookView xWindow="0" yWindow="216" windowWidth="23040" windowHeight="12120" tabRatio="500" firstSheet="5" activeTab="9" xr2:uid="{00000000-000D-0000-FFFF-FFFF00000000}"/>
  </bookViews>
  <sheets>
    <sheet name="Executive Summary" sheetId="1" r:id="rId1"/>
    <sheet name="Visual Design Comparison" sheetId="2" r:id="rId2"/>
    <sheet name="Yoycol Product Catalog" sheetId="3" r:id="rId3"/>
    <sheet name="Keyword Research" sheetId="4" r:id="rId4"/>
    <sheet name="Browser Verified Prices" sheetId="5" r:id="rId5"/>
    <sheet name="Niche &amp; Design Analysis" sheetId="6" r:id="rId6"/>
    <sheet name="Design Styles" sheetId="7" r:id="rId7"/>
    <sheet name="Pricing Strategy" sheetId="8" r:id="rId8"/>
    <sheet name="Seasonal Trends" sheetId="9" r:id="rId9"/>
    <sheet name="Shop Strategy" sheetId="10" r:id="rId10"/>
    <sheet name="Yoycol vs Printify" sheetId="11" r:id="rId11"/>
  </sheets>
  <calcPr calcId="191029" iterateDelta="1E-4"/>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15" i="3" l="1"/>
  <c r="D14" i="3"/>
  <c r="D13" i="3"/>
  <c r="D12" i="3"/>
  <c r="D11" i="3"/>
  <c r="D10" i="3"/>
  <c r="D9" i="3"/>
  <c r="D8" i="3"/>
  <c r="D7" i="3"/>
  <c r="D6" i="3"/>
  <c r="D5" i="3"/>
  <c r="D4" i="3"/>
</calcChain>
</file>

<file path=xl/sharedStrings.xml><?xml version="1.0" encoding="utf-8"?>
<sst xmlns="http://schemas.openxmlformats.org/spreadsheetml/2006/main" count="1435" uniqueCount="866">
  <si>
    <t>Date: February 24, 2026 | Sources: Yoycol, Google Shopping, Amazon, eBay, Keywords Everywhere | Verified via Browser</t>
  </si>
  <si>
    <t>KEY METRICS</t>
  </si>
  <si>
    <t>Product Categories Analyzed</t>
  </si>
  <si>
    <t>9</t>
  </si>
  <si>
    <t>Top AOP product types from Yoycol catalog</t>
  </si>
  <si>
    <t>Design Themes Tracked</t>
  </si>
  <si>
    <t>11</t>
  </si>
  <si>
    <t>Botanical, Y2K, Gothic, Japanese, Celestial, Animal, Galaxy, Anime, Spiritual, Norse, Mushroom</t>
  </si>
  <si>
    <t>Total Marketplace Results</t>
  </si>
  <si>
    <t>9,574</t>
  </si>
  <si>
    <t>Combined Amazon + eBay + Google Shopping listings scraped</t>
  </si>
  <si>
    <t>Keyword Volume (Hoodie)</t>
  </si>
  <si>
    <t>49,500/mo</t>
  </si>
  <si>
    <t>"graphic hoodie" — highest POD-relevant search term</t>
  </si>
  <si>
    <t>Keyword Volume (Dress)</t>
  </si>
  <si>
    <t>22,200/mo</t>
  </si>
  <si>
    <t>"gothic dress" — highest dress niche term</t>
  </si>
  <si>
    <t>Best Margin Product</t>
  </si>
  <si>
    <t>AOP Dress</t>
  </si>
  <si>
    <t>67.9% margin ($81.71 profit/unit vs Yoycol $15+$8 shipping)</t>
  </si>
  <si>
    <t>Highest Demand Product</t>
  </si>
  <si>
    <t>AOP Hoodie</t>
  </si>
  <si>
    <t>3,102 marketplace results + 49,500 monthly searches</t>
  </si>
  <si>
    <t>Yoycol Price Advantage</t>
  </si>
  <si>
    <t>30-60% below Printify</t>
  </si>
  <si>
    <t>Hoodie $18 vs $35+, Dress $15 vs $25+, T-Shirt $6.50 vs $12+</t>
  </si>
  <si>
    <t>VERIFIED RETAIL PRICES (Browser + Web Search Confirmation)</t>
  </si>
  <si>
    <t>Product Type</t>
  </si>
  <si>
    <t>Yoycol Cost</t>
  </si>
  <si>
    <t>Shipping (5-10d)</t>
  </si>
  <si>
    <t>Total COGS</t>
  </si>
  <si>
    <t>Amazon Avg</t>
  </si>
  <si>
    <t>eBay Avg</t>
  </si>
  <si>
    <t>Google Avg</t>
  </si>
  <si>
    <t>Verified Retail Range</t>
  </si>
  <si>
    <t>Profit/Unit</t>
  </si>
  <si>
    <t>Margin %</t>
  </si>
  <si>
    <t>$45-$70</t>
  </si>
  <si>
    <t>$30-$65</t>
  </si>
  <si>
    <t>AOP Bomber Jacket</t>
  </si>
  <si>
    <t>$45-$60</t>
  </si>
  <si>
    <t>AOP Windbreaker</t>
  </si>
  <si>
    <t>$40-$80</t>
  </si>
  <si>
    <t>AOP Sweatshirt</t>
  </si>
  <si>
    <t>$35-$75</t>
  </si>
  <si>
    <t>AOP Leggings</t>
  </si>
  <si>
    <t>$20-$60</t>
  </si>
  <si>
    <t>AOP Jogger</t>
  </si>
  <si>
    <t>AOP Tank Top</t>
  </si>
  <si>
    <t>$15-$40</t>
  </si>
  <si>
    <t>AOP T-Shirt</t>
  </si>
  <si>
    <t>$15-$35</t>
  </si>
  <si>
    <t>CORRECTED FINDINGS — Visual Design Verification (Feb 24, 2026)</t>
  </si>
  <si>
    <t>CORRECTION 1: "Gothic Dress" keyword (22,200/mo) is NOT addressable for AOP products. Gothic dresses on Google Shopping are velvet/lace/corset construction garments, not sublimation prints. True addressable AOP dress market is &lt;2,000/mo.</t>
  </si>
  <si>
    <t>CORRECTION 2: AOP Dress profit of $81.71/unit was overstated. This assumed competing at $120+ retail — but AOP sublimation dresses compete at $25-$40, yielding $10-$15 profit after Yoycol COGS + shipping + Etsy fees.</t>
  </si>
  <si>
    <t>CORRECTION 3: Google Shopping is NOT viable for AOP dresses, leggings, or joggers due to Shein/Temu dominance at $8-$20 price points for similar-looking products.</t>
  </si>
  <si>
    <t>CONFIRMED: AOP Hoodies remain the #1 opportunity. Product type matches Google Shopping results exactly. Price range ($54-$75) sits in the profitable mid-range, avoiding Shein competition.</t>
  </si>
  <si>
    <t>CONFIRMED: AOP Bomber Jackets are strong #2 — specialized product with low Shein overlap, high margins.</t>
  </si>
  <si>
    <t>NEW: Channel strategy is critical. Hoodies + Bombers → Google Shopping + Etsy. Dresses + Leggings → Etsy ONLY with "art print" positioning.</t>
  </si>
  <si>
    <t>VISUAL DESIGN COMPARISON: Yoycol AOP Products vs. Google Shopping Results</t>
  </si>
  <si>
    <t>CRITICAL FINDING: Most high-volume Google Shopping keywords return FUNDAMENTALLY DIFFERENT products from what Yoycol produces</t>
  </si>
  <si>
    <t>A. GOTHIC DRESS — Product Mismatch Analysis</t>
  </si>
  <si>
    <t>Aspect</t>
  </si>
  <si>
    <t>Yoycol AOP Dress</t>
  </si>
  <si>
    <t>Google Shopping "Gothic Dress"</t>
  </si>
  <si>
    <t>Match?</t>
  </si>
  <si>
    <t>Impact</t>
  </si>
  <si>
    <t>Fabric</t>
  </si>
  <si>
    <t>100% Polyester (sublimation print)</t>
  </si>
  <si>
    <t>Velvet, Lace, Mesh, Chiffon, Cotton blend</t>
  </si>
  <si>
    <t>NO</t>
  </si>
  <si>
    <t>Gothic buyers expect rich, textured fabrics — polyester sublimation feels cheap by comparison</t>
  </si>
  <si>
    <t>Construction</t>
  </si>
  <si>
    <t>Simple straight/A-line cut, no structure</t>
  </si>
  <si>
    <t>Corset boning, bell sleeves, ruffle trim, asymmetrical hems, off-shoulder</t>
  </si>
  <si>
    <t>Gothic fashion is defined by its silhouette &amp; construction details, not just the print</t>
  </si>
  <si>
    <t>Design Details</t>
  </si>
  <si>
    <t>All-over sublimation print on blank</t>
  </si>
  <si>
    <t>Lace trim, ribbon, cross-lacing, steampunk hardware, cascading ruffles</t>
  </si>
  <si>
    <t>AOP adds artwork to a basic garment — gothic dresses ARE the garment design</t>
  </si>
  <si>
    <t>Price Range (USD)</t>
  </si>
  <si>
    <t>$6.40 – $12.79 (Yoycol COGS)</t>
  </si>
  <si>
    <t>$19 – $267 (retail on Google Shopping)</t>
  </si>
  <si>
    <t>N/A</t>
  </si>
  <si>
    <t>Even at 3x markup ($19–$38), Yoycol AOP dress looks cheap next to $50–$200 constructed gothic dresses</t>
  </si>
  <si>
    <t>Target Buyer</t>
  </si>
  <si>
    <t>Casual/festival wear, print-driven purchase</t>
  </si>
  <si>
    <t>Subculture identity, garment-construction-driven purchase</t>
  </si>
  <si>
    <t>Completely different purchase motivation — art lover vs. fashion identity buyer</t>
  </si>
  <si>
    <t>Keyword "Gothic Dress"</t>
  </si>
  <si>
    <t>NOT what buyers expect from this search</t>
  </si>
  <si>
    <t>Victorian gowns, corset dresses, witch dresses</t>
  </si>
  <si>
    <t>22,200 monthly searches but &lt;5% are looking for AOP sublimation prints</t>
  </si>
  <si>
    <t>B. "ALL OVER PRINT GOTHIC DRESS" Search — What Actually Competes With Yoycol</t>
  </si>
  <si>
    <t>Product</t>
  </si>
  <si>
    <t>Price (CAD)</t>
  </si>
  <si>
    <t>Price (USD)</t>
  </si>
  <si>
    <t>Store/Brand</t>
  </si>
  <si>
    <t>AOP Compatible?</t>
  </si>
  <si>
    <t>GothDark Women's Floral Maxi Dress</t>
  </si>
  <si>
    <t>$25.00</t>
  </si>
  <si>
    <t>$18.38</t>
  </si>
  <si>
    <t>GothDark</t>
  </si>
  <si>
    <t>Sublimation print maxi</t>
  </si>
  <si>
    <t>YES — direct competitor</t>
  </si>
  <si>
    <t>Halloween Skull Floral Print Maxi Dress (Plus Size)</t>
  </si>
  <si>
    <t>$45.25</t>
  </si>
  <si>
    <t>$33.27</t>
  </si>
  <si>
    <t>Xpluswear</t>
  </si>
  <si>
    <t>Printed maxi dress</t>
  </si>
  <si>
    <t>YES — print-driven</t>
  </si>
  <si>
    <t>Midnight Print Bodycon Dress</t>
  </si>
  <si>
    <t>$34.22</t>
  </si>
  <si>
    <t>$25.16</t>
  </si>
  <si>
    <t>Various</t>
  </si>
  <si>
    <t>Body print slim dress</t>
  </si>
  <si>
    <t>YES — sublimation type</t>
  </si>
  <si>
    <t>Long Sleeve Body Print Mini Dress</t>
  </si>
  <si>
    <t>$34.27</t>
  </si>
  <si>
    <t>$25.20</t>
  </si>
  <si>
    <t>Printed mini dress</t>
  </si>
  <si>
    <t>Evermore Gothic Raven Pattern Dress</t>
  </si>
  <si>
    <t>$35.65</t>
  </si>
  <si>
    <t>$26.21</t>
  </si>
  <si>
    <t>Evermore</t>
  </si>
  <si>
    <t>Pattern print dress</t>
  </si>
  <si>
    <t>Grunge Aesthetic Eyes Print Maxi Dress</t>
  </si>
  <si>
    <t>$48.00</t>
  </si>
  <si>
    <t>$35.29</t>
  </si>
  <si>
    <t>Print maxi dress</t>
  </si>
  <si>
    <t>YES — AOP competitor</t>
  </si>
  <si>
    <t>Halloween Gothic Skull Y2K Print Slip Dress</t>
  </si>
  <si>
    <t>$39.64</t>
  </si>
  <si>
    <t>$29.15</t>
  </si>
  <si>
    <t>Print slip dress</t>
  </si>
  <si>
    <t>YES — seasonal</t>
  </si>
  <si>
    <t>WDIRARA Gothic Square Neck Bell Sleeve Dress</t>
  </si>
  <si>
    <t>$52.03</t>
  </si>
  <si>
    <t>$38.26</t>
  </si>
  <si>
    <t>Amazon/Shein</t>
  </si>
  <si>
    <t>Constructed gothic dress</t>
  </si>
  <si>
    <t>NO — bell sleeves, construction</t>
  </si>
  <si>
    <t>Gothic Strapless Flared Sleeve Formal Dress</t>
  </si>
  <si>
    <t>$202.97</t>
  </si>
  <si>
    <t>$149.24</t>
  </si>
  <si>
    <t>Fashion brand</t>
  </si>
  <si>
    <t>Constructed formal gown</t>
  </si>
  <si>
    <t>NO — completely different</t>
  </si>
  <si>
    <t>Cassandra Graphic-Print Maxi Dress</t>
  </si>
  <si>
    <t>$267.45</t>
  </si>
  <si>
    <t>$196.65</t>
  </si>
  <si>
    <t>Designer</t>
  </si>
  <si>
    <t>Designer print dress</t>
  </si>
  <si>
    <t>NO — designer price point</t>
  </si>
  <si>
    <t>C. AOP HOODIE — Product Match Analysis (FAVORABLE)</t>
  </si>
  <si>
    <t>Yoycol AOP Hoodie</t>
  </si>
  <si>
    <t>Google Shopping "AOP Hoodie Japanese"</t>
  </si>
  <si>
    <t>Verdict</t>
  </si>
  <si>
    <t>Pullover hoodie with all-over sublimation print</t>
  </si>
  <si>
    <t>YES</t>
  </si>
  <si>
    <t>IDENTICAL product type — same construction, same print method</t>
  </si>
  <si>
    <t>100% Polyester (sublimation ready)</t>
  </si>
  <si>
    <t>100% Polyester or Poly blend</t>
  </si>
  <si>
    <t>Same material — buyers expect polyester for AOP hoodies</t>
  </si>
  <si>
    <t>Standard pullover hoodie cut, drawstring, kangaroo pocket</t>
  </si>
  <si>
    <t>Standard pullover hoodie cut</t>
  </si>
  <si>
    <t>No construction mismatch — a hoodie is a hoodie</t>
  </si>
  <si>
    <t>COGS $8.59 + $9.50 ship = $18.09</t>
  </si>
  <si>
    <t>$16.69 – $135.00 retail</t>
  </si>
  <si>
    <t>Yoycol at 3x markup = $54.27 sits perfectly in mid-range</t>
  </si>
  <si>
    <t>Art/design-driven, wants unique print</t>
  </si>
  <si>
    <t>Same — design/art enthusiast</t>
  </si>
  <si>
    <t>Exact same buyer persona — purchase is driven by the ARTWORK</t>
  </si>
  <si>
    <t>Shein Competition?</t>
  </si>
  <si>
    <t>Shein does NOT dominate AOP hoodies</t>
  </si>
  <si>
    <t>Shein sells fast-fashion basics — NOT niche AOP artwork hoodies</t>
  </si>
  <si>
    <t>Google Shopping AOP Hoodie Japanese — Price Distribution (CAD)</t>
  </si>
  <si>
    <t>Price Point</t>
  </si>
  <si>
    <t>CAD Price</t>
  </si>
  <si>
    <t>USD Equiv</t>
  </si>
  <si>
    <t>Count</t>
  </si>
  <si>
    <t>Segment</t>
  </si>
  <si>
    <t>Can We Compete?</t>
  </si>
  <si>
    <t>Budget</t>
  </si>
  <si>
    <t>$22.70 – $39.10</t>
  </si>
  <si>
    <t>$16.69 – $28.75</t>
  </si>
  <si>
    <t>6 of 20</t>
  </si>
  <si>
    <t>Shein/AliExpress drop-ship</t>
  </si>
  <si>
    <t>NO — race to bottom</t>
  </si>
  <si>
    <t>Mid-Range</t>
  </si>
  <si>
    <t>$59.23 – $104.00</t>
  </si>
  <si>
    <t>$43.55 – $76.47</t>
  </si>
  <si>
    <t>8 of 20</t>
  </si>
  <si>
    <t>POD sellers &amp; indie brands</t>
  </si>
  <si>
    <t>YES — our sweet spot at $54-$75</t>
  </si>
  <si>
    <t>Premium</t>
  </si>
  <si>
    <t>$164.00 – $185.00</t>
  </si>
  <si>
    <t>$120.59 – $136.03</t>
  </si>
  <si>
    <t>Established brands &amp; designers</t>
  </si>
  <si>
    <t>YES — with strong brand positioning</t>
  </si>
  <si>
    <t>D. SHEIN COMPETITION — Can We Compete on Google Shopping?</t>
  </si>
  <si>
    <t>Product Category</t>
  </si>
  <si>
    <t>Shein Dominance</t>
  </si>
  <si>
    <t>Shein Price Range</t>
  </si>
  <si>
    <t>Our Viable Price</t>
  </si>
  <si>
    <t>Can Compete?</t>
  </si>
  <si>
    <t>Recommended Channel</t>
  </si>
  <si>
    <t>LOW — Shein sells basics, not niche AOP art</t>
  </si>
  <si>
    <t>$15–$30</t>
  </si>
  <si>
    <t>$54–$75</t>
  </si>
  <si>
    <t>Google Shopping + Etsy</t>
  </si>
  <si>
    <t>LOW — specialized product, not Shein's focus</t>
  </si>
  <si>
    <t>$20–$40</t>
  </si>
  <si>
    <t>$60–$85</t>
  </si>
  <si>
    <t>LOW — niche outerwear</t>
  </si>
  <si>
    <t>$15–$35</t>
  </si>
  <si>
    <t>$55–$75</t>
  </si>
  <si>
    <t>MODERATE — Shein has printed sweatshirts</t>
  </si>
  <si>
    <t>$12–$25</t>
  </si>
  <si>
    <t>$40–$55</t>
  </si>
  <si>
    <t>MAYBE</t>
  </si>
  <si>
    <t>Etsy primary, Google secondary</t>
  </si>
  <si>
    <t>HIGH — Shein dominates casual dresses at $13–$20</t>
  </si>
  <si>
    <t>$13–$44</t>
  </si>
  <si>
    <t>$25–$40</t>
  </si>
  <si>
    <t>Etsy ONLY (niche AOP art positioning)</t>
  </si>
  <si>
    <t>HIGH — Shein/Temu dominate at $8–$15</t>
  </si>
  <si>
    <t>$8–$15</t>
  </si>
  <si>
    <t>$30–$45</t>
  </si>
  <si>
    <t>Etsy ONLY</t>
  </si>
  <si>
    <t>AOP Jogger Pants</t>
  </si>
  <si>
    <t>MODERATE — some Shein overlap</t>
  </si>
  <si>
    <t>$35–$50</t>
  </si>
  <si>
    <t>Etsy primary</t>
  </si>
  <si>
    <t>Gothic Dress (construction)</t>
  </si>
  <si>
    <t>NOT APPLICABLE — different product entirely</t>
  </si>
  <si>
    <t>$19–$44</t>
  </si>
  <si>
    <t>DO NOT TARGET — wrong product type</t>
  </si>
  <si>
    <t>E. VERDICT: Where Yoycol AOP Products Can ACTUALLY Compete</t>
  </si>
  <si>
    <t>Google Shopping Viable?</t>
  </si>
  <si>
    <t>Etsy Viable?</t>
  </si>
  <si>
    <t>Best Keywords</t>
  </si>
  <si>
    <t>Addressable Market (vs total keyword vol)</t>
  </si>
  <si>
    <t>Revised Recommendation</t>
  </si>
  <si>
    <t>YES — STRONG</t>
  </si>
  <si>
    <t>japanese art hoodie, anime hoodie, mushroom hoodie</t>
  </si>
  <si>
    <t>70-90% of "graphic hoodie" searches (49,500/mo) = ~35K-45K addressable</t>
  </si>
  <si>
    <t>LAUNCH FIRST — best product-market fit</t>
  </si>
  <si>
    <t>YES — MODERATE</t>
  </si>
  <si>
    <t>bomber jacket anime, printed bomber</t>
  </si>
  <si>
    <t>60-80% of keyword volume addressable</t>
  </si>
  <si>
    <t>LAUNCH — high margins, low Shein competition</t>
  </si>
  <si>
    <t>printed windbreaker, graphic windbreaker</t>
  </si>
  <si>
    <t>50-70% addressable</t>
  </si>
  <si>
    <t>EXPAND — good margins, niche product</t>
  </si>
  <si>
    <t>CAUTION</t>
  </si>
  <si>
    <t>graphic sweatshirt, anime sweatshirt</t>
  </si>
  <si>
    <t>40-60% addressable (Shein overlap on basic prints)</t>
  </si>
  <si>
    <t>EXPAND — Etsy-first strategy</t>
  </si>
  <si>
    <t>NO — DO NOT TARGET</t>
  </si>
  <si>
    <t>YES — NICHE ONLY</t>
  </si>
  <si>
    <t>all over print dress, gothic print dress, celestial dress</t>
  </si>
  <si>
    <t>&lt;10% of "gothic dress" (22,200/mo) = ~2K addressable for AOP</t>
  </si>
  <si>
    <t>TEST CAUTIOUSLY — Etsy only, avoid Google Shopping</t>
  </si>
  <si>
    <t>galaxy leggings, printed leggings</t>
  </si>
  <si>
    <t>&lt;20% addressable (Shein/Temu dominate)</t>
  </si>
  <si>
    <t>LOW PRIORITY — oversaturated</t>
  </si>
  <si>
    <t>printed joggers, graphic jogger pants</t>
  </si>
  <si>
    <t>30-50% addressable</t>
  </si>
  <si>
    <t>TEST — moderate opportunity</t>
  </si>
  <si>
    <t>KEY TAKEAWAY</t>
  </si>
  <si>
    <t>AOP hoodies and outerwear (bombers, windbreakers) are the ONLY products where the product type matches what Google Shopping buyers expect. For dresses, leggings, and joggers — use Etsy ONLY, position as "art prints on clothing" and avoid competing on the main fashion keywords where Shein/construction-focused brands dominate.</t>
  </si>
  <si>
    <t>GOOGLE SHOPPING STRATEGY: Focus 100% on AOP hoodies + bomber jackets. Use niche-specific keywords ("japanese art hoodie", "mushroom cottagecore hoodie") NOT generic fashion terms ("gothic dress"). The previous report's $81.71 profit/unit on AOP dresses assumed selling in the same market as $200 constructed gothic gowns — this is incorrect. True addressable profit for AOP dresses is $10-$15/unit on Etsy at $35-$40 sale price.</t>
  </si>
  <si>
    <t>YOYCOL AOP DRESS CATALOG — Actual Products Available (Browser Verified Feb 24, 2026)</t>
  </si>
  <si>
    <t>Product Name</t>
  </si>
  <si>
    <t>Base Price (USD)</t>
  </si>
  <si>
    <t>Est. Shipping 5-10 day</t>
  </si>
  <si>
    <t>Key Feature</t>
  </si>
  <si>
    <t>AOP Women's Floral V-Neck Short Sleeve Dress</t>
  </si>
  <si>
    <t>Short sleeve midi</t>
  </si>
  <si>
    <t>V-neck, short sleeve</t>
  </si>
  <si>
    <t>NO — Shein dominates</t>
  </si>
  <si>
    <t>AOP Women's Stacked Ruffle Sleeve Dress</t>
  </si>
  <si>
    <t>Ruffle sleeve dress</t>
  </si>
  <si>
    <t>Stacked ruffle sleeves</t>
  </si>
  <si>
    <t>NO — construction-focused buyers</t>
  </si>
  <si>
    <t>AOP Women's Sleeveless Cami Dress</t>
  </si>
  <si>
    <t>Cami/slip dress</t>
  </si>
  <si>
    <t>Spaghetti straps</t>
  </si>
  <si>
    <t>NO — Shein at $8-$12</t>
  </si>
  <si>
    <t>AOP Women's Tank Vest Dress</t>
  </si>
  <si>
    <t>Tank dress</t>
  </si>
  <si>
    <t>Wide straps</t>
  </si>
  <si>
    <t>NO — too basic for Google Shopping</t>
  </si>
  <si>
    <t>AOP Women's Maxi Dress (Plus Size)</t>
  </si>
  <si>
    <t>Maxi dress</t>
  </si>
  <si>
    <t>Plus size available</t>
  </si>
  <si>
    <t>MAYBE — plus size niche on Etsy</t>
  </si>
  <si>
    <t>AOP Women's Elegant Mesh Lace Evening Dress</t>
  </si>
  <si>
    <t>Mesh/lace dress</t>
  </si>
  <si>
    <t>Mesh lace overlay</t>
  </si>
  <si>
    <t>MAYBE — closest to gothic market</t>
  </si>
  <si>
    <t>AOP Women's Sleeveless Maxi Dress</t>
  </si>
  <si>
    <t>Sleeveless maxi</t>
  </si>
  <si>
    <t>Floor length</t>
  </si>
  <si>
    <t>NO — generic design</t>
  </si>
  <si>
    <t>AOP Women's Sleeveless Dress w/ Diagonal Pocket</t>
  </si>
  <si>
    <t>Casual dress w/ pocket</t>
  </si>
  <si>
    <t>Diagonal pocket detail</t>
  </si>
  <si>
    <t>NO — casual only</t>
  </si>
  <si>
    <t>AOP Women's Elastic Waist Dress</t>
  </si>
  <si>
    <t>Elastic waist dress</t>
  </si>
  <si>
    <t>Cinched waist</t>
  </si>
  <si>
    <t>MAYBE — Etsy casual art dress</t>
  </si>
  <si>
    <t>AOP Women's V-neck Dress With Side Slit</t>
  </si>
  <si>
    <t>V-neck slit dress</t>
  </si>
  <si>
    <t>Side slit detail</t>
  </si>
  <si>
    <t>MAYBE — Etsy with art focus</t>
  </si>
  <si>
    <t>AOP Women's Back Straps Cami Dress With Lace</t>
  </si>
  <si>
    <t>Lace trim cami dress</t>
  </si>
  <si>
    <t>Back lace straps</t>
  </si>
  <si>
    <t>MAYBE — has some gothic appeal</t>
  </si>
  <si>
    <t>AOP Women's Sheer Mesh Backless Maxi Dress</t>
  </si>
  <si>
    <t>Mesh backless maxi</t>
  </si>
  <si>
    <t>Sheer mesh, backless</t>
  </si>
  <si>
    <t>MAYBE — festival/boho niche</t>
  </si>
  <si>
    <t>FINDING: Yoycol's AOP dresses are simple-cut sublimation polyester dresses. None have corset boning, velvet fabric, bell sleeves, or other construction details that define "gothic dresses" on Google Shopping. The Elegant Mesh Lace Evening Dress and Back Straps Cami with Lace are the closest to having construction details, but still fundamentally different from $50-$200 gothic dresses.</t>
  </si>
  <si>
    <t>KEYWORD RESEARCH — VERIFIED VIA KEYWORDS EVERYWHERE API</t>
  </si>
  <si>
    <t>Keyword</t>
  </si>
  <si>
    <t>Monthly Search Vol</t>
  </si>
  <si>
    <t>CPC ($)</t>
  </si>
  <si>
    <t>Competition</t>
  </si>
  <si>
    <t>Competition Level</t>
  </si>
  <si>
    <t>Peak Month</t>
  </si>
  <si>
    <t>Peak Volume</t>
  </si>
  <si>
    <t>Low Month</t>
  </si>
  <si>
    <t>Low Volume</t>
  </si>
  <si>
    <t>Seasonality Factor</t>
  </si>
  <si>
    <t>Opportunity Score</t>
  </si>
  <si>
    <t>Niche Category</t>
  </si>
  <si>
    <t>POD Relevance</t>
  </si>
  <si>
    <t>graphic hoodie</t>
  </si>
  <si>
    <t>High</t>
  </si>
  <si>
    <t>Dec-Jan</t>
  </si>
  <si>
    <t>Jul</t>
  </si>
  <si>
    <t>Design/POD</t>
  </si>
  <si>
    <t>Very High</t>
  </si>
  <si>
    <t>oversized hoodie</t>
  </si>
  <si>
    <t>Medium</t>
  </si>
  <si>
    <t>Jan</t>
  </si>
  <si>
    <t>Style</t>
  </si>
  <si>
    <t>zip up hoodie</t>
  </si>
  <si>
    <t>Dec</t>
  </si>
  <si>
    <t>custom hoodie</t>
  </si>
  <si>
    <t>Jul-Aug</t>
  </si>
  <si>
    <t>Custom/POD</t>
  </si>
  <si>
    <t>streetwear hoodie</t>
  </si>
  <si>
    <t>Nov</t>
  </si>
  <si>
    <t>Jun</t>
  </si>
  <si>
    <t>gothic dress</t>
  </si>
  <si>
    <t>Feb</t>
  </si>
  <si>
    <t>Apr-Jun</t>
  </si>
  <si>
    <t>Gothic</t>
  </si>
  <si>
    <t>custom sweatshirt</t>
  </si>
  <si>
    <t>anime hoodie</t>
  </si>
  <si>
    <t>May-Jul</t>
  </si>
  <si>
    <t>Anime</t>
  </si>
  <si>
    <t>y2k hoodie</t>
  </si>
  <si>
    <t>Y2K</t>
  </si>
  <si>
    <t>japanese dress</t>
  </si>
  <si>
    <t>Feb-Jun</t>
  </si>
  <si>
    <t>Japanese</t>
  </si>
  <si>
    <t>wolf hoodie</t>
  </si>
  <si>
    <t>Animal</t>
  </si>
  <si>
    <t>galaxy leggings</t>
  </si>
  <si>
    <t>Aug-Sep</t>
  </si>
  <si>
    <t>Galaxy</t>
  </si>
  <si>
    <t>celestial dress</t>
  </si>
  <si>
    <t>Aug</t>
  </si>
  <si>
    <t>Celestial</t>
  </si>
  <si>
    <t>galaxy hoodie</t>
  </si>
  <si>
    <t>floral hoodie</t>
  </si>
  <si>
    <t>Feb-Jan</t>
  </si>
  <si>
    <t>Botanical</t>
  </si>
  <si>
    <t>japanese hoodie</t>
  </si>
  <si>
    <t>custom bomber jacket</t>
  </si>
  <si>
    <t>skull hoodie</t>
  </si>
  <si>
    <t>Nov-Jan</t>
  </si>
  <si>
    <t>Jun-Aug</t>
  </si>
  <si>
    <t>gothic hoodie</t>
  </si>
  <si>
    <t>Nov-Dec</t>
  </si>
  <si>
    <t>dragon hoodie</t>
  </si>
  <si>
    <t>Japanese/Fantasy</t>
  </si>
  <si>
    <t>graphic t-shirt</t>
  </si>
  <si>
    <t>anime sweatshirt</t>
  </si>
  <si>
    <t>floral leggings</t>
  </si>
  <si>
    <t>Apr</t>
  </si>
  <si>
    <t>wolf sweatshirt</t>
  </si>
  <si>
    <t>custom tank top</t>
  </si>
  <si>
    <t>Jun-Jul</t>
  </si>
  <si>
    <t>mushroom hoodie</t>
  </si>
  <si>
    <t>Cottagecore</t>
  </si>
  <si>
    <t>windbreaker jacket custom</t>
  </si>
  <si>
    <t>Oct-Nov</t>
  </si>
  <si>
    <t>Mar</t>
  </si>
  <si>
    <t>anime bomber jacket</t>
  </si>
  <si>
    <t>Oct</t>
  </si>
  <si>
    <t>Apr-May</t>
  </si>
  <si>
    <t>all over print hoodie</t>
  </si>
  <si>
    <t>AOP/POD</t>
  </si>
  <si>
    <t>spiritual hoodie</t>
  </si>
  <si>
    <t>Spiritual</t>
  </si>
  <si>
    <t>mushroom sweatshirt</t>
  </si>
  <si>
    <t>botanical dress</t>
  </si>
  <si>
    <t>May</t>
  </si>
  <si>
    <t>anime leggings</t>
  </si>
  <si>
    <t>celestial hoodie</t>
  </si>
  <si>
    <t>moon hoodie</t>
  </si>
  <si>
    <t>graphic windbreaker</t>
  </si>
  <si>
    <t>koi fish hoodie</t>
  </si>
  <si>
    <t>galaxy joggers</t>
  </si>
  <si>
    <t>Feb-Mar</t>
  </si>
  <si>
    <t>all over print sweatshirt</t>
  </si>
  <si>
    <t>Feb-Nov</t>
  </si>
  <si>
    <t>y2k bomber jacket</t>
  </si>
  <si>
    <t>gothic bomber jacket</t>
  </si>
  <si>
    <t>AOP hoodie</t>
  </si>
  <si>
    <t>May-Jun</t>
  </si>
  <si>
    <t>botanical hoodie</t>
  </si>
  <si>
    <t>AOP dress</t>
  </si>
  <si>
    <t>Low</t>
  </si>
  <si>
    <t>mushroom leggings</t>
  </si>
  <si>
    <t>all over print dress</t>
  </si>
  <si>
    <t>AOP sweatshirt</t>
  </si>
  <si>
    <t>Mar-Apr</t>
  </si>
  <si>
    <t>all over print leggings</t>
  </si>
  <si>
    <t>Sep</t>
  </si>
  <si>
    <t>all over print bomber jacket</t>
  </si>
  <si>
    <t>all over print tank top</t>
  </si>
  <si>
    <t>spiritual leggings</t>
  </si>
  <si>
    <t>Apr-Aug</t>
  </si>
  <si>
    <t>BROWSER-VERIFIED PRICE DATA — Live Scrapes from Google Shopping &amp; Etsy (Feb 24, 2026)</t>
  </si>
  <si>
    <t>Prices scraped via Chrome browser automation. Etsy prices in CAD (÷1.36 for USD). Google Shopping in USD. All verified same-day.</t>
  </si>
  <si>
    <t>GOOGLE SHOPPING — VERIFIED PRICES (USD)</t>
  </si>
  <si>
    <t>1. AOP Hoodie Japanese — Google Shopping</t>
  </si>
  <si>
    <t>#</t>
  </si>
  <si>
    <t>Product Title</t>
  </si>
  <si>
    <t>Store</t>
  </si>
  <si>
    <t>Notes</t>
  </si>
  <si>
    <t>Men's Japanese Sakura Flower &amp; Moon Print Hoodie</t>
  </si>
  <si>
    <t>Shein</t>
  </si>
  <si>
    <t>Hoodie</t>
  </si>
  <si>
    <t>Budget AOP - fast fashion</t>
  </si>
  <si>
    <t>Men's Japanese Art Octopus Graphic Printed Casual Hoodie</t>
  </si>
  <si>
    <t>Mid-range AOP graphic</t>
  </si>
  <si>
    <t>Plum Blossom Tree Slogan Print Kangaroo Pocket Hoodie</t>
  </si>
  <si>
    <t>Sale from $26 — fast fashion</t>
  </si>
  <si>
    <t>Landscape Pattern Floral Graphic Color Block Pullover</t>
  </si>
  <si>
    <t>Sweatshirt</t>
  </si>
  <si>
    <t>Budget graphic pullover</t>
  </si>
  <si>
    <t>Embroidered Wildlife Hoodie, Large</t>
  </si>
  <si>
    <t>FOUNDUS</t>
  </si>
  <si>
    <t>Premium embroidered — high anchor</t>
  </si>
  <si>
    <t>Painters Pullover Sweatshirt, Large</t>
  </si>
  <si>
    <t>Premium brand — $114 sale</t>
  </si>
  <si>
    <t>Google Shopping Summary: Japanese Hoodie</t>
  </si>
  <si>
    <t>Budget range: $22-$50 | Premium: $100-$310 | Sweet spot for AOP: $49-$70</t>
  </si>
  <si>
    <t>2. AOP Gothic Dress — Google Shopping</t>
  </si>
  <si>
    <t>ROMWE Gothic Punk Dark Palace Low-Cut Dress</t>
  </si>
  <si>
    <t>Dress</t>
  </si>
  <si>
    <t>Budget AOP gothic</t>
  </si>
  <si>
    <t>Gothic Elegant Long Dress, Colorful Floral Print, Mesh</t>
  </si>
  <si>
    <t>Mid-range with mesh detail</t>
  </si>
  <si>
    <t>Gothic Retro Star &amp; Moon Allover Print Off Shoulder Dress</t>
  </si>
  <si>
    <t>Celestial × Gothic crossover</t>
  </si>
  <si>
    <t>Gothic Style Plant Mushroom Print Waistband Shirt Dress</t>
  </si>
  <si>
    <t>Sale from $26 — cottagecore gothic</t>
  </si>
  <si>
    <t>Gothic Dark Castle Print Loose Plus Size Women Dress</t>
  </si>
  <si>
    <t>Plus size AOP</t>
  </si>
  <si>
    <t>Hourglow Plus Size Goth Dress, Y2K Party Halloween</t>
  </si>
  <si>
    <t>Y2K × Gothic crossover, free shipping</t>
  </si>
  <si>
    <t>ROMWE Gothic Dark Witch Lace Patchwork Doll Print Short Dress</t>
  </si>
  <si>
    <t>Budget gothic — lowest price</t>
  </si>
  <si>
    <t>Google Shopping Summary: Gothic Dress</t>
  </si>
  <si>
    <t>Range: $19-$44 | Dominated by Shein fast fashion | AOP opportunity at $40-$55 for unique designs</t>
  </si>
  <si>
    <t>3. AOP Anime Hoodie — Google Shopping</t>
  </si>
  <si>
    <t>Naruto Itachi Akatsuki Oodie (Hooded Blanket)</t>
  </si>
  <si>
    <t>The Oodie</t>
  </si>
  <si>
    <t>Blanket Hoodie</t>
  </si>
  <si>
    <t>Premium licensed product, 110 reviews</t>
  </si>
  <si>
    <t>Naruto Ramen Oodie (Hooded Blanket)</t>
  </si>
  <si>
    <t>Premium licensed, 10 reviews</t>
  </si>
  <si>
    <t>Budget graphic hoodie</t>
  </si>
  <si>
    <t>Unisex Oversized Anime Printed Casual Hoodie</t>
  </si>
  <si>
    <t>tedlookUS</t>
  </si>
  <si>
    <t>Mid-range, on sale $38.44</t>
  </si>
  <si>
    <t>SHEIN Tween Boy Japanese Anime Graphic Sweatshirt</t>
  </si>
  <si>
    <t>Youth/kids, sale from $17</t>
  </si>
  <si>
    <t>Google Shopping Summary: Anime Hoodie</t>
  </si>
  <si>
    <t>Range: $13-$129 | Licensed products anchor high | Original AOP sweet spot: $45-$65</t>
  </si>
  <si>
    <t>ETSY — VERIFIED PRICES (CAD → USD conversion at 1.36)</t>
  </si>
  <si>
    <t>Search Query</t>
  </si>
  <si>
    <t>Results Found</t>
  </si>
  <si>
    <t>Sample Prices (CAD)</t>
  </si>
  <si>
    <t>Price Range CAD</t>
  </si>
  <si>
    <t>Price Range USD</t>
  </si>
  <si>
    <t>Median CAD</t>
  </si>
  <si>
    <t>Median USD</t>
  </si>
  <si>
    <t>Sample Titles</t>
  </si>
  <si>
    <t>Confirms Yoycol?</t>
  </si>
  <si>
    <t>CA$220, $238, $173, $119, $116, $86</t>
  </si>
  <si>
    <t>CA$86-$477</t>
  </si>
  <si>
    <t>$63-$351</t>
  </si>
  <si>
    <t>CA$173</t>
  </si>
  <si>
    <t>$127</t>
  </si>
  <si>
    <t>Luxury Floral Bomber, Phoenix Sakura Sukajan, Sunflower AOP, Japanese Dragon</t>
  </si>
  <si>
    <t>YES — Yoycol $29.50 COGS = 77% margin at $127</t>
  </si>
  <si>
    <t>AOP Galaxy Leggings</t>
  </si>
  <si>
    <t>CA$87, $63, $79, $84, $100, $57</t>
  </si>
  <si>
    <t>CA$45-$160</t>
  </si>
  <si>
    <t>$33-$118</t>
  </si>
  <si>
    <t>CA$80</t>
  </si>
  <si>
    <t>$59</t>
  </si>
  <si>
    <t>Aurora Galaxy Leggings, Outer Space AOP, Dragon Scales, Starry Night</t>
  </si>
  <si>
    <t>YES — Yoycol $19.50 COGS = 67% margin at $59</t>
  </si>
  <si>
    <t>AOP Sweatshirt Anime</t>
  </si>
  <si>
    <t>CA$63, $84, $93, $208, $62, $47</t>
  </si>
  <si>
    <t>CA$14-$208</t>
  </si>
  <si>
    <t>$10-$153</t>
  </si>
  <si>
    <t>CA$78</t>
  </si>
  <si>
    <t>$57</t>
  </si>
  <si>
    <t>Japanese Dragon Folklore Hoodie, Celestial Queen, Kitsune Hoodie, JJK Anime</t>
  </si>
  <si>
    <t>YES — Yoycol $22 COGS = 61% margin at $57</t>
  </si>
  <si>
    <t>CA$183, $191, $76, $108, $199, $736</t>
  </si>
  <si>
    <t>CA$33-$736</t>
  </si>
  <si>
    <t>$24-$541</t>
  </si>
  <si>
    <t>CA$143</t>
  </si>
  <si>
    <t>$105</t>
  </si>
  <si>
    <t>Vintage Surf Style, Custom Damask, Leopard Print, Rose Floral AOP</t>
  </si>
  <si>
    <t>YES — Yoycol $27 COGS = 74% margin at $105</t>
  </si>
  <si>
    <t>CA$43, $57, $74, $87, $69, $77</t>
  </si>
  <si>
    <t>CA$11-$186</t>
  </si>
  <si>
    <t>$8-$137</t>
  </si>
  <si>
    <t>CA$72</t>
  </si>
  <si>
    <t>$53</t>
  </si>
  <si>
    <t>Cargo Pocket Jogger, Custom AOP Sweatpants, Gothic Streetwear, Dragon Print</t>
  </si>
  <si>
    <t>YES — Yoycol $22.50 COGS = 58% margin at $53</t>
  </si>
  <si>
    <t>AOP Dress Gothic/Celestial</t>
  </si>
  <si>
    <t>CA$32, $71, $137, $218, $64, $86</t>
  </si>
  <si>
    <t>CA$17-$406</t>
  </si>
  <si>
    <t>$13-$299</t>
  </si>
  <si>
    <t>CA$68</t>
  </si>
  <si>
    <t>$50</t>
  </si>
  <si>
    <t>Moon Phases Dress, Witchy Cicada Wrap, Mystic Moth Goth, Celestial Galaxy</t>
  </si>
  <si>
    <t>YES — Yoycol $23 COGS = 54% margin at $50</t>
  </si>
  <si>
    <t>CROSS-PLATFORM PRICE VERIFICATION SUMMARY</t>
  </si>
  <si>
    <t>Google Shopping Range</t>
  </si>
  <si>
    <t>Etsy Range (USD)</t>
  </si>
  <si>
    <t>Yoycol Scraped Avg</t>
  </si>
  <si>
    <t>Browser Verified Avg</t>
  </si>
  <si>
    <t>Yoycol COGS</t>
  </si>
  <si>
    <t>Verified Profit/Unit</t>
  </si>
  <si>
    <t>Verified Margin %</t>
  </si>
  <si>
    <t>Status</t>
  </si>
  <si>
    <t>$22-$310</t>
  </si>
  <si>
    <t>$35-$95</t>
  </si>
  <si>
    <t>$62.69</t>
  </si>
  <si>
    <t>$55</t>
  </si>
  <si>
    <t>CONFIRMED</t>
  </si>
  <si>
    <t>$19-$44</t>
  </si>
  <si>
    <t>$120.36</t>
  </si>
  <si>
    <t>$45-$60 (web)</t>
  </si>
  <si>
    <t>$93.64</t>
  </si>
  <si>
    <t>CONFIRMED - HIGHER</t>
  </si>
  <si>
    <t>$35-$75 (web)</t>
  </si>
  <si>
    <t>$65.26</t>
  </si>
  <si>
    <t>$20-$60 (web)</t>
  </si>
  <si>
    <t>$61.11</t>
  </si>
  <si>
    <t>$40-$80 (web)</t>
  </si>
  <si>
    <t>$81.76</t>
  </si>
  <si>
    <t>$30-$65 (web)</t>
  </si>
  <si>
    <t>$54.64</t>
  </si>
  <si>
    <t>$15-$40 (web)</t>
  </si>
  <si>
    <t>$15-$50</t>
  </si>
  <si>
    <t>$35.82</t>
  </si>
  <si>
    <t>$25</t>
  </si>
  <si>
    <t>$15-$35 (web)</t>
  </si>
  <si>
    <t>$27.03</t>
  </si>
  <si>
    <t>KEY FINDINGS FROM BROWSER VERIFICATION</t>
  </si>
  <si>
    <t>1.</t>
  </si>
  <si>
    <t>ALL 9 Yoycol product categories CONFIRMED profitable at browser-verified market prices.</t>
  </si>
  <si>
    <t>2.</t>
  </si>
  <si>
    <t>AOP Bomber Jacket and AOP Windbreaker show HIGHER margins than Yoycol analysis predicted (Etsy premiums).</t>
  </si>
  <si>
    <t>3.</t>
  </si>
  <si>
    <t>Google Shopping dominated by Shein fast-fashion at $13-$44 — clear AOP differentiation opportunity at $45-$70.</t>
  </si>
  <si>
    <t>4.</t>
  </si>
  <si>
    <t>Etsy prices consistently 40-100% higher than Google Shopping — confirms Etsy is the premium channel.</t>
  </si>
  <si>
    <t>5.</t>
  </si>
  <si>
    <t>Gothic Dress has the LARGEST keyword gap: 22,200 searches/mo but Google Shopping has only fast-fashion. AOP is underserved.</t>
  </si>
  <si>
    <t>6.</t>
  </si>
  <si>
    <t>Anime products show highest price ceiling when using original art (vs. licensed IP risk at lower tier).</t>
  </si>
  <si>
    <t>7.</t>
  </si>
  <si>
    <t>Windbreaker is a hidden gem: Low "AOP windbreaker" search vol (0) but "custom windbreaker" = 590/mo, Etsy median $105 USD.</t>
  </si>
  <si>
    <t>8.</t>
  </si>
  <si>
    <t>Yoycol COGS advantage vs Printify confirmed: 30-60% lower across all categories.</t>
  </si>
  <si>
    <t>NICHE OPPORTUNITY ANALYSIS — PRODUCT × DESIGN MATRIX</t>
  </si>
  <si>
    <t>Score = Demand (40pts) + Profit Potential (40pts) + Margin (20pts). Yoycol COGS includes shipping at 5-10 day level.</t>
  </si>
  <si>
    <t>TOP PRODUCT × NICHE COMBINATIONS (Ranked by Opportunity Score)</t>
  </si>
  <si>
    <t>Rank</t>
  </si>
  <si>
    <t>Top Niche</t>
  </si>
  <si>
    <t>Niche Keywords Vol/mo</t>
  </si>
  <si>
    <t>Verified Retail Avg</t>
  </si>
  <si>
    <t>Marketplace Results</t>
  </si>
  <si>
    <t>Signal</t>
  </si>
  <si>
    <t>Recommendation</t>
  </si>
  <si>
    <t>Japanese Art</t>
  </si>
  <si>
    <t>1,900+1,300+140</t>
  </si>
  <si>
    <t>STRONG BUY</t>
  </si>
  <si>
    <t>Highest demand + Yoycol cost advantage. Lead product.</t>
  </si>
  <si>
    <t>Gothic/Skull</t>
  </si>
  <si>
    <t>1,600+1,900</t>
  </si>
  <si>
    <t>Proven Etsy niche. Seasonal Oct-Jan peak.</t>
  </si>
  <si>
    <t>8,100</t>
  </si>
  <si>
    <t>Massive keyword vol. Gen Z audience. Original art only.</t>
  </si>
  <si>
    <t>22,200</t>
  </si>
  <si>
    <t>HUGE keyword vol + highest margin. Underserved AOP.</t>
  </si>
  <si>
    <t>2,900</t>
  </si>
  <si>
    <t>Strong keyword + low competition. Boho women ICP.</t>
  </si>
  <si>
    <t>Galaxy/Nebula</t>
  </si>
  <si>
    <t>2,400</t>
  </si>
  <si>
    <t>BUY</t>
  </si>
  <si>
    <t>Evergreen niche. Works on hoodie + leggings + joggers.</t>
  </si>
  <si>
    <t>Wolf/Animal</t>
  </si>
  <si>
    <t>3,600+1,000</t>
  </si>
  <si>
    <t>Broadest demographic. Wolf + fox + bear.</t>
  </si>
  <si>
    <t>AOP Bomber</t>
  </si>
  <si>
    <t>590</t>
  </si>
  <si>
    <t>Unique product-niche combo. Low comp, decent margin.</t>
  </si>
  <si>
    <t>1,000</t>
  </si>
  <si>
    <t>Mid-tier pricing sweet spot. Growing keyword.</t>
  </si>
  <si>
    <t>Celestial/Boho</t>
  </si>
  <si>
    <t>210+260</t>
  </si>
  <si>
    <t>Proven Etsy bestseller (ISHIRTLAB model). Boho women.</t>
  </si>
  <si>
    <t>Strong keyword + low comp. Yoga/activewear crossover.</t>
  </si>
  <si>
    <t>90</t>
  </si>
  <si>
    <t>Niche but passionate audience. Higher perceived value.</t>
  </si>
  <si>
    <t>HOLD</t>
  </si>
  <si>
    <t>Huge volume but very trend-dependent. Fast fashion risk.</t>
  </si>
  <si>
    <t>320</t>
  </si>
  <si>
    <t>Seasonal (spring). Lower keyword vol.</t>
  </si>
  <si>
    <t>140</t>
  </si>
  <si>
    <t>Decent margin but low search demand.</t>
  </si>
  <si>
    <t>Mushroom/Cottagecore</t>
  </si>
  <si>
    <t>590+320</t>
  </si>
  <si>
    <t>Loyal repeat buyers. Smaller niche.</t>
  </si>
  <si>
    <t>Custom/Graphic</t>
  </si>
  <si>
    <t>590+170</t>
  </si>
  <si>
    <t>Low AOP-specific demand. Good margin if audience found.</t>
  </si>
  <si>
    <t>Botanical/Anime</t>
  </si>
  <si>
    <t>880+320</t>
  </si>
  <si>
    <t>Summer seasonal. Low per-unit profit.</t>
  </si>
  <si>
    <t>Graphic</t>
  </si>
  <si>
    <t>1,200</t>
  </si>
  <si>
    <t>Crowded market. Low margin. Volume play only.</t>
  </si>
  <si>
    <t>20</t>
  </si>
  <si>
    <t>WEAK</t>
  </si>
  <si>
    <t>Tiny keyword vol. Very niche.</t>
  </si>
  <si>
    <t>DESIGN STYLE &amp; THEME ANALYSIS</t>
  </si>
  <si>
    <t>Theme frequency from Yoycol marketplace scrape + keyword volume verification</t>
  </si>
  <si>
    <t>Theme</t>
  </si>
  <si>
    <t>Marketplace Count</t>
  </si>
  <si>
    <t>Total Keyword Vol/mo</t>
  </si>
  <si>
    <t>Top Product Types</t>
  </si>
  <si>
    <t>Botanical/Floral</t>
  </si>
  <si>
    <t>63,900</t>
  </si>
  <si>
    <t>Dress, Hoodie, Leggings</t>
  </si>
  <si>
    <t>"floral dress" 60.5K vol. Cottagecore crossover. Spring peak.</t>
  </si>
  <si>
    <t>8,210</t>
  </si>
  <si>
    <t>Hoodie, Bomber, Windbreaker</t>
  </si>
  <si>
    <t>8.1K "y2k hoodie". Gen Z audience. Trend-dependent.</t>
  </si>
  <si>
    <t>25,720</t>
  </si>
  <si>
    <t>Dress, Hoodie, Bomber</t>
  </si>
  <si>
    <t>"gothic dress" 22.2K vol. Year-round + Oct peak.</t>
  </si>
  <si>
    <t>10,740</t>
  </si>
  <si>
    <t>Hoodie, Dress, Sweatshirt</t>
  </si>
  <si>
    <t>Multiple sub-niches (koi, dragon, wave). Premium pricing.</t>
  </si>
  <si>
    <t>3,370</t>
  </si>
  <si>
    <t>Dress, Hoodie, Sweatshirt</t>
  </si>
  <si>
    <t>Proven Etsy bestseller. Boho women ICP match.</t>
  </si>
  <si>
    <t>Animal/Wolf</t>
  </si>
  <si>
    <t>5,600</t>
  </si>
  <si>
    <t>Hoodie, Sweatshirt</t>
  </si>
  <si>
    <t>Broadest demo appeal. Wolf 3.6K + skull 1.9K.</t>
  </si>
  <si>
    <t>5,440</t>
  </si>
  <si>
    <t>Hoodie, Leggings, Joggers</t>
  </si>
  <si>
    <t>Evergreen niche. Works across multiple products.</t>
  </si>
  <si>
    <t>Anime/Manga</t>
  </si>
  <si>
    <t>9,690</t>
  </si>
  <si>
    <t>Hoodie, Bomber, Sweatshirt</t>
  </si>
  <si>
    <t>Massive growth. 8.1K hoodie + 1K sweatshirt. Original art only.</t>
  </si>
  <si>
    <t>Spiritual/Mystical</t>
  </si>
  <si>
    <t>340</t>
  </si>
  <si>
    <t>Leggings, Hoodie</t>
  </si>
  <si>
    <t>Low keyword vol. Yoga/meditation crossover niche.</t>
  </si>
  <si>
    <t>-</t>
  </si>
  <si>
    <t>980</t>
  </si>
  <si>
    <t>Hoodie, Sweatshirt, Leggings</t>
  </si>
  <si>
    <t>Loyal audience. Repeat buyers. Small but growing.</t>
  </si>
  <si>
    <t>Norse</t>
  </si>
  <si>
    <t>&lt;100</t>
  </si>
  <si>
    <t>Passionate but tiny. Sep-Nov seasonal.</t>
  </si>
  <si>
    <t>PRICING STRATEGY — YOYCOL COGS vs VERIFIED MARKET PRICES</t>
  </si>
  <si>
    <t>All COGS include Yoycol base + 5-10 day shipping ($7-$9.50). Sale = perpetual 50% off listed price. Etsy fees ~13%.</t>
  </si>
  <si>
    <t>Suggested Sale Price</t>
  </si>
  <si>
    <t>Listed Price (2×)</t>
  </si>
  <si>
    <t>Etsy Fees (13%)</t>
  </si>
  <si>
    <t>Net Profit</t>
  </si>
  <si>
    <t>Net Margin %</t>
  </si>
  <si>
    <t>Price Positioning</t>
  </si>
  <si>
    <t>Monthly Vol Target</t>
  </si>
  <si>
    <t>Monthly Revenue Target</t>
  </si>
  <si>
    <t>Japanese/Gothic</t>
  </si>
  <si>
    <t>Mid-Premium</t>
  </si>
  <si>
    <t>20-40</t>
  </si>
  <si>
    <t>$1,200-$2,400</t>
  </si>
  <si>
    <t>Anime/Y2K</t>
  </si>
  <si>
    <t>30-50</t>
  </si>
  <si>
    <t>$1,500-$2,500</t>
  </si>
  <si>
    <t>15-30</t>
  </si>
  <si>
    <t>$750-$1,500</t>
  </si>
  <si>
    <t>Celestial/Botanical</t>
  </si>
  <si>
    <t>15-25</t>
  </si>
  <si>
    <t>$675-$1,125</t>
  </si>
  <si>
    <t>Anime/Gothic</t>
  </si>
  <si>
    <t>10-20</t>
  </si>
  <si>
    <t>$650-$1,300</t>
  </si>
  <si>
    <t>Anime/Japanese</t>
  </si>
  <si>
    <t>25-40</t>
  </si>
  <si>
    <t>$1,125-$1,800</t>
  </si>
  <si>
    <t>$550-$1,100</t>
  </si>
  <si>
    <t>Galaxy/Anime</t>
  </si>
  <si>
    <t>Budget-Mid</t>
  </si>
  <si>
    <t>20-35</t>
  </si>
  <si>
    <t>$700-$1,225</t>
  </si>
  <si>
    <t>Galaxy/Animal</t>
  </si>
  <si>
    <t>$750-$1,250</t>
  </si>
  <si>
    <t>Graphic/Y2K</t>
  </si>
  <si>
    <t>40-60</t>
  </si>
  <si>
    <t>$1,000-$1,500</t>
  </si>
  <si>
    <t>SEASONAL KEYWORD TRENDS — VERIFIED VIA KEYWORDS EVERYWHERE</t>
  </si>
  <si>
    <t>RECOMMENDED SHOP STRATEGY — YOYCOL + ETSY</t>
  </si>
  <si>
    <t>Priority</t>
  </si>
  <si>
    <t>Product × Niche</t>
  </si>
  <si>
    <t>Est. Monthly Search Vol</t>
  </si>
  <si>
    <t>Products to Launch</t>
  </si>
  <si>
    <t>Why This First</t>
  </si>
  <si>
    <t>1 - LAUNCH</t>
  </si>
  <si>
    <t>AOP Hoodie × Japanese Art</t>
  </si>
  <si>
    <t>3,340/mo</t>
  </si>
  <si>
    <t>$27</t>
  </si>
  <si>
    <t>$59.99</t>
  </si>
  <si>
    <t>10-15 designs</t>
  </si>
  <si>
    <t>$1,500-$3,000</t>
  </si>
  <si>
    <t>Highest demand + best margin. Already have AOP pipeline.</t>
  </si>
  <si>
    <t>2 - LAUNCH</t>
  </si>
  <si>
    <t>AOP Hoodie × Gothic/Skull</t>
  </si>
  <si>
    <t>3,500/mo</t>
  </si>
  <si>
    <t>$54.99</t>
  </si>
  <si>
    <t>$1,200-$2,500</t>
  </si>
  <si>
    <t>Proven Etsy niche. Year-round demand + Oct peak.</t>
  </si>
  <si>
    <t>3 - LAUNCH</t>
  </si>
  <si>
    <t>AOP Hoodie × Anime</t>
  </si>
  <si>
    <t>8,100/mo</t>
  </si>
  <si>
    <t>$49.99</t>
  </si>
  <si>
    <t>Massive vol. Must be original art. Gen Z audience.</t>
  </si>
  <si>
    <t>4 - EXPAND</t>
  </si>
  <si>
    <t>AOP Dress × Gothic</t>
  </si>
  <si>
    <t>Low AOP</t>
  </si>
  <si>
    <t>$23</t>
  </si>
  <si>
    <t>8-12 designs</t>
  </si>
  <si>
    <t>HUGE keyword gap for AOP dresses. 67.9% margin.</t>
  </si>
  <si>
    <t>5 - EXPAND</t>
  </si>
  <si>
    <t>AOP Bomber × Anime</t>
  </si>
  <si>
    <t>590/mo</t>
  </si>
  <si>
    <t>Very Low</t>
  </si>
  <si>
    <t>$29.50</t>
  </si>
  <si>
    <t>$64.99</t>
  </si>
  <si>
    <t>5-8 designs</t>
  </si>
  <si>
    <t>Unique product. Almost no AOP bomber competition.</t>
  </si>
  <si>
    <t>6 - EXPAND</t>
  </si>
  <si>
    <t>AOP Leggings × Galaxy</t>
  </si>
  <si>
    <t>2,900/mo</t>
  </si>
  <si>
    <t>$19.50</t>
  </si>
  <si>
    <t>$34.99</t>
  </si>
  <si>
    <t>Yoga/activewear crossover. Works with hoodie designs.</t>
  </si>
  <si>
    <t>7 - TEST</t>
  </si>
  <si>
    <t>AOP Sweatshirt × Anime</t>
  </si>
  <si>
    <t>1,000/mo</t>
  </si>
  <si>
    <t>$22</t>
  </si>
  <si>
    <t>$44.99</t>
  </si>
  <si>
    <t>$500-$900</t>
  </si>
  <si>
    <t>Mid-tier price point. Reuse hoodie artwork.</t>
  </si>
  <si>
    <t>8 - TEST</t>
  </si>
  <si>
    <t>AOP Dress × Celestial</t>
  </si>
  <si>
    <t>Boho women ICP. Strong Etsy audience.</t>
  </si>
  <si>
    <t>REVISED STRATEGY — After Visual Design Verification</t>
  </si>
  <si>
    <t>Channel</t>
  </si>
  <si>
    <t>Yoycol COGS (incl. ship)</t>
  </si>
  <si>
    <t>Sale Price</t>
  </si>
  <si>
    <t>Est. Profit</t>
  </si>
  <si>
    <t>Margin</t>
  </si>
  <si>
    <t>Rationale</t>
  </si>
  <si>
    <t>1. LAUNCH</t>
  </si>
  <si>
    <t>$18.09</t>
  </si>
  <si>
    <t>$38.53</t>
  </si>
  <si>
    <t>59.3%</t>
  </si>
  <si>
    <t>Highest volume (49,500 "graphic hoodie"/mo), exact product match, no Shein overlap</t>
  </si>
  <si>
    <t>2. LAUNCH</t>
  </si>
  <si>
    <t>AOP Hoodie × Celestial/Boho</t>
  </si>
  <si>
    <t>Strong niche, ICP alignment (women 22-34), proven on Etsy</t>
  </si>
  <si>
    <t>3. LAUNCH</t>
  </si>
  <si>
    <t>AOP Bomber × Japanese Art</t>
  </si>
  <si>
    <t>$25.50</t>
  </si>
  <si>
    <t>$79.99</t>
  </si>
  <si>
    <t>$43.30</t>
  </si>
  <si>
    <t>54.1%</t>
  </si>
  <si>
    <t>Highest margin product, low competition, unique in market</t>
  </si>
  <si>
    <t>4. EXPAND</t>
  </si>
  <si>
    <t>AOP Hoodie × Mushroom/Cottagecore</t>
  </si>
  <si>
    <t>Etsy-native niche, strong buyer intent</t>
  </si>
  <si>
    <t>5. EXPAND</t>
  </si>
  <si>
    <t>AOP Windbreaker × Gothic Art</t>
  </si>
  <si>
    <t>$22.00</t>
  </si>
  <si>
    <t>$69.99</t>
  </si>
  <si>
    <t>$38.59</t>
  </si>
  <si>
    <t>55.1%</t>
  </si>
  <si>
    <t>Niche outerwear, moderate demand</t>
  </si>
  <si>
    <t>6. TEST</t>
  </si>
  <si>
    <t>AOP Dress × Celestial/Botanical</t>
  </si>
  <si>
    <t>$20.79</t>
  </si>
  <si>
    <t>$39.99</t>
  </si>
  <si>
    <t>$13.80</t>
  </si>
  <si>
    <t>34.5%</t>
  </si>
  <si>
    <t>Only Etsy — avoid Google Shopping. Lower margin but fills catalog.</t>
  </si>
  <si>
    <t>7. TEST</t>
  </si>
  <si>
    <t>$16.09</t>
  </si>
  <si>
    <t>$27.40</t>
  </si>
  <si>
    <t>54.8%</t>
  </si>
  <si>
    <t>Watch for Shein cannibalization at $12-$25 range</t>
  </si>
  <si>
    <t>8. AVOID</t>
  </si>
  <si>
    <t>AOP Dress × Gothic (Google Shopping)</t>
  </si>
  <si>
    <t>DO NOT TARGET</t>
  </si>
  <si>
    <t>Gothic dress buyers want velvet/corset/lace construction, NOT polyester sublimation prints</t>
  </si>
  <si>
    <t>SUPPLIER COST COMPARISON: YOYCOL vs PRINTIFY</t>
  </si>
  <si>
    <t>Yoycol includes 5-10 day shipping level. Printify costs from Premium plan. Both exclude Etsy fees.</t>
  </si>
  <si>
    <t>Yoycol Base</t>
  </si>
  <si>
    <t>Yoycol Ship</t>
  </si>
  <si>
    <t>Yoycol Total</t>
  </si>
  <si>
    <t>Printify Base</t>
  </si>
  <si>
    <t>Printify Ship</t>
  </si>
  <si>
    <t>Printify Total</t>
  </si>
  <si>
    <t>Savings ($)</t>
  </si>
  <si>
    <t>Savings (%)</t>
  </si>
  <si>
    <t>Yoycol wins decisively</t>
  </si>
  <si>
    <t>Yoycol wins</t>
  </si>
  <si>
    <t>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</si>
</sst>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
  </numFmts>
  <fonts count="33" x14ac:knownFonts="1">
    <font>
      <sz val="11"/>
      <color theme="1"/>
      <name val="Calibri"/>
      <family val="2"/>
      <charset val="1"/>
    </font>
    <font>
      <b/>
      <sz val="16"/>
      <color rgb="FF1B1B2F"/>
      <name val="Arial"/>
      <family val="2"/>
    </font>
    <font>
      <sz val="9"/>
      <color rgb="FF666666"/>
      <name val="Arial"/>
      <family val="2"/>
    </font>
    <font>
      <b/>
      <sz val="12"/>
      <color rgb="FF1F4068"/>
      <name val="Arial"/>
      <family val="2"/>
    </font>
    <font>
      <b/>
      <sz val="10"/>
      <color rgb="FF333333"/>
      <name val="Arial"/>
      <family val="2"/>
    </font>
    <font>
      <b/>
      <sz val="11"/>
      <color rgb="FF1F4068"/>
      <name val="Arial"/>
      <family val="2"/>
    </font>
    <font>
      <b/>
      <sz val="10"/>
      <color rgb="FFFFFFFF"/>
      <name val="Arial"/>
      <family val="2"/>
    </font>
    <font>
      <sz val="10"/>
      <color rgb="FF333333"/>
      <name val="Arial"/>
      <family val="2"/>
    </font>
    <font>
      <b/>
      <sz val="12"/>
      <color rgb="FFFF0000"/>
      <name val="Arial"/>
      <family val="2"/>
    </font>
    <font>
      <sz val="10"/>
      <color rgb="FFFF0000"/>
      <name val="Arial"/>
      <family val="2"/>
    </font>
    <font>
      <sz val="10"/>
      <color rgb="FF008000"/>
      <name val="Arial"/>
      <family val="2"/>
    </font>
    <font>
      <sz val="10"/>
      <color rgb="FF2F5496"/>
      <name val="Arial"/>
      <family val="2"/>
    </font>
    <font>
      <b/>
      <sz val="14"/>
      <color rgb="FF2F5496"/>
      <name val="Arial"/>
      <family val="2"/>
    </font>
    <font>
      <b/>
      <sz val="11"/>
      <color rgb="FFFF0000"/>
      <name val="Arial"/>
      <family val="2"/>
    </font>
    <font>
      <b/>
      <sz val="12"/>
      <color rgb="FF2F5496"/>
      <name val="Arial"/>
      <family val="2"/>
    </font>
    <font>
      <b/>
      <sz val="12"/>
      <color rgb="FFFFFFFF"/>
      <name val="Arial"/>
      <family val="2"/>
    </font>
    <font>
      <sz val="10"/>
      <name val="Arial"/>
      <family val="2"/>
    </font>
    <font>
      <b/>
      <sz val="10"/>
      <color rgb="FFFF0000"/>
      <name val="Arial"/>
      <family val="2"/>
    </font>
    <font>
      <b/>
      <sz val="10"/>
      <color rgb="FFFF8C00"/>
      <name val="Arial"/>
      <family val="2"/>
    </font>
    <font>
      <b/>
      <sz val="12"/>
      <color rgb="FF008000"/>
      <name val="Arial"/>
      <family val="2"/>
    </font>
    <font>
      <b/>
      <sz val="10"/>
      <color rgb="FF008000"/>
      <name val="Arial"/>
      <family val="2"/>
    </font>
    <font>
      <b/>
      <sz val="11"/>
      <color rgb="FF2F5496"/>
      <name val="Arial"/>
      <family val="2"/>
    </font>
    <font>
      <sz val="10"/>
      <color rgb="FFFF8C00"/>
      <name val="Arial"/>
      <family val="2"/>
    </font>
    <font>
      <sz val="11"/>
      <name val="Arial"/>
      <family val="2"/>
    </font>
    <font>
      <sz val="11"/>
      <color rgb="FFC62828"/>
      <name val="Arial"/>
      <family val="2"/>
    </font>
    <font>
      <b/>
      <sz val="13"/>
      <color rgb="FF2F5496"/>
      <name val="Arial"/>
      <family val="2"/>
    </font>
    <font>
      <sz val="10"/>
      <color rgb="FFC62828"/>
      <name val="Arial"/>
      <family val="2"/>
    </font>
    <font>
      <b/>
      <sz val="10"/>
      <color rgb="FF2E7D32"/>
      <name val="Arial"/>
      <family val="2"/>
    </font>
    <font>
      <b/>
      <sz val="10"/>
      <color rgb="FF1B5E20"/>
      <name val="Arial"/>
      <family val="2"/>
    </font>
    <font>
      <b/>
      <sz val="10"/>
      <color rgb="FFF57F17"/>
      <name val="Arial"/>
      <family val="2"/>
    </font>
    <font>
      <b/>
      <sz val="10"/>
      <color rgb="FFC62828"/>
      <name val="Arial"/>
      <family val="2"/>
    </font>
    <font>
      <b/>
      <sz val="10"/>
      <color rgb="FFE65100"/>
      <name val="Arial"/>
      <family val="2"/>
    </font>
    <font>
      <b/>
      <sz val="10"/>
      <color rgb="FF2F5496"/>
      <name val="Arial"/>
      <family val="2"/>
    </font>
  </fonts>
  <fills count="17">
    <fill>
      <patternFill patternType="none"/>
    </fill>
    <fill>
      <patternFill patternType="gray125"/>
    </fill>
    <fill>
      <patternFill patternType="solid">
        <fgColor rgb="FF162447"/>
        <bgColor rgb="FF1B1B2F"/>
      </patternFill>
    </fill>
    <fill>
      <patternFill patternType="solid">
        <fgColor rgb="FFE8EAF6"/>
        <bgColor rgb="FFE3F2FD"/>
      </patternFill>
    </fill>
    <fill>
      <patternFill patternType="solid">
        <fgColor rgb="FFFCE4EC"/>
        <bgColor rgb="FFFFF0F0"/>
      </patternFill>
    </fill>
    <fill>
      <patternFill patternType="solid">
        <fgColor rgb="FFFFF0F0"/>
        <bgColor rgb="FFFCE4EC"/>
      </patternFill>
    </fill>
    <fill>
      <patternFill patternType="solid">
        <fgColor rgb="FFE8F5E9"/>
        <bgColor rgb="FFE3F2FD"/>
      </patternFill>
    </fill>
    <fill>
      <patternFill patternType="solid">
        <fgColor rgb="FFE3F2FD"/>
        <bgColor rgb="FFE8EAF6"/>
      </patternFill>
    </fill>
    <fill>
      <patternFill patternType="solid">
        <fgColor rgb="FFD6E4F0"/>
        <bgColor rgb="FFE8EAF6"/>
      </patternFill>
    </fill>
    <fill>
      <patternFill patternType="solid">
        <fgColor rgb="FF2F5496"/>
        <bgColor rgb="FF1F4068"/>
      </patternFill>
    </fill>
    <fill>
      <patternFill patternType="solid">
        <fgColor rgb="FFFFF2CC"/>
        <bgColor rgb="FFFFF9C4"/>
      </patternFill>
    </fill>
    <fill>
      <patternFill patternType="solid">
        <fgColor rgb="FFC62828"/>
        <bgColor rgb="FFE91E63"/>
      </patternFill>
    </fill>
    <fill>
      <patternFill patternType="solid">
        <fgColor rgb="FFFFCDD2"/>
        <bgColor rgb="FFFFE0B2"/>
      </patternFill>
    </fill>
    <fill>
      <patternFill patternType="solid">
        <fgColor rgb="FFC8E6C9"/>
        <bgColor rgb="FFD6E4F0"/>
      </patternFill>
    </fill>
    <fill>
      <patternFill patternType="solid">
        <fgColor rgb="FFA5D6A7"/>
        <bgColor rgb="FFC8E6C9"/>
      </patternFill>
    </fill>
    <fill>
      <patternFill patternType="solid">
        <fgColor rgb="FFFFF9C4"/>
        <bgColor rgb="FFFFF2CC"/>
      </patternFill>
    </fill>
    <fill>
      <patternFill patternType="solid">
        <fgColor rgb="FFFFE0B2"/>
        <bgColor rgb="FFFFF2CC"/>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auto="1"/>
      </left>
      <right style="thin">
        <color auto="1"/>
      </right>
      <top style="thin">
        <color auto="1"/>
      </top>
      <bottom style="thin">
        <color auto="1"/>
      </bottom>
      <diagonal/>
    </border>
  </borders>
  <cellStyleXfs count="1">
    <xf numFmtId="0" fontId="0" fillId="0" borderId="0"/>
  </cellStyleXfs>
  <cellXfs count="62">
    <xf numFmtId="0" fontId="0" fillId="0" borderId="0" xfId="0"/>
    <xf numFmtId="0" fontId="0" fillId="0" borderId="0" xfId="0" applyAlignment="1"/>
    <xf numFmtId="0" fontId="4" fillId="0" borderId="0" xfId="0" applyFont="1" applyAlignment="1"/>
    <xf numFmtId="0" fontId="5" fillId="0" borderId="0" xfId="0" applyFont="1" applyAlignment="1">
      <alignment horizontal="center" vertical="center" wrapText="1"/>
    </xf>
    <xf numFmtId="0" fontId="2" fillId="0" borderId="0" xfId="0" applyFont="1" applyAlignment="1">
      <alignment horizontal="left" vertical="center" wrapText="1"/>
    </xf>
    <xf numFmtId="0" fontId="6" fillId="2" borderId="1" xfId="0" applyFont="1" applyFill="1" applyBorder="1" applyAlignment="1">
      <alignment horizontal="center" vertical="center" wrapText="1"/>
    </xf>
    <xf numFmtId="0" fontId="7" fillId="0" borderId="1" xfId="0" applyFont="1" applyBorder="1" applyAlignment="1">
      <alignment horizontal="left" vertical="center" wrapText="1"/>
    </xf>
    <xf numFmtId="164" fontId="7" fillId="0" borderId="1" xfId="0" applyNumberFormat="1" applyFont="1" applyBorder="1" applyAlignment="1">
      <alignment horizontal="center" vertical="center" wrapText="1"/>
    </xf>
    <xf numFmtId="0" fontId="7" fillId="0" borderId="1" xfId="0" applyFont="1" applyBorder="1" applyAlignment="1">
      <alignment horizontal="center" vertical="center" wrapText="1"/>
    </xf>
    <xf numFmtId="165" fontId="7" fillId="0" borderId="1" xfId="0" applyNumberFormat="1" applyFont="1" applyBorder="1" applyAlignment="1">
      <alignment horizontal="center" vertical="center" wrapText="1"/>
    </xf>
    <xf numFmtId="0" fontId="7" fillId="3" borderId="1" xfId="0" applyFont="1" applyFill="1" applyBorder="1" applyAlignment="1">
      <alignment horizontal="left" vertical="center" wrapText="1"/>
    </xf>
    <xf numFmtId="164" fontId="7" fillId="3" borderId="1" xfId="0" applyNumberFormat="1" applyFont="1" applyFill="1" applyBorder="1" applyAlignment="1">
      <alignment horizontal="center" vertical="center" wrapText="1"/>
    </xf>
    <xf numFmtId="0" fontId="7" fillId="3" borderId="1" xfId="0" applyFont="1" applyFill="1" applyBorder="1" applyAlignment="1">
      <alignment horizontal="center" vertical="center" wrapText="1"/>
    </xf>
    <xf numFmtId="165" fontId="7" fillId="3" borderId="1" xfId="0" applyNumberFormat="1" applyFont="1" applyFill="1" applyBorder="1" applyAlignment="1">
      <alignment horizontal="center" vertical="center" wrapText="1"/>
    </xf>
    <xf numFmtId="0" fontId="15" fillId="9" borderId="2" xfId="0" applyFont="1" applyFill="1" applyBorder="1" applyAlignment="1">
      <alignment horizontal="center" wrapText="1"/>
    </xf>
    <xf numFmtId="0" fontId="16" fillId="0" borderId="2" xfId="0" applyFont="1" applyBorder="1" applyAlignment="1">
      <alignment vertical="top" wrapText="1"/>
    </xf>
    <xf numFmtId="0" fontId="17" fillId="4" borderId="2" xfId="0" applyFont="1" applyFill="1" applyBorder="1" applyAlignment="1">
      <alignment vertical="top" wrapText="1"/>
    </xf>
    <xf numFmtId="0" fontId="18" fillId="0" borderId="2" xfId="0" applyFont="1" applyBorder="1" applyAlignment="1">
      <alignment vertical="top" wrapText="1"/>
    </xf>
    <xf numFmtId="0" fontId="10" fillId="6" borderId="2" xfId="0" applyFont="1" applyFill="1" applyBorder="1" applyAlignment="1">
      <alignment vertical="top" wrapText="1"/>
    </xf>
    <xf numFmtId="0" fontId="9" fillId="4" borderId="2" xfId="0" applyFont="1" applyFill="1" applyBorder="1" applyAlignment="1">
      <alignment vertical="top" wrapText="1"/>
    </xf>
    <xf numFmtId="0" fontId="20" fillId="6" borderId="2" xfId="0" applyFont="1" applyFill="1" applyBorder="1" applyAlignment="1">
      <alignment vertical="top" wrapText="1"/>
    </xf>
    <xf numFmtId="0" fontId="18" fillId="10" borderId="2" xfId="0" applyFont="1" applyFill="1" applyBorder="1" applyAlignment="1">
      <alignment vertical="top" wrapText="1"/>
    </xf>
    <xf numFmtId="0" fontId="10" fillId="0" borderId="2" xfId="0" applyFont="1" applyBorder="1" applyAlignment="1">
      <alignment vertical="top" wrapText="1"/>
    </xf>
    <xf numFmtId="0" fontId="22" fillId="0" borderId="2" xfId="0" applyFont="1" applyBorder="1" applyAlignment="1">
      <alignment vertical="top" wrapText="1"/>
    </xf>
    <xf numFmtId="0" fontId="9" fillId="0" borderId="2" xfId="0" applyFont="1" applyBorder="1" applyAlignment="1">
      <alignment vertical="top" wrapText="1"/>
    </xf>
    <xf numFmtId="164" fontId="16" fillId="0" borderId="2" xfId="0" applyNumberFormat="1" applyFont="1" applyBorder="1" applyAlignment="1">
      <alignment vertical="top" wrapText="1"/>
    </xf>
    <xf numFmtId="0" fontId="22" fillId="10" borderId="2" xfId="0" applyFont="1" applyFill="1" applyBorder="1" applyAlignment="1">
      <alignment vertical="top" wrapText="1"/>
    </xf>
    <xf numFmtId="3" fontId="7" fillId="0" borderId="1" xfId="0" applyNumberFormat="1" applyFont="1" applyBorder="1" applyAlignment="1">
      <alignment horizontal="center" vertical="center" wrapText="1"/>
    </xf>
    <xf numFmtId="3" fontId="7" fillId="3" borderId="1" xfId="0" applyNumberFormat="1" applyFont="1" applyFill="1" applyBorder="1" applyAlignment="1">
      <alignment horizontal="center" vertical="center" wrapText="1"/>
    </xf>
    <xf numFmtId="0" fontId="3" fillId="0" borderId="0" xfId="0" applyFont="1" applyAlignment="1"/>
    <xf numFmtId="0" fontId="2" fillId="0" borderId="0" xfId="0" applyFont="1" applyAlignment="1"/>
    <xf numFmtId="0" fontId="27" fillId="13" borderId="1" xfId="0" applyFont="1" applyFill="1" applyBorder="1" applyAlignment="1">
      <alignment horizontal="center" vertical="center" wrapText="1"/>
    </xf>
    <xf numFmtId="0" fontId="28" fillId="14" borderId="1" xfId="0" applyFont="1" applyFill="1" applyBorder="1" applyAlignment="1">
      <alignment horizontal="center" vertical="center" wrapText="1"/>
    </xf>
    <xf numFmtId="0" fontId="27" fillId="3" borderId="1" xfId="0" applyFont="1" applyFill="1" applyBorder="1" applyAlignment="1">
      <alignment horizontal="center" vertical="center" wrapText="1"/>
    </xf>
    <xf numFmtId="0" fontId="27" fillId="0" borderId="1" xfId="0" applyFont="1" applyBorder="1" applyAlignment="1">
      <alignment horizontal="center" vertical="center" wrapText="1"/>
    </xf>
    <xf numFmtId="0" fontId="29" fillId="15" borderId="1" xfId="0" applyFont="1" applyFill="1" applyBorder="1" applyAlignment="1">
      <alignment horizontal="center" vertical="center" wrapText="1"/>
    </xf>
    <xf numFmtId="0" fontId="30" fillId="12" borderId="1" xfId="0" applyFont="1" applyFill="1" applyBorder="1" applyAlignment="1">
      <alignment horizontal="center" vertical="center" wrapText="1"/>
    </xf>
    <xf numFmtId="0" fontId="27" fillId="13" borderId="1" xfId="0" applyFont="1" applyFill="1" applyBorder="1" applyAlignment="1">
      <alignment horizontal="left" vertical="center" wrapText="1"/>
    </xf>
    <xf numFmtId="0" fontId="31" fillId="16" borderId="1" xfId="0" applyFont="1" applyFill="1" applyBorder="1" applyAlignment="1">
      <alignment horizontal="left" vertical="center" wrapText="1"/>
    </xf>
    <xf numFmtId="0" fontId="29" fillId="15" borderId="1" xfId="0" applyFont="1" applyFill="1" applyBorder="1" applyAlignment="1">
      <alignment horizontal="left" vertical="center" wrapText="1"/>
    </xf>
    <xf numFmtId="0" fontId="32" fillId="0" borderId="2" xfId="0" applyFont="1" applyBorder="1" applyAlignment="1">
      <alignment vertical="top" wrapText="1"/>
    </xf>
    <xf numFmtId="0" fontId="11" fillId="7" borderId="0" xfId="0" applyFont="1" applyFill="1" applyBorder="1" applyAlignment="1">
      <alignment wrapText="1"/>
    </xf>
    <xf numFmtId="0" fontId="9" fillId="5" borderId="0" xfId="0" applyFont="1" applyFill="1" applyBorder="1" applyAlignment="1">
      <alignment wrapText="1"/>
    </xf>
    <xf numFmtId="0" fontId="10" fillId="6" borderId="0" xfId="0" applyFont="1" applyFill="1" applyBorder="1" applyAlignment="1">
      <alignment wrapText="1"/>
    </xf>
    <xf numFmtId="0" fontId="1" fillId="0" borderId="0" xfId="0" applyFont="1" applyBorder="1" applyAlignment="1">
      <alignment horizontal="center" vertical="center"/>
    </xf>
    <xf numFmtId="0" fontId="2" fillId="0" borderId="0" xfId="0" applyFont="1" applyBorder="1" applyAlignment="1">
      <alignment horizontal="center"/>
    </xf>
    <xf numFmtId="0" fontId="3" fillId="0" borderId="0" xfId="0" applyFont="1" applyBorder="1" applyAlignment="1"/>
    <xf numFmtId="0" fontId="8" fillId="4" borderId="0" xfId="0" applyFont="1" applyFill="1" applyBorder="1"/>
    <xf numFmtId="0" fontId="24" fillId="0" borderId="0" xfId="0" applyFont="1" applyBorder="1"/>
    <xf numFmtId="0" fontId="21" fillId="8" borderId="0" xfId="0" applyFont="1" applyFill="1" applyBorder="1"/>
    <xf numFmtId="0" fontId="14" fillId="8" borderId="0" xfId="0" applyFont="1" applyFill="1" applyBorder="1"/>
    <xf numFmtId="0" fontId="15" fillId="11" borderId="0" xfId="0" applyFont="1" applyFill="1" applyBorder="1"/>
    <xf numFmtId="0" fontId="23" fillId="12" borderId="0" xfId="0" applyFont="1" applyFill="1" applyBorder="1"/>
    <xf numFmtId="0" fontId="12" fillId="0" borderId="0" xfId="0" applyFont="1" applyBorder="1"/>
    <xf numFmtId="0" fontId="13" fillId="0" borderId="0" xfId="0" applyFont="1" applyBorder="1"/>
    <xf numFmtId="0" fontId="19" fillId="6" borderId="0" xfId="0" applyFont="1" applyFill="1" applyBorder="1"/>
    <xf numFmtId="0" fontId="25" fillId="0" borderId="0" xfId="0" applyFont="1" applyBorder="1"/>
    <xf numFmtId="0" fontId="26" fillId="0" borderId="0" xfId="0" applyFont="1" applyBorder="1"/>
    <xf numFmtId="0" fontId="1" fillId="0" borderId="0" xfId="0" applyFont="1" applyBorder="1" applyAlignment="1">
      <alignment horizontal="center" vertical="center" wrapText="1"/>
    </xf>
    <xf numFmtId="0" fontId="7" fillId="0" borderId="0" xfId="0" applyFont="1" applyBorder="1" applyAlignment="1">
      <alignment horizontal="left" vertical="center" wrapText="1"/>
    </xf>
    <xf numFmtId="0" fontId="1" fillId="0" borderId="0" xfId="0" applyFont="1" applyBorder="1" applyAlignment="1">
      <alignment horizontal="center"/>
    </xf>
    <xf numFmtId="0" fontId="2" fillId="0" borderId="0" xfId="0" applyFont="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0F0"/>
      <rgbColor rgb="FFFF00FF"/>
      <rgbColor rgb="FF00FFFF"/>
      <rgbColor rgb="FF800000"/>
      <rgbColor rgb="FF008000"/>
      <rgbColor rgb="FF000080"/>
      <rgbColor rgb="FFE65100"/>
      <rgbColor rgb="FF800080"/>
      <rgbColor rgb="FF2E7D32"/>
      <rgbColor rgb="FFCCCCCC"/>
      <rgbColor rgb="FFF44336"/>
      <rgbColor rgb="FFE8EAF6"/>
      <rgbColor rgb="FF9C27B0"/>
      <rgbColor rgb="FFFFF9C4"/>
      <rgbColor rgb="FFE3F2FD"/>
      <rgbColor rgb="FF660066"/>
      <rgbColor rgb="FFF57F17"/>
      <rgbColor rgb="FF2F5496"/>
      <rgbColor rgb="FFD6E4F0"/>
      <rgbColor rgb="FF000080"/>
      <rgbColor rgb="FFFF00FF"/>
      <rgbColor rgb="FFFFFF00"/>
      <rgbColor rgb="FF00FFFF"/>
      <rgbColor rgb="FF800080"/>
      <rgbColor rgb="FF800000"/>
      <rgbColor rgb="FF008080"/>
      <rgbColor rgb="FF0000FF"/>
      <rgbColor rgb="FF00CCFF"/>
      <rgbColor rgb="FFE8F5E9"/>
      <rgbColor rgb="FFC8E6C9"/>
      <rgbColor rgb="FFFFF2CC"/>
      <rgbColor rgb="FFA5D6A7"/>
      <rgbColor rgb="FFFFCDD2"/>
      <rgbColor rgb="FFFCE4EC"/>
      <rgbColor rgb="FFFFE0B2"/>
      <rgbColor rgb="FF2196F3"/>
      <rgbColor rgb="FF33CCCC"/>
      <rgbColor rgb="FF99CC00"/>
      <rgbColor rgb="FFFF8C00"/>
      <rgbColor rgb="FFFF9800"/>
      <rgbColor rgb="FFFF5722"/>
      <rgbColor rgb="FF666666"/>
      <rgbColor rgb="FF969696"/>
      <rgbColor rgb="FF162447"/>
      <rgbColor rgb="FF4CAF50"/>
      <rgbColor rgb="FF1B5E20"/>
      <rgbColor rgb="FF1B1B2F"/>
      <rgbColor rgb="FFC62828"/>
      <rgbColor rgb="FFE91E63"/>
      <rgbColor rgb="FF1F406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B1B2F"/>
  </sheetPr>
  <dimension ref="A1:J34"/>
  <sheetViews>
    <sheetView topLeftCell="A13" zoomScaleNormal="100" workbookViewId="0">
      <selection activeCell="F10" sqref="F10"/>
    </sheetView>
  </sheetViews>
  <sheetFormatPr defaultColWidth="8.6640625" defaultRowHeight="15" customHeight="1" x14ac:dyDescent="0.3"/>
  <cols>
    <col min="1" max="1" width="22" style="1" customWidth="1"/>
    <col min="2" max="2" width="12" style="1" customWidth="1"/>
    <col min="3" max="3" width="16" style="1" customWidth="1"/>
    <col min="4" max="7" width="12" style="1" customWidth="1"/>
    <col min="8" max="8" width="18" style="1" customWidth="1"/>
    <col min="9" max="9" width="12" style="1" customWidth="1"/>
    <col min="10" max="10" width="10" style="1" customWidth="1"/>
  </cols>
  <sheetData>
    <row r="1" spans="1:10" ht="19.5" customHeight="1" x14ac:dyDescent="0.3">
      <c r="A1" s="44" t="s">
        <v>865</v>
      </c>
      <c r="B1" s="44"/>
      <c r="C1" s="44"/>
      <c r="D1" s="44"/>
      <c r="E1" s="44"/>
      <c r="F1" s="44"/>
      <c r="G1" s="44"/>
      <c r="H1" s="44"/>
      <c r="I1" s="44"/>
      <c r="J1" s="44"/>
    </row>
    <row r="2" spans="1:10" ht="15" customHeight="1" x14ac:dyDescent="0.3">
      <c r="A2" s="45" t="s">
        <v>0</v>
      </c>
      <c r="B2" s="45"/>
      <c r="C2" s="45"/>
      <c r="D2" s="45"/>
      <c r="E2" s="45"/>
      <c r="F2" s="45"/>
      <c r="G2" s="45"/>
      <c r="H2" s="45"/>
      <c r="I2" s="45"/>
      <c r="J2" s="45"/>
    </row>
    <row r="4" spans="1:10" ht="15" customHeight="1" x14ac:dyDescent="0.3">
      <c r="A4" s="46" t="s">
        <v>1</v>
      </c>
      <c r="B4" s="46"/>
      <c r="C4" s="46"/>
      <c r="D4" s="46"/>
    </row>
    <row r="5" spans="1:10" ht="32.25" customHeight="1" x14ac:dyDescent="0.3">
      <c r="A5" s="2" t="s">
        <v>2</v>
      </c>
      <c r="B5" s="3" t="s">
        <v>3</v>
      </c>
      <c r="C5" s="4" t="s">
        <v>4</v>
      </c>
    </row>
    <row r="6" spans="1:10" ht="63.75" customHeight="1" x14ac:dyDescent="0.3">
      <c r="A6" s="2" t="s">
        <v>5</v>
      </c>
      <c r="B6" s="3" t="s">
        <v>6</v>
      </c>
      <c r="C6" s="4" t="s">
        <v>7</v>
      </c>
    </row>
    <row r="7" spans="1:10" ht="42.75" customHeight="1" x14ac:dyDescent="0.3">
      <c r="A7" s="2" t="s">
        <v>8</v>
      </c>
      <c r="B7" s="3" t="s">
        <v>9</v>
      </c>
      <c r="C7" s="4" t="s">
        <v>10</v>
      </c>
    </row>
    <row r="8" spans="1:10" ht="32.25" customHeight="1" x14ac:dyDescent="0.3">
      <c r="A8" s="2" t="s">
        <v>11</v>
      </c>
      <c r="B8" s="3" t="s">
        <v>12</v>
      </c>
      <c r="C8" s="4" t="s">
        <v>13</v>
      </c>
    </row>
    <row r="9" spans="1:10" ht="32.25" customHeight="1" x14ac:dyDescent="0.3">
      <c r="A9" s="2" t="s">
        <v>14</v>
      </c>
      <c r="B9" s="3" t="s">
        <v>15</v>
      </c>
      <c r="C9" s="4" t="s">
        <v>16</v>
      </c>
    </row>
    <row r="10" spans="1:10" ht="42.75" customHeight="1" x14ac:dyDescent="0.3">
      <c r="A10" s="2" t="s">
        <v>17</v>
      </c>
      <c r="B10" s="3" t="s">
        <v>18</v>
      </c>
      <c r="C10" s="4" t="s">
        <v>19</v>
      </c>
    </row>
    <row r="11" spans="1:10" ht="32.25" customHeight="1" x14ac:dyDescent="0.3">
      <c r="A11" s="2" t="s">
        <v>20</v>
      </c>
      <c r="B11" s="3" t="s">
        <v>21</v>
      </c>
      <c r="C11" s="4" t="s">
        <v>22</v>
      </c>
    </row>
    <row r="12" spans="1:10" ht="42.75" customHeight="1" x14ac:dyDescent="0.3">
      <c r="A12" s="2" t="s">
        <v>23</v>
      </c>
      <c r="B12" s="3" t="s">
        <v>24</v>
      </c>
      <c r="C12" s="4" t="s">
        <v>25</v>
      </c>
    </row>
    <row r="15" spans="1:10" ht="15" customHeight="1" x14ac:dyDescent="0.3">
      <c r="A15" s="46" t="s">
        <v>26</v>
      </c>
      <c r="B15" s="46"/>
      <c r="C15" s="46"/>
      <c r="D15" s="46"/>
      <c r="E15" s="46"/>
      <c r="F15" s="46"/>
      <c r="G15" s="46"/>
      <c r="H15" s="46"/>
      <c r="I15" s="46"/>
      <c r="J15" s="46"/>
    </row>
    <row r="16" spans="1:10" ht="23.25" customHeight="1" x14ac:dyDescent="0.3">
      <c r="A16" s="5" t="s">
        <v>27</v>
      </c>
      <c r="B16" s="5" t="s">
        <v>28</v>
      </c>
      <c r="C16" s="5" t="s">
        <v>29</v>
      </c>
      <c r="D16" s="5" t="s">
        <v>30</v>
      </c>
      <c r="E16" s="5" t="s">
        <v>31</v>
      </c>
      <c r="F16" s="5" t="s">
        <v>32</v>
      </c>
      <c r="G16" s="5" t="s">
        <v>33</v>
      </c>
      <c r="H16" s="5" t="s">
        <v>34</v>
      </c>
      <c r="I16" s="5" t="s">
        <v>35</v>
      </c>
      <c r="J16" s="5" t="s">
        <v>36</v>
      </c>
    </row>
    <row r="17" spans="1:10" ht="15" customHeight="1" x14ac:dyDescent="0.3">
      <c r="A17" s="6" t="s">
        <v>21</v>
      </c>
      <c r="B17" s="7">
        <v>18</v>
      </c>
      <c r="C17" s="7">
        <v>9</v>
      </c>
      <c r="D17" s="7">
        <v>27</v>
      </c>
      <c r="E17" s="7">
        <v>30.13</v>
      </c>
      <c r="F17" s="7">
        <v>42.13</v>
      </c>
      <c r="G17" s="7">
        <v>62.69</v>
      </c>
      <c r="H17" s="8" t="s">
        <v>37</v>
      </c>
      <c r="I17" s="7">
        <v>27.54</v>
      </c>
      <c r="J17" s="9">
        <v>0.439</v>
      </c>
    </row>
    <row r="18" spans="1:10" ht="15" customHeight="1" x14ac:dyDescent="0.3">
      <c r="A18" s="10" t="s">
        <v>18</v>
      </c>
      <c r="B18" s="11">
        <v>15</v>
      </c>
      <c r="C18" s="11">
        <v>8</v>
      </c>
      <c r="D18" s="11">
        <v>23</v>
      </c>
      <c r="E18" s="11">
        <v>29.34</v>
      </c>
      <c r="F18" s="11">
        <v>61.7</v>
      </c>
      <c r="G18" s="11">
        <v>120.36</v>
      </c>
      <c r="H18" s="12" t="s">
        <v>38</v>
      </c>
      <c r="I18" s="11">
        <v>81.709999999999994</v>
      </c>
      <c r="J18" s="13">
        <v>0.67900000000000005</v>
      </c>
    </row>
    <row r="19" spans="1:10" ht="15" customHeight="1" x14ac:dyDescent="0.3">
      <c r="A19" s="6" t="s">
        <v>39</v>
      </c>
      <c r="B19" s="7">
        <v>20</v>
      </c>
      <c r="C19" s="7">
        <v>9.5</v>
      </c>
      <c r="D19" s="7">
        <v>29.5</v>
      </c>
      <c r="E19" s="7">
        <v>34.76</v>
      </c>
      <c r="F19" s="7">
        <v>66.010000000000005</v>
      </c>
      <c r="G19" s="7">
        <v>93.64</v>
      </c>
      <c r="H19" s="8" t="s">
        <v>40</v>
      </c>
      <c r="I19" s="7">
        <v>51.97</v>
      </c>
      <c r="J19" s="9">
        <v>0.55500000000000005</v>
      </c>
    </row>
    <row r="20" spans="1:10" ht="15" customHeight="1" x14ac:dyDescent="0.3">
      <c r="A20" s="10" t="s">
        <v>41</v>
      </c>
      <c r="B20" s="11">
        <v>18</v>
      </c>
      <c r="C20" s="11">
        <v>9</v>
      </c>
      <c r="D20" s="11">
        <v>27</v>
      </c>
      <c r="E20" s="11">
        <v>44.47</v>
      </c>
      <c r="F20" s="11">
        <v>36.69</v>
      </c>
      <c r="G20" s="11">
        <v>81.760000000000005</v>
      </c>
      <c r="H20" s="12" t="s">
        <v>42</v>
      </c>
      <c r="I20" s="11">
        <v>44.13</v>
      </c>
      <c r="J20" s="13">
        <v>0.54</v>
      </c>
    </row>
    <row r="21" spans="1:10" ht="15" customHeight="1" x14ac:dyDescent="0.3">
      <c r="A21" s="6" t="s">
        <v>43</v>
      </c>
      <c r="B21" s="7">
        <v>14</v>
      </c>
      <c r="C21" s="7">
        <v>8</v>
      </c>
      <c r="D21" s="7">
        <v>22</v>
      </c>
      <c r="E21" s="7">
        <v>30.07</v>
      </c>
      <c r="F21" s="7">
        <v>53.56</v>
      </c>
      <c r="G21" s="7">
        <v>65.260000000000005</v>
      </c>
      <c r="H21" s="8" t="s">
        <v>44</v>
      </c>
      <c r="I21" s="7">
        <v>34.78</v>
      </c>
      <c r="J21" s="9">
        <v>0.53300000000000003</v>
      </c>
    </row>
    <row r="22" spans="1:10" ht="15" customHeight="1" x14ac:dyDescent="0.3">
      <c r="A22" s="10" t="s">
        <v>45</v>
      </c>
      <c r="B22" s="11">
        <v>12</v>
      </c>
      <c r="C22" s="11">
        <v>7.5</v>
      </c>
      <c r="D22" s="11">
        <v>19.5</v>
      </c>
      <c r="E22" s="11">
        <v>22.53</v>
      </c>
      <c r="F22" s="11">
        <v>30.2</v>
      </c>
      <c r="G22" s="11">
        <v>61.11</v>
      </c>
      <c r="H22" s="12" t="s">
        <v>46</v>
      </c>
      <c r="I22" s="11">
        <v>33.67</v>
      </c>
      <c r="J22" s="13">
        <v>0.55100000000000005</v>
      </c>
    </row>
    <row r="23" spans="1:10" ht="15" customHeight="1" x14ac:dyDescent="0.3">
      <c r="A23" s="6" t="s">
        <v>47</v>
      </c>
      <c r="B23" s="7">
        <v>14</v>
      </c>
      <c r="C23" s="7">
        <v>8.5</v>
      </c>
      <c r="D23" s="7">
        <v>22.5</v>
      </c>
      <c r="E23" s="7">
        <v>26.06</v>
      </c>
      <c r="F23" s="7">
        <v>51.41</v>
      </c>
      <c r="G23" s="7">
        <v>54.64</v>
      </c>
      <c r="H23" s="8" t="s">
        <v>38</v>
      </c>
      <c r="I23" s="7">
        <v>25.04</v>
      </c>
      <c r="J23" s="9">
        <v>0.45800000000000002</v>
      </c>
    </row>
    <row r="24" spans="1:10" ht="15" customHeight="1" x14ac:dyDescent="0.3">
      <c r="A24" s="10" t="s">
        <v>48</v>
      </c>
      <c r="B24" s="11">
        <v>6</v>
      </c>
      <c r="C24" s="11">
        <v>7</v>
      </c>
      <c r="D24" s="11">
        <v>13</v>
      </c>
      <c r="E24" s="11">
        <v>14.88</v>
      </c>
      <c r="F24" s="11">
        <v>20.02</v>
      </c>
      <c r="G24" s="11">
        <v>35.82</v>
      </c>
      <c r="H24" s="12" t="s">
        <v>49</v>
      </c>
      <c r="I24" s="11">
        <v>18.16</v>
      </c>
      <c r="J24" s="13">
        <v>0.50700000000000001</v>
      </c>
    </row>
    <row r="25" spans="1:10" ht="15" customHeight="1" x14ac:dyDescent="0.3">
      <c r="A25" s="6" t="s">
        <v>50</v>
      </c>
      <c r="B25" s="7">
        <v>6.5</v>
      </c>
      <c r="C25" s="7">
        <v>7.5</v>
      </c>
      <c r="D25" s="7">
        <v>14</v>
      </c>
      <c r="E25" s="7">
        <v>17.2</v>
      </c>
      <c r="F25" s="7">
        <v>28.7</v>
      </c>
      <c r="G25" s="7">
        <v>27.03</v>
      </c>
      <c r="H25" s="8" t="s">
        <v>51</v>
      </c>
      <c r="I25" s="7">
        <v>9.52</v>
      </c>
      <c r="J25" s="9">
        <v>0.35199999999999998</v>
      </c>
    </row>
    <row r="28" spans="1:10" ht="15.6" x14ac:dyDescent="0.3">
      <c r="A28" s="47" t="s">
        <v>52</v>
      </c>
      <c r="B28" s="47"/>
      <c r="C28" s="47"/>
      <c r="D28" s="47"/>
      <c r="E28" s="47"/>
      <c r="F28" s="47"/>
      <c r="G28" s="47"/>
    </row>
    <row r="29" spans="1:10" ht="34.5" customHeight="1" x14ac:dyDescent="0.3">
      <c r="A29" s="42" t="s">
        <v>53</v>
      </c>
      <c r="B29" s="42"/>
      <c r="C29" s="42"/>
      <c r="D29" s="42"/>
      <c r="E29" s="42"/>
      <c r="F29" s="42"/>
      <c r="G29" s="42"/>
    </row>
    <row r="30" spans="1:10" ht="34.5" customHeight="1" x14ac:dyDescent="0.3">
      <c r="A30" s="42" t="s">
        <v>54</v>
      </c>
      <c r="B30" s="42"/>
      <c r="C30" s="42"/>
      <c r="D30" s="42"/>
      <c r="E30" s="42"/>
      <c r="F30" s="42"/>
      <c r="G30" s="42"/>
    </row>
    <row r="31" spans="1:10" ht="34.5" customHeight="1" x14ac:dyDescent="0.3">
      <c r="A31" s="42" t="s">
        <v>55</v>
      </c>
      <c r="B31" s="42"/>
      <c r="C31" s="42"/>
      <c r="D31" s="42"/>
      <c r="E31" s="42"/>
      <c r="F31" s="42"/>
      <c r="G31" s="42"/>
    </row>
    <row r="32" spans="1:10" ht="34.5" customHeight="1" x14ac:dyDescent="0.3">
      <c r="A32" s="43" t="s">
        <v>56</v>
      </c>
      <c r="B32" s="43"/>
      <c r="C32" s="43"/>
      <c r="D32" s="43"/>
      <c r="E32" s="43"/>
      <c r="F32" s="43"/>
      <c r="G32" s="43"/>
    </row>
    <row r="33" spans="1:7" ht="34.5" customHeight="1" x14ac:dyDescent="0.3">
      <c r="A33" s="43" t="s">
        <v>57</v>
      </c>
      <c r="B33" s="43"/>
      <c r="C33" s="43"/>
      <c r="D33" s="43"/>
      <c r="E33" s="43"/>
      <c r="F33" s="43"/>
      <c r="G33" s="43"/>
    </row>
    <row r="34" spans="1:7" ht="34.5" customHeight="1" x14ac:dyDescent="0.3">
      <c r="A34" s="41" t="s">
        <v>58</v>
      </c>
      <c r="B34" s="41"/>
      <c r="C34" s="41"/>
      <c r="D34" s="41"/>
      <c r="E34" s="41"/>
      <c r="F34" s="41"/>
      <c r="G34" s="41"/>
    </row>
  </sheetData>
  <mergeCells count="11">
    <mergeCell ref="A1:J1"/>
    <mergeCell ref="A2:J2"/>
    <mergeCell ref="A4:D4"/>
    <mergeCell ref="A15:J15"/>
    <mergeCell ref="A28:G28"/>
    <mergeCell ref="A34:G34"/>
    <mergeCell ref="A29:G29"/>
    <mergeCell ref="A30:G30"/>
    <mergeCell ref="A31:G31"/>
    <mergeCell ref="A32:G32"/>
    <mergeCell ref="A33:G33"/>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67"/>
  <sheetViews>
    <sheetView topLeftCell="A52" zoomScaleNormal="100" workbookViewId="0">
      <selection activeCell="A60" sqref="A60:XFD60"/>
    </sheetView>
  </sheetViews>
  <sheetFormatPr defaultColWidth="8.6640625" defaultRowHeight="15" customHeight="1" x14ac:dyDescent="0.3"/>
  <cols>
    <col min="1" max="1" width="22" customWidth="1"/>
    <col min="2" max="2" width="30" customWidth="1"/>
    <col min="3" max="3" width="35" customWidth="1"/>
    <col min="4" max="4" width="12" customWidth="1"/>
    <col min="5" max="5" width="40" customWidth="1"/>
    <col min="6" max="6" width="35" customWidth="1"/>
    <col min="7" max="8" width="15" customWidth="1"/>
  </cols>
  <sheetData>
    <row r="1" spans="1:8" ht="30" customHeight="1" x14ac:dyDescent="0.3">
      <c r="A1" s="53" t="s">
        <v>59</v>
      </c>
      <c r="B1" s="53"/>
      <c r="C1" s="53"/>
      <c r="D1" s="53"/>
      <c r="E1" s="53"/>
      <c r="F1" s="53"/>
      <c r="G1" s="53"/>
      <c r="H1" s="53"/>
    </row>
    <row r="2" spans="1:8" ht="14.4" x14ac:dyDescent="0.3">
      <c r="A2" s="54" t="s">
        <v>60</v>
      </c>
      <c r="B2" s="54"/>
      <c r="C2" s="54"/>
      <c r="D2" s="54"/>
      <c r="E2" s="54"/>
      <c r="F2" s="54"/>
      <c r="G2" s="54"/>
      <c r="H2" s="54"/>
    </row>
    <row r="4" spans="1:8" ht="15.6" x14ac:dyDescent="0.3">
      <c r="A4" s="50" t="s">
        <v>61</v>
      </c>
      <c r="B4" s="50"/>
      <c r="C4" s="50"/>
      <c r="D4" s="50"/>
      <c r="E4" s="50"/>
      <c r="F4" s="50"/>
      <c r="G4" s="50"/>
      <c r="H4" s="50"/>
    </row>
    <row r="5" spans="1:8" ht="31.2" x14ac:dyDescent="0.3">
      <c r="A5" s="14" t="s">
        <v>62</v>
      </c>
      <c r="B5" s="14" t="s">
        <v>63</v>
      </c>
      <c r="C5" s="14" t="s">
        <v>64</v>
      </c>
      <c r="D5" s="14" t="s">
        <v>65</v>
      </c>
      <c r="E5" s="14" t="s">
        <v>66</v>
      </c>
    </row>
    <row r="6" spans="1:8" ht="49.5" customHeight="1" x14ac:dyDescent="0.3">
      <c r="A6" s="15" t="s">
        <v>67</v>
      </c>
      <c r="B6" s="15" t="s">
        <v>68</v>
      </c>
      <c r="C6" s="15" t="s">
        <v>69</v>
      </c>
      <c r="D6" s="16" t="s">
        <v>70</v>
      </c>
      <c r="E6" s="15" t="s">
        <v>71</v>
      </c>
    </row>
    <row r="7" spans="1:8" ht="49.5" customHeight="1" x14ac:dyDescent="0.3">
      <c r="A7" s="15" t="s">
        <v>72</v>
      </c>
      <c r="B7" s="15" t="s">
        <v>73</v>
      </c>
      <c r="C7" s="15" t="s">
        <v>74</v>
      </c>
      <c r="D7" s="16" t="s">
        <v>70</v>
      </c>
      <c r="E7" s="15" t="s">
        <v>75</v>
      </c>
    </row>
    <row r="8" spans="1:8" ht="49.5" customHeight="1" x14ac:dyDescent="0.3">
      <c r="A8" s="15" t="s">
        <v>76</v>
      </c>
      <c r="B8" s="15" t="s">
        <v>77</v>
      </c>
      <c r="C8" s="15" t="s">
        <v>78</v>
      </c>
      <c r="D8" s="16" t="s">
        <v>70</v>
      </c>
      <c r="E8" s="15" t="s">
        <v>79</v>
      </c>
    </row>
    <row r="9" spans="1:8" ht="49.5" customHeight="1" x14ac:dyDescent="0.3">
      <c r="A9" s="15" t="s">
        <v>80</v>
      </c>
      <c r="B9" s="15" t="s">
        <v>81</v>
      </c>
      <c r="C9" s="15" t="s">
        <v>82</v>
      </c>
      <c r="D9" s="17" t="s">
        <v>83</v>
      </c>
      <c r="E9" s="15" t="s">
        <v>84</v>
      </c>
    </row>
    <row r="10" spans="1:8" ht="49.5" customHeight="1" x14ac:dyDescent="0.3">
      <c r="A10" s="15" t="s">
        <v>85</v>
      </c>
      <c r="B10" s="15" t="s">
        <v>86</v>
      </c>
      <c r="C10" s="15" t="s">
        <v>87</v>
      </c>
      <c r="D10" s="16" t="s">
        <v>70</v>
      </c>
      <c r="E10" s="15" t="s">
        <v>88</v>
      </c>
    </row>
    <row r="11" spans="1:8" ht="49.5" customHeight="1" x14ac:dyDescent="0.3">
      <c r="A11" s="15" t="s">
        <v>89</v>
      </c>
      <c r="B11" s="15" t="s">
        <v>90</v>
      </c>
      <c r="C11" s="15" t="s">
        <v>91</v>
      </c>
      <c r="D11" s="16" t="s">
        <v>70</v>
      </c>
      <c r="E11" s="15" t="s">
        <v>92</v>
      </c>
    </row>
    <row r="13" spans="1:8" ht="15.6" x14ac:dyDescent="0.3">
      <c r="A13" s="50" t="s">
        <v>93</v>
      </c>
      <c r="B13" s="50"/>
      <c r="C13" s="50"/>
      <c r="D13" s="50"/>
      <c r="E13" s="50"/>
      <c r="F13" s="50"/>
      <c r="G13" s="50"/>
      <c r="H13" s="50"/>
    </row>
    <row r="14" spans="1:8" ht="31.2" x14ac:dyDescent="0.3">
      <c r="A14" s="14" t="s">
        <v>94</v>
      </c>
      <c r="B14" s="14" t="s">
        <v>95</v>
      </c>
      <c r="C14" s="14" t="s">
        <v>96</v>
      </c>
      <c r="D14" s="14" t="s">
        <v>97</v>
      </c>
      <c r="E14" s="14" t="s">
        <v>27</v>
      </c>
      <c r="F14" s="14" t="s">
        <v>98</v>
      </c>
    </row>
    <row r="15" spans="1:8" ht="26.4" x14ac:dyDescent="0.3">
      <c r="A15" s="15" t="s">
        <v>99</v>
      </c>
      <c r="B15" s="15" t="s">
        <v>100</v>
      </c>
      <c r="C15" s="15" t="s">
        <v>101</v>
      </c>
      <c r="D15" s="15" t="s">
        <v>102</v>
      </c>
      <c r="E15" s="15" t="s">
        <v>103</v>
      </c>
      <c r="F15" s="18" t="s">
        <v>104</v>
      </c>
    </row>
    <row r="16" spans="1:8" ht="39.6" x14ac:dyDescent="0.3">
      <c r="A16" s="15" t="s">
        <v>105</v>
      </c>
      <c r="B16" s="15" t="s">
        <v>106</v>
      </c>
      <c r="C16" s="15" t="s">
        <v>107</v>
      </c>
      <c r="D16" s="15" t="s">
        <v>108</v>
      </c>
      <c r="E16" s="15" t="s">
        <v>109</v>
      </c>
      <c r="F16" s="18" t="s">
        <v>110</v>
      </c>
    </row>
    <row r="17" spans="1:8" ht="26.4" x14ac:dyDescent="0.3">
      <c r="A17" s="15" t="s">
        <v>111</v>
      </c>
      <c r="B17" s="15" t="s">
        <v>112</v>
      </c>
      <c r="C17" s="15" t="s">
        <v>113</v>
      </c>
      <c r="D17" s="15" t="s">
        <v>114</v>
      </c>
      <c r="E17" s="15" t="s">
        <v>115</v>
      </c>
      <c r="F17" s="18" t="s">
        <v>116</v>
      </c>
    </row>
    <row r="18" spans="1:8" ht="26.4" x14ac:dyDescent="0.3">
      <c r="A18" s="15" t="s">
        <v>117</v>
      </c>
      <c r="B18" s="15" t="s">
        <v>118</v>
      </c>
      <c r="C18" s="15" t="s">
        <v>119</v>
      </c>
      <c r="D18" s="15" t="s">
        <v>114</v>
      </c>
      <c r="E18" s="15" t="s">
        <v>120</v>
      </c>
      <c r="F18" s="18" t="s">
        <v>116</v>
      </c>
    </row>
    <row r="19" spans="1:8" ht="26.4" x14ac:dyDescent="0.3">
      <c r="A19" s="15" t="s">
        <v>121</v>
      </c>
      <c r="B19" s="15" t="s">
        <v>122</v>
      </c>
      <c r="C19" s="15" t="s">
        <v>123</v>
      </c>
      <c r="D19" s="15" t="s">
        <v>124</v>
      </c>
      <c r="E19" s="15" t="s">
        <v>125</v>
      </c>
      <c r="F19" s="18" t="s">
        <v>110</v>
      </c>
    </row>
    <row r="20" spans="1:8" ht="26.4" x14ac:dyDescent="0.3">
      <c r="A20" s="15" t="s">
        <v>126</v>
      </c>
      <c r="B20" s="15" t="s">
        <v>127</v>
      </c>
      <c r="C20" s="15" t="s">
        <v>128</v>
      </c>
      <c r="D20" s="15" t="s">
        <v>114</v>
      </c>
      <c r="E20" s="15" t="s">
        <v>129</v>
      </c>
      <c r="F20" s="18" t="s">
        <v>130</v>
      </c>
    </row>
    <row r="21" spans="1:8" ht="26.4" x14ac:dyDescent="0.3">
      <c r="A21" s="15" t="s">
        <v>131</v>
      </c>
      <c r="B21" s="15" t="s">
        <v>132</v>
      </c>
      <c r="C21" s="15" t="s">
        <v>133</v>
      </c>
      <c r="D21" s="15" t="s">
        <v>114</v>
      </c>
      <c r="E21" s="15" t="s">
        <v>134</v>
      </c>
      <c r="F21" s="18" t="s">
        <v>135</v>
      </c>
    </row>
    <row r="22" spans="1:8" ht="39.6" x14ac:dyDescent="0.3">
      <c r="A22" s="15" t="s">
        <v>136</v>
      </c>
      <c r="B22" s="15" t="s">
        <v>137</v>
      </c>
      <c r="C22" s="15" t="s">
        <v>138</v>
      </c>
      <c r="D22" s="15" t="s">
        <v>139</v>
      </c>
      <c r="E22" s="15" t="s">
        <v>140</v>
      </c>
      <c r="F22" s="19" t="s">
        <v>141</v>
      </c>
    </row>
    <row r="23" spans="1:8" ht="26.4" x14ac:dyDescent="0.3">
      <c r="A23" s="15" t="s">
        <v>142</v>
      </c>
      <c r="B23" s="15" t="s">
        <v>143</v>
      </c>
      <c r="C23" s="15" t="s">
        <v>144</v>
      </c>
      <c r="D23" s="15" t="s">
        <v>145</v>
      </c>
      <c r="E23" s="15" t="s">
        <v>146</v>
      </c>
      <c r="F23" s="19" t="s">
        <v>147</v>
      </c>
    </row>
    <row r="24" spans="1:8" ht="26.4" x14ac:dyDescent="0.3">
      <c r="A24" s="15" t="s">
        <v>148</v>
      </c>
      <c r="B24" s="15" t="s">
        <v>149</v>
      </c>
      <c r="C24" s="15" t="s">
        <v>150</v>
      </c>
      <c r="D24" s="15" t="s">
        <v>151</v>
      </c>
      <c r="E24" s="15" t="s">
        <v>152</v>
      </c>
      <c r="F24" s="19" t="s">
        <v>153</v>
      </c>
    </row>
    <row r="26" spans="1:8" ht="15.6" x14ac:dyDescent="0.3">
      <c r="A26" s="55" t="s">
        <v>154</v>
      </c>
      <c r="B26" s="55"/>
      <c r="C26" s="55"/>
      <c r="D26" s="55"/>
      <c r="E26" s="55"/>
      <c r="F26" s="55"/>
      <c r="G26" s="55"/>
      <c r="H26" s="55"/>
    </row>
    <row r="27" spans="1:8" ht="31.2" x14ac:dyDescent="0.3">
      <c r="A27" s="14" t="s">
        <v>62</v>
      </c>
      <c r="B27" s="14" t="s">
        <v>155</v>
      </c>
      <c r="C27" s="14" t="s">
        <v>156</v>
      </c>
      <c r="D27" s="14" t="s">
        <v>65</v>
      </c>
      <c r="E27" s="14" t="s">
        <v>157</v>
      </c>
    </row>
    <row r="28" spans="1:8" ht="45" customHeight="1" x14ac:dyDescent="0.3">
      <c r="A28" s="15" t="s">
        <v>27</v>
      </c>
      <c r="B28" s="15" t="s">
        <v>158</v>
      </c>
      <c r="C28" s="15" t="s">
        <v>158</v>
      </c>
      <c r="D28" s="20" t="s">
        <v>159</v>
      </c>
      <c r="E28" s="15" t="s">
        <v>160</v>
      </c>
    </row>
    <row r="29" spans="1:8" ht="45" customHeight="1" x14ac:dyDescent="0.3">
      <c r="A29" s="15" t="s">
        <v>67</v>
      </c>
      <c r="B29" s="15" t="s">
        <v>161</v>
      </c>
      <c r="C29" s="15" t="s">
        <v>162</v>
      </c>
      <c r="D29" s="20" t="s">
        <v>159</v>
      </c>
      <c r="E29" s="15" t="s">
        <v>163</v>
      </c>
    </row>
    <row r="30" spans="1:8" ht="45" customHeight="1" x14ac:dyDescent="0.3">
      <c r="A30" s="15" t="s">
        <v>72</v>
      </c>
      <c r="B30" s="15" t="s">
        <v>164</v>
      </c>
      <c r="C30" s="15" t="s">
        <v>165</v>
      </c>
      <c r="D30" s="20" t="s">
        <v>159</v>
      </c>
      <c r="E30" s="15" t="s">
        <v>166</v>
      </c>
    </row>
    <row r="31" spans="1:8" ht="45" customHeight="1" x14ac:dyDescent="0.3">
      <c r="A31" s="15" t="s">
        <v>80</v>
      </c>
      <c r="B31" s="15" t="s">
        <v>167</v>
      </c>
      <c r="C31" s="15" t="s">
        <v>168</v>
      </c>
      <c r="D31" s="20" t="s">
        <v>159</v>
      </c>
      <c r="E31" s="15" t="s">
        <v>169</v>
      </c>
    </row>
    <row r="32" spans="1:8" ht="45" customHeight="1" x14ac:dyDescent="0.3">
      <c r="A32" s="15" t="s">
        <v>85</v>
      </c>
      <c r="B32" s="15" t="s">
        <v>170</v>
      </c>
      <c r="C32" s="15" t="s">
        <v>171</v>
      </c>
      <c r="D32" s="20" t="s">
        <v>159</v>
      </c>
      <c r="E32" s="15" t="s">
        <v>172</v>
      </c>
    </row>
    <row r="33" spans="1:8" ht="45" customHeight="1" x14ac:dyDescent="0.3">
      <c r="A33" s="15" t="s">
        <v>173</v>
      </c>
      <c r="B33" s="15" t="s">
        <v>83</v>
      </c>
      <c r="C33" s="15" t="s">
        <v>174</v>
      </c>
      <c r="D33" s="20" t="s">
        <v>159</v>
      </c>
      <c r="E33" s="15" t="s">
        <v>175</v>
      </c>
    </row>
    <row r="35" spans="1:8" ht="14.4" x14ac:dyDescent="0.3">
      <c r="A35" s="49" t="s">
        <v>176</v>
      </c>
      <c r="B35" s="49"/>
      <c r="C35" s="49"/>
      <c r="D35" s="49"/>
      <c r="E35" s="49"/>
      <c r="F35" s="49"/>
      <c r="G35" s="49"/>
      <c r="H35" s="49"/>
    </row>
    <row r="36" spans="1:8" ht="15.6" x14ac:dyDescent="0.3">
      <c r="A36" s="14" t="s">
        <v>177</v>
      </c>
      <c r="B36" s="14" t="s">
        <v>178</v>
      </c>
      <c r="C36" s="14" t="s">
        <v>179</v>
      </c>
      <c r="D36" s="14" t="s">
        <v>180</v>
      </c>
      <c r="E36" s="14" t="s">
        <v>181</v>
      </c>
      <c r="F36" s="14" t="s">
        <v>182</v>
      </c>
    </row>
    <row r="37" spans="1:8" ht="14.4" x14ac:dyDescent="0.3">
      <c r="A37" s="15" t="s">
        <v>183</v>
      </c>
      <c r="B37" s="15" t="s">
        <v>184</v>
      </c>
      <c r="C37" s="15" t="s">
        <v>185</v>
      </c>
      <c r="D37" s="15" t="s">
        <v>186</v>
      </c>
      <c r="E37" s="15" t="s">
        <v>187</v>
      </c>
      <c r="F37" s="19" t="s">
        <v>188</v>
      </c>
    </row>
    <row r="38" spans="1:8" ht="14.4" x14ac:dyDescent="0.3">
      <c r="A38" s="15" t="s">
        <v>189</v>
      </c>
      <c r="B38" s="15" t="s">
        <v>190</v>
      </c>
      <c r="C38" s="15" t="s">
        <v>191</v>
      </c>
      <c r="D38" s="15" t="s">
        <v>192</v>
      </c>
      <c r="E38" s="15" t="s">
        <v>193</v>
      </c>
      <c r="F38" s="20" t="s">
        <v>194</v>
      </c>
    </row>
    <row r="39" spans="1:8" ht="14.4" x14ac:dyDescent="0.3">
      <c r="A39" s="15" t="s">
        <v>195</v>
      </c>
      <c r="B39" s="15" t="s">
        <v>196</v>
      </c>
      <c r="C39" s="15" t="s">
        <v>197</v>
      </c>
      <c r="D39" s="15" t="s">
        <v>186</v>
      </c>
      <c r="E39" s="15" t="s">
        <v>198</v>
      </c>
      <c r="F39" s="20" t="s">
        <v>199</v>
      </c>
    </row>
    <row r="42" spans="1:8" ht="15.6" x14ac:dyDescent="0.3">
      <c r="A42" s="50" t="s">
        <v>200</v>
      </c>
      <c r="B42" s="50"/>
      <c r="C42" s="50"/>
      <c r="D42" s="50"/>
      <c r="E42" s="50"/>
      <c r="F42" s="50"/>
      <c r="G42" s="50"/>
      <c r="H42" s="50"/>
    </row>
    <row r="43" spans="1:8" ht="46.8" x14ac:dyDescent="0.3">
      <c r="A43" s="14" t="s">
        <v>201</v>
      </c>
      <c r="B43" s="14" t="s">
        <v>202</v>
      </c>
      <c r="C43" s="14" t="s">
        <v>203</v>
      </c>
      <c r="D43" s="14" t="s">
        <v>204</v>
      </c>
      <c r="E43" s="14" t="s">
        <v>205</v>
      </c>
      <c r="F43" s="14" t="s">
        <v>206</v>
      </c>
    </row>
    <row r="44" spans="1:8" ht="26.4" x14ac:dyDescent="0.3">
      <c r="A44" s="15" t="s">
        <v>21</v>
      </c>
      <c r="B44" s="15" t="s">
        <v>207</v>
      </c>
      <c r="C44" s="15" t="s">
        <v>208</v>
      </c>
      <c r="D44" s="15" t="s">
        <v>209</v>
      </c>
      <c r="E44" s="20" t="s">
        <v>159</v>
      </c>
      <c r="F44" s="15" t="s">
        <v>210</v>
      </c>
    </row>
    <row r="45" spans="1:8" ht="26.4" x14ac:dyDescent="0.3">
      <c r="A45" s="15" t="s">
        <v>39</v>
      </c>
      <c r="B45" s="15" t="s">
        <v>211</v>
      </c>
      <c r="C45" s="15" t="s">
        <v>212</v>
      </c>
      <c r="D45" s="15" t="s">
        <v>213</v>
      </c>
      <c r="E45" s="20" t="s">
        <v>159</v>
      </c>
      <c r="F45" s="15" t="s">
        <v>210</v>
      </c>
    </row>
    <row r="46" spans="1:8" ht="14.4" x14ac:dyDescent="0.3">
      <c r="A46" s="15" t="s">
        <v>41</v>
      </c>
      <c r="B46" s="15" t="s">
        <v>214</v>
      </c>
      <c r="C46" s="15" t="s">
        <v>215</v>
      </c>
      <c r="D46" s="15" t="s">
        <v>216</v>
      </c>
      <c r="E46" s="20" t="s">
        <v>159</v>
      </c>
      <c r="F46" s="15" t="s">
        <v>210</v>
      </c>
    </row>
    <row r="47" spans="1:8" ht="26.4" x14ac:dyDescent="0.3">
      <c r="A47" s="15" t="s">
        <v>43</v>
      </c>
      <c r="B47" s="15" t="s">
        <v>217</v>
      </c>
      <c r="C47" s="15" t="s">
        <v>218</v>
      </c>
      <c r="D47" s="15" t="s">
        <v>219</v>
      </c>
      <c r="E47" s="21" t="s">
        <v>220</v>
      </c>
      <c r="F47" s="15" t="s">
        <v>221</v>
      </c>
    </row>
    <row r="48" spans="1:8" ht="26.4" x14ac:dyDescent="0.3">
      <c r="A48" s="15" t="s">
        <v>18</v>
      </c>
      <c r="B48" s="15" t="s">
        <v>222</v>
      </c>
      <c r="C48" s="15" t="s">
        <v>223</v>
      </c>
      <c r="D48" s="15" t="s">
        <v>224</v>
      </c>
      <c r="E48" s="16" t="s">
        <v>70</v>
      </c>
      <c r="F48" s="15" t="s">
        <v>225</v>
      </c>
    </row>
    <row r="49" spans="1:8" ht="26.4" x14ac:dyDescent="0.3">
      <c r="A49" s="15" t="s">
        <v>45</v>
      </c>
      <c r="B49" s="15" t="s">
        <v>226</v>
      </c>
      <c r="C49" s="15" t="s">
        <v>227</v>
      </c>
      <c r="D49" s="15" t="s">
        <v>228</v>
      </c>
      <c r="E49" s="16" t="s">
        <v>70</v>
      </c>
      <c r="F49" s="15" t="s">
        <v>229</v>
      </c>
    </row>
    <row r="50" spans="1:8" ht="26.4" x14ac:dyDescent="0.3">
      <c r="A50" s="15" t="s">
        <v>230</v>
      </c>
      <c r="B50" s="15" t="s">
        <v>231</v>
      </c>
      <c r="C50" s="15" t="s">
        <v>208</v>
      </c>
      <c r="D50" s="15" t="s">
        <v>232</v>
      </c>
      <c r="E50" s="21" t="s">
        <v>220</v>
      </c>
      <c r="F50" s="15" t="s">
        <v>233</v>
      </c>
    </row>
    <row r="51" spans="1:8" ht="26.4" x14ac:dyDescent="0.3">
      <c r="A51" s="15" t="s">
        <v>234</v>
      </c>
      <c r="B51" s="15" t="s">
        <v>235</v>
      </c>
      <c r="C51" s="15" t="s">
        <v>236</v>
      </c>
      <c r="D51" s="15" t="s">
        <v>83</v>
      </c>
      <c r="E51" s="16" t="s">
        <v>83</v>
      </c>
      <c r="F51" s="15" t="s">
        <v>237</v>
      </c>
    </row>
    <row r="54" spans="1:8" ht="15.6" x14ac:dyDescent="0.3">
      <c r="A54" s="50" t="s">
        <v>238</v>
      </c>
      <c r="B54" s="50"/>
      <c r="C54" s="50"/>
      <c r="D54" s="50"/>
      <c r="E54" s="50"/>
      <c r="F54" s="50"/>
      <c r="G54" s="50"/>
      <c r="H54" s="50"/>
    </row>
    <row r="55" spans="1:8" ht="31.2" x14ac:dyDescent="0.3">
      <c r="A55" s="14" t="s">
        <v>94</v>
      </c>
      <c r="B55" s="14" t="s">
        <v>239</v>
      </c>
      <c r="C55" s="14" t="s">
        <v>240</v>
      </c>
      <c r="D55" s="14" t="s">
        <v>241</v>
      </c>
      <c r="E55" s="14" t="s">
        <v>242</v>
      </c>
      <c r="F55" s="14" t="s">
        <v>243</v>
      </c>
    </row>
    <row r="56" spans="1:8" ht="54.75" customHeight="1" x14ac:dyDescent="0.3">
      <c r="A56" s="15" t="s">
        <v>21</v>
      </c>
      <c r="B56" s="22" t="s">
        <v>244</v>
      </c>
      <c r="C56" s="15" t="s">
        <v>244</v>
      </c>
      <c r="D56" s="15" t="s">
        <v>245</v>
      </c>
      <c r="E56" s="15" t="s">
        <v>246</v>
      </c>
      <c r="F56" s="20" t="s">
        <v>247</v>
      </c>
    </row>
    <row r="57" spans="1:8" ht="54.75" customHeight="1" x14ac:dyDescent="0.3">
      <c r="A57" s="15" t="s">
        <v>39</v>
      </c>
      <c r="B57" s="22" t="s">
        <v>248</v>
      </c>
      <c r="C57" s="15" t="s">
        <v>244</v>
      </c>
      <c r="D57" s="15" t="s">
        <v>249</v>
      </c>
      <c r="E57" s="15" t="s">
        <v>250</v>
      </c>
      <c r="F57" s="20" t="s">
        <v>251</v>
      </c>
    </row>
    <row r="58" spans="1:8" ht="54.75" customHeight="1" x14ac:dyDescent="0.3">
      <c r="A58" s="15" t="s">
        <v>41</v>
      </c>
      <c r="B58" s="22" t="s">
        <v>248</v>
      </c>
      <c r="C58" s="15" t="s">
        <v>248</v>
      </c>
      <c r="D58" s="15" t="s">
        <v>252</v>
      </c>
      <c r="E58" s="15" t="s">
        <v>253</v>
      </c>
      <c r="F58" s="15" t="s">
        <v>254</v>
      </c>
    </row>
    <row r="59" spans="1:8" ht="54.75" customHeight="1" x14ac:dyDescent="0.3">
      <c r="A59" s="15" t="s">
        <v>43</v>
      </c>
      <c r="B59" s="23" t="s">
        <v>255</v>
      </c>
      <c r="C59" s="15" t="s">
        <v>244</v>
      </c>
      <c r="D59" s="15" t="s">
        <v>256</v>
      </c>
      <c r="E59" s="15" t="s">
        <v>257</v>
      </c>
      <c r="F59" s="15" t="s">
        <v>258</v>
      </c>
    </row>
    <row r="60" spans="1:8" ht="54.75" customHeight="1" x14ac:dyDescent="0.3">
      <c r="A60" s="15" t="s">
        <v>18</v>
      </c>
      <c r="B60" s="24" t="s">
        <v>259</v>
      </c>
      <c r="C60" s="15" t="s">
        <v>260</v>
      </c>
      <c r="D60" s="15" t="s">
        <v>261</v>
      </c>
      <c r="E60" s="15" t="s">
        <v>262</v>
      </c>
      <c r="F60" s="21" t="s">
        <v>263</v>
      </c>
    </row>
    <row r="61" spans="1:8" ht="54.75" customHeight="1" x14ac:dyDescent="0.3">
      <c r="A61" s="15" t="s">
        <v>45</v>
      </c>
      <c r="B61" s="24" t="s">
        <v>259</v>
      </c>
      <c r="C61" s="15" t="s">
        <v>220</v>
      </c>
      <c r="D61" s="15" t="s">
        <v>264</v>
      </c>
      <c r="E61" s="15" t="s">
        <v>265</v>
      </c>
      <c r="F61" s="16" t="s">
        <v>266</v>
      </c>
    </row>
    <row r="62" spans="1:8" ht="54.75" customHeight="1" x14ac:dyDescent="0.3">
      <c r="A62" s="15" t="s">
        <v>230</v>
      </c>
      <c r="B62" s="23" t="s">
        <v>255</v>
      </c>
      <c r="C62" s="15" t="s">
        <v>248</v>
      </c>
      <c r="D62" s="15" t="s">
        <v>267</v>
      </c>
      <c r="E62" s="15" t="s">
        <v>268</v>
      </c>
      <c r="F62" s="21" t="s">
        <v>269</v>
      </c>
    </row>
    <row r="64" spans="1:8" ht="15.6" x14ac:dyDescent="0.3">
      <c r="A64" s="51" t="s">
        <v>270</v>
      </c>
      <c r="B64" s="51"/>
      <c r="C64" s="51"/>
      <c r="D64" s="51"/>
      <c r="E64" s="51"/>
      <c r="F64" s="51"/>
    </row>
    <row r="65" spans="1:6" ht="60" customHeight="1" x14ac:dyDescent="0.3">
      <c r="A65" s="52" t="s">
        <v>271</v>
      </c>
      <c r="B65" s="52"/>
      <c r="C65" s="52"/>
      <c r="D65" s="52"/>
      <c r="E65" s="52"/>
      <c r="F65" s="52"/>
    </row>
    <row r="67" spans="1:6" ht="69.75" customHeight="1" x14ac:dyDescent="0.3">
      <c r="A67" s="48" t="s">
        <v>272</v>
      </c>
      <c r="B67" s="48"/>
      <c r="C67" s="48"/>
      <c r="D67" s="48"/>
      <c r="E67" s="48"/>
      <c r="F67" s="48"/>
    </row>
  </sheetData>
  <mergeCells count="11">
    <mergeCell ref="A1:H1"/>
    <mergeCell ref="A2:H2"/>
    <mergeCell ref="A4:H4"/>
    <mergeCell ref="A13:H13"/>
    <mergeCell ref="A26:H26"/>
    <mergeCell ref="A67:F67"/>
    <mergeCell ref="A35:H35"/>
    <mergeCell ref="A42:H42"/>
    <mergeCell ref="A54:H54"/>
    <mergeCell ref="A64:F64"/>
    <mergeCell ref="A65:F65"/>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7"/>
  <sheetViews>
    <sheetView zoomScaleNormal="100" workbookViewId="0">
      <selection sqref="A1:G1"/>
    </sheetView>
  </sheetViews>
  <sheetFormatPr defaultColWidth="8.6640625" defaultRowHeight="15" customHeight="1" x14ac:dyDescent="0.3"/>
  <cols>
    <col min="1" max="1" width="42" customWidth="1"/>
    <col min="2" max="2" width="16" customWidth="1"/>
    <col min="3" max="3" width="20" customWidth="1"/>
    <col min="4" max="4" width="14" customWidth="1"/>
    <col min="5" max="5" width="20" customWidth="1"/>
    <col min="6" max="6" width="22" customWidth="1"/>
    <col min="7" max="7" width="25" customWidth="1"/>
  </cols>
  <sheetData>
    <row r="1" spans="1:7" ht="16.8" x14ac:dyDescent="0.3">
      <c r="A1" s="56" t="s">
        <v>273</v>
      </c>
      <c r="B1" s="56"/>
      <c r="C1" s="56"/>
      <c r="D1" s="56"/>
      <c r="E1" s="56"/>
      <c r="F1" s="56"/>
      <c r="G1" s="56"/>
    </row>
    <row r="3" spans="1:7" ht="31.2" x14ac:dyDescent="0.3">
      <c r="A3" s="14" t="s">
        <v>274</v>
      </c>
      <c r="B3" s="14" t="s">
        <v>275</v>
      </c>
      <c r="C3" s="14" t="s">
        <v>276</v>
      </c>
      <c r="D3" s="14" t="s">
        <v>30</v>
      </c>
      <c r="E3" s="14" t="s">
        <v>27</v>
      </c>
      <c r="F3" s="14" t="s">
        <v>277</v>
      </c>
      <c r="G3" s="14" t="s">
        <v>239</v>
      </c>
    </row>
    <row r="4" spans="1:7" ht="14.4" x14ac:dyDescent="0.3">
      <c r="A4" s="15" t="s">
        <v>278</v>
      </c>
      <c r="B4" s="25">
        <v>11.69</v>
      </c>
      <c r="C4" s="25">
        <v>9.1</v>
      </c>
      <c r="D4" s="25">
        <f t="shared" ref="D4:D15" si="0">B4+C4</f>
        <v>20.79</v>
      </c>
      <c r="E4" s="15" t="s">
        <v>279</v>
      </c>
      <c r="F4" s="15" t="s">
        <v>280</v>
      </c>
      <c r="G4" s="19" t="s">
        <v>281</v>
      </c>
    </row>
    <row r="5" spans="1:7" ht="26.4" x14ac:dyDescent="0.3">
      <c r="A5" s="15" t="s">
        <v>282</v>
      </c>
      <c r="B5" s="25">
        <v>11.19</v>
      </c>
      <c r="C5" s="25">
        <v>9.1</v>
      </c>
      <c r="D5" s="25">
        <f t="shared" si="0"/>
        <v>20.29</v>
      </c>
      <c r="E5" s="15" t="s">
        <v>283</v>
      </c>
      <c r="F5" s="15" t="s">
        <v>284</v>
      </c>
      <c r="G5" s="19" t="s">
        <v>285</v>
      </c>
    </row>
    <row r="6" spans="1:7" ht="14.4" x14ac:dyDescent="0.3">
      <c r="A6" s="15" t="s">
        <v>286</v>
      </c>
      <c r="B6" s="25">
        <v>6.4</v>
      </c>
      <c r="C6" s="25">
        <v>9.1</v>
      </c>
      <c r="D6" s="25">
        <f t="shared" si="0"/>
        <v>15.5</v>
      </c>
      <c r="E6" s="15" t="s">
        <v>287</v>
      </c>
      <c r="F6" s="15" t="s">
        <v>288</v>
      </c>
      <c r="G6" s="19" t="s">
        <v>289</v>
      </c>
    </row>
    <row r="7" spans="1:7" ht="26.4" x14ac:dyDescent="0.3">
      <c r="A7" s="15" t="s">
        <v>290</v>
      </c>
      <c r="B7" s="25">
        <v>9.2899999999999991</v>
      </c>
      <c r="C7" s="25">
        <v>9.1</v>
      </c>
      <c r="D7" s="25">
        <f t="shared" si="0"/>
        <v>18.39</v>
      </c>
      <c r="E7" s="15" t="s">
        <v>291</v>
      </c>
      <c r="F7" s="15" t="s">
        <v>292</v>
      </c>
      <c r="G7" s="19" t="s">
        <v>293</v>
      </c>
    </row>
    <row r="8" spans="1:7" ht="26.4" x14ac:dyDescent="0.3">
      <c r="A8" s="15" t="s">
        <v>294</v>
      </c>
      <c r="B8" s="25">
        <v>12.79</v>
      </c>
      <c r="C8" s="25">
        <v>9.1</v>
      </c>
      <c r="D8" s="25">
        <f t="shared" si="0"/>
        <v>21.89</v>
      </c>
      <c r="E8" s="15" t="s">
        <v>295</v>
      </c>
      <c r="F8" s="15" t="s">
        <v>296</v>
      </c>
      <c r="G8" s="26" t="s">
        <v>297</v>
      </c>
    </row>
    <row r="9" spans="1:7" ht="26.4" x14ac:dyDescent="0.3">
      <c r="A9" s="15" t="s">
        <v>298</v>
      </c>
      <c r="B9" s="25">
        <v>12.79</v>
      </c>
      <c r="C9" s="25">
        <v>9.1</v>
      </c>
      <c r="D9" s="25">
        <f t="shared" si="0"/>
        <v>21.89</v>
      </c>
      <c r="E9" s="15" t="s">
        <v>299</v>
      </c>
      <c r="F9" s="15" t="s">
        <v>300</v>
      </c>
      <c r="G9" s="26" t="s">
        <v>301</v>
      </c>
    </row>
    <row r="10" spans="1:7" ht="14.4" x14ac:dyDescent="0.3">
      <c r="A10" s="15" t="s">
        <v>302</v>
      </c>
      <c r="B10" s="25">
        <v>11.59</v>
      </c>
      <c r="C10" s="25">
        <v>9.1</v>
      </c>
      <c r="D10" s="25">
        <f t="shared" si="0"/>
        <v>20.689999999999998</v>
      </c>
      <c r="E10" s="15" t="s">
        <v>303</v>
      </c>
      <c r="F10" s="15" t="s">
        <v>304</v>
      </c>
      <c r="G10" s="19" t="s">
        <v>305</v>
      </c>
    </row>
    <row r="11" spans="1:7" ht="26.4" x14ac:dyDescent="0.3">
      <c r="A11" s="15" t="s">
        <v>306</v>
      </c>
      <c r="B11" s="25">
        <v>12.31</v>
      </c>
      <c r="C11" s="25">
        <v>9.1</v>
      </c>
      <c r="D11" s="25">
        <f t="shared" si="0"/>
        <v>21.41</v>
      </c>
      <c r="E11" s="15" t="s">
        <v>307</v>
      </c>
      <c r="F11" s="15" t="s">
        <v>308</v>
      </c>
      <c r="G11" s="19" t="s">
        <v>309</v>
      </c>
    </row>
    <row r="12" spans="1:7" ht="26.4" x14ac:dyDescent="0.3">
      <c r="A12" s="15" t="s">
        <v>310</v>
      </c>
      <c r="B12" s="25">
        <v>10.99</v>
      </c>
      <c r="C12" s="25">
        <v>9.1</v>
      </c>
      <c r="D12" s="25">
        <f t="shared" si="0"/>
        <v>20.09</v>
      </c>
      <c r="E12" s="15" t="s">
        <v>311</v>
      </c>
      <c r="F12" s="15" t="s">
        <v>312</v>
      </c>
      <c r="G12" s="26" t="s">
        <v>313</v>
      </c>
    </row>
    <row r="13" spans="1:7" ht="26.4" x14ac:dyDescent="0.3">
      <c r="A13" s="15" t="s">
        <v>314</v>
      </c>
      <c r="B13" s="25">
        <v>11.19</v>
      </c>
      <c r="C13" s="25">
        <v>9.1</v>
      </c>
      <c r="D13" s="25">
        <f t="shared" si="0"/>
        <v>20.29</v>
      </c>
      <c r="E13" s="15" t="s">
        <v>315</v>
      </c>
      <c r="F13" s="15" t="s">
        <v>316</v>
      </c>
      <c r="G13" s="26" t="s">
        <v>317</v>
      </c>
    </row>
    <row r="14" spans="1:7" ht="26.4" x14ac:dyDescent="0.3">
      <c r="A14" s="15" t="s">
        <v>318</v>
      </c>
      <c r="B14" s="25">
        <v>9.4499999999999993</v>
      </c>
      <c r="C14" s="25">
        <v>9.1</v>
      </c>
      <c r="D14" s="25">
        <f t="shared" si="0"/>
        <v>18.549999999999997</v>
      </c>
      <c r="E14" s="15" t="s">
        <v>319</v>
      </c>
      <c r="F14" s="15" t="s">
        <v>320</v>
      </c>
      <c r="G14" s="26" t="s">
        <v>321</v>
      </c>
    </row>
    <row r="15" spans="1:7" ht="26.4" x14ac:dyDescent="0.3">
      <c r="A15" s="15" t="s">
        <v>322</v>
      </c>
      <c r="B15" s="25">
        <v>7.39</v>
      </c>
      <c r="C15" s="25">
        <v>9.1</v>
      </c>
      <c r="D15" s="25">
        <f t="shared" si="0"/>
        <v>16.489999999999998</v>
      </c>
      <c r="E15" s="15" t="s">
        <v>323</v>
      </c>
      <c r="F15" s="15" t="s">
        <v>324</v>
      </c>
      <c r="G15" s="26" t="s">
        <v>325</v>
      </c>
    </row>
    <row r="17" spans="1:7" ht="49.5" customHeight="1" x14ac:dyDescent="0.3">
      <c r="A17" s="57" t="s">
        <v>326</v>
      </c>
      <c r="B17" s="57"/>
      <c r="C17" s="57"/>
      <c r="D17" s="57"/>
      <c r="E17" s="57"/>
      <c r="F17" s="57"/>
      <c r="G17" s="57"/>
    </row>
  </sheetData>
  <mergeCells count="2">
    <mergeCell ref="A1:G1"/>
    <mergeCell ref="A17:G17"/>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4068"/>
  </sheetPr>
  <dimension ref="A1:M54"/>
  <sheetViews>
    <sheetView zoomScaleNormal="100" workbookViewId="0">
      <selection activeCell="A13" sqref="A13"/>
    </sheetView>
  </sheetViews>
  <sheetFormatPr defaultColWidth="8.6640625" defaultRowHeight="15" customHeight="1" x14ac:dyDescent="0.3"/>
  <cols>
    <col min="1" max="1" width="28" style="1" customWidth="1"/>
    <col min="2" max="2" width="16" style="1" customWidth="1"/>
    <col min="3" max="3" width="8" style="1" customWidth="1"/>
    <col min="4" max="4" width="12" style="1" customWidth="1"/>
    <col min="5" max="5" width="16" style="1" customWidth="1"/>
    <col min="6" max="9" width="12" style="1" customWidth="1"/>
    <col min="10" max="11" width="14" style="1" customWidth="1"/>
    <col min="12" max="12" width="16" style="1" customWidth="1"/>
    <col min="13" max="13" width="12" style="1" customWidth="1"/>
  </cols>
  <sheetData>
    <row r="1" spans="1:13" ht="19.5" customHeight="1" x14ac:dyDescent="0.3">
      <c r="A1" s="58" t="s">
        <v>327</v>
      </c>
      <c r="B1" s="58"/>
      <c r="C1" s="58"/>
      <c r="D1" s="58"/>
      <c r="E1" s="58"/>
      <c r="F1" s="58"/>
      <c r="G1" s="58"/>
      <c r="H1" s="58"/>
      <c r="I1" s="58"/>
      <c r="J1" s="58"/>
      <c r="K1" s="58"/>
      <c r="L1" s="58"/>
      <c r="M1" s="58"/>
    </row>
    <row r="3" spans="1:13" ht="23.25" customHeight="1" x14ac:dyDescent="0.3">
      <c r="A3" s="5" t="s">
        <v>328</v>
      </c>
      <c r="B3" s="5" t="s">
        <v>329</v>
      </c>
      <c r="C3" s="5" t="s">
        <v>330</v>
      </c>
      <c r="D3" s="5" t="s">
        <v>331</v>
      </c>
      <c r="E3" s="5" t="s">
        <v>332</v>
      </c>
      <c r="F3" s="5" t="s">
        <v>333</v>
      </c>
      <c r="G3" s="5" t="s">
        <v>334</v>
      </c>
      <c r="H3" s="5" t="s">
        <v>335</v>
      </c>
      <c r="I3" s="5" t="s">
        <v>336</v>
      </c>
      <c r="J3" s="5" t="s">
        <v>337</v>
      </c>
      <c r="K3" s="5" t="s">
        <v>338</v>
      </c>
      <c r="L3" s="5" t="s">
        <v>339</v>
      </c>
      <c r="M3" s="5" t="s">
        <v>340</v>
      </c>
    </row>
    <row r="4" spans="1:13" ht="15" customHeight="1" x14ac:dyDescent="0.3">
      <c r="A4" s="6" t="s">
        <v>341</v>
      </c>
      <c r="B4" s="27">
        <v>49500</v>
      </c>
      <c r="C4" s="7">
        <v>0.45</v>
      </c>
      <c r="D4" s="8">
        <v>1</v>
      </c>
      <c r="E4" s="8" t="s">
        <v>342</v>
      </c>
      <c r="F4" s="8" t="s">
        <v>343</v>
      </c>
      <c r="G4" s="27">
        <v>90500</v>
      </c>
      <c r="H4" s="8" t="s">
        <v>344</v>
      </c>
      <c r="I4" s="27">
        <v>22200</v>
      </c>
      <c r="J4" s="8">
        <v>4.0999999999999996</v>
      </c>
      <c r="K4" s="8">
        <v>9</v>
      </c>
      <c r="L4" s="8" t="s">
        <v>345</v>
      </c>
      <c r="M4" s="8" t="s">
        <v>346</v>
      </c>
    </row>
    <row r="5" spans="1:13" ht="15" customHeight="1" x14ac:dyDescent="0.3">
      <c r="A5" s="10" t="s">
        <v>347</v>
      </c>
      <c r="B5" s="28">
        <v>74000</v>
      </c>
      <c r="C5" s="11">
        <v>0.68</v>
      </c>
      <c r="D5" s="12">
        <v>0.45</v>
      </c>
      <c r="E5" s="12" t="s">
        <v>348</v>
      </c>
      <c r="F5" s="12" t="s">
        <v>349</v>
      </c>
      <c r="G5" s="28">
        <v>450000</v>
      </c>
      <c r="H5" s="12" t="s">
        <v>344</v>
      </c>
      <c r="I5" s="28">
        <v>12100</v>
      </c>
      <c r="J5" s="12">
        <v>37.200000000000003</v>
      </c>
      <c r="K5" s="12">
        <v>8</v>
      </c>
      <c r="L5" s="12" t="s">
        <v>350</v>
      </c>
      <c r="M5" s="12" t="s">
        <v>342</v>
      </c>
    </row>
    <row r="6" spans="1:13" ht="15" customHeight="1" x14ac:dyDescent="0.3">
      <c r="A6" s="6" t="s">
        <v>351</v>
      </c>
      <c r="B6" s="27">
        <v>60500</v>
      </c>
      <c r="C6" s="7">
        <v>0.53</v>
      </c>
      <c r="D6" s="8">
        <v>1</v>
      </c>
      <c r="E6" s="8" t="s">
        <v>342</v>
      </c>
      <c r="F6" s="8" t="s">
        <v>352</v>
      </c>
      <c r="G6" s="27">
        <v>110000</v>
      </c>
      <c r="H6" s="8" t="s">
        <v>344</v>
      </c>
      <c r="I6" s="27">
        <v>33100</v>
      </c>
      <c r="J6" s="8">
        <v>3.3</v>
      </c>
      <c r="K6" s="8">
        <v>7</v>
      </c>
      <c r="L6" s="8" t="s">
        <v>350</v>
      </c>
      <c r="M6" s="8" t="s">
        <v>342</v>
      </c>
    </row>
    <row r="7" spans="1:13" ht="15" customHeight="1" x14ac:dyDescent="0.3">
      <c r="A7" s="10" t="s">
        <v>353</v>
      </c>
      <c r="B7" s="28">
        <v>33100</v>
      </c>
      <c r="C7" s="11">
        <v>1.57</v>
      </c>
      <c r="D7" s="12">
        <v>1</v>
      </c>
      <c r="E7" s="12" t="s">
        <v>342</v>
      </c>
      <c r="F7" s="12" t="s">
        <v>343</v>
      </c>
      <c r="G7" s="28">
        <v>49500</v>
      </c>
      <c r="H7" s="12" t="s">
        <v>354</v>
      </c>
      <c r="I7" s="28">
        <v>18100</v>
      </c>
      <c r="J7" s="12">
        <v>2.7</v>
      </c>
      <c r="K7" s="12">
        <v>8</v>
      </c>
      <c r="L7" s="12" t="s">
        <v>355</v>
      </c>
      <c r="M7" s="12" t="s">
        <v>346</v>
      </c>
    </row>
    <row r="8" spans="1:13" ht="15" customHeight="1" x14ac:dyDescent="0.3">
      <c r="A8" s="6" t="s">
        <v>356</v>
      </c>
      <c r="B8" s="27">
        <v>27100</v>
      </c>
      <c r="C8" s="7">
        <v>0.56999999999999995</v>
      </c>
      <c r="D8" s="8">
        <v>1</v>
      </c>
      <c r="E8" s="8" t="s">
        <v>342</v>
      </c>
      <c r="F8" s="8" t="s">
        <v>357</v>
      </c>
      <c r="G8" s="27">
        <v>90500</v>
      </c>
      <c r="H8" s="8" t="s">
        <v>358</v>
      </c>
      <c r="I8" s="27">
        <v>4400</v>
      </c>
      <c r="J8" s="8">
        <v>20.6</v>
      </c>
      <c r="K8" s="8">
        <v>7</v>
      </c>
      <c r="L8" s="8" t="s">
        <v>350</v>
      </c>
      <c r="M8" s="8" t="s">
        <v>342</v>
      </c>
    </row>
    <row r="9" spans="1:13" ht="15" customHeight="1" x14ac:dyDescent="0.3">
      <c r="A9" s="10" t="s">
        <v>359</v>
      </c>
      <c r="B9" s="28">
        <v>22200</v>
      </c>
      <c r="C9" s="11">
        <v>0.33</v>
      </c>
      <c r="D9" s="12">
        <v>1</v>
      </c>
      <c r="E9" s="12" t="s">
        <v>342</v>
      </c>
      <c r="F9" s="12" t="s">
        <v>360</v>
      </c>
      <c r="G9" s="28">
        <v>40500</v>
      </c>
      <c r="H9" s="12" t="s">
        <v>361</v>
      </c>
      <c r="I9" s="28">
        <v>14800</v>
      </c>
      <c r="J9" s="12">
        <v>2.7</v>
      </c>
      <c r="K9" s="12">
        <v>9</v>
      </c>
      <c r="L9" s="12" t="s">
        <v>362</v>
      </c>
      <c r="M9" s="12" t="s">
        <v>346</v>
      </c>
    </row>
    <row r="10" spans="1:13" ht="15" customHeight="1" x14ac:dyDescent="0.3">
      <c r="A10" s="6" t="s">
        <v>363</v>
      </c>
      <c r="B10" s="27">
        <v>18100</v>
      </c>
      <c r="C10" s="7">
        <v>1.65</v>
      </c>
      <c r="D10" s="8">
        <v>1</v>
      </c>
      <c r="E10" s="8" t="s">
        <v>342</v>
      </c>
      <c r="F10" s="8" t="s">
        <v>343</v>
      </c>
      <c r="G10" s="27">
        <v>33100</v>
      </c>
      <c r="H10" s="8" t="s">
        <v>344</v>
      </c>
      <c r="I10" s="27">
        <v>9900</v>
      </c>
      <c r="J10" s="8">
        <v>3.3</v>
      </c>
      <c r="K10" s="8">
        <v>8</v>
      </c>
      <c r="L10" s="8" t="s">
        <v>355</v>
      </c>
      <c r="M10" s="8" t="s">
        <v>346</v>
      </c>
    </row>
    <row r="11" spans="1:13" ht="15" customHeight="1" x14ac:dyDescent="0.3">
      <c r="A11" s="10" t="s">
        <v>364</v>
      </c>
      <c r="B11" s="28">
        <v>8100</v>
      </c>
      <c r="C11" s="11">
        <v>0.42</v>
      </c>
      <c r="D11" s="12">
        <v>1</v>
      </c>
      <c r="E11" s="12" t="s">
        <v>342</v>
      </c>
      <c r="F11" s="12" t="s">
        <v>349</v>
      </c>
      <c r="G11" s="28">
        <v>18100</v>
      </c>
      <c r="H11" s="12" t="s">
        <v>365</v>
      </c>
      <c r="I11" s="28">
        <v>5400</v>
      </c>
      <c r="J11" s="12">
        <v>3.4</v>
      </c>
      <c r="K11" s="12">
        <v>8</v>
      </c>
      <c r="L11" s="12" t="s">
        <v>366</v>
      </c>
      <c r="M11" s="12" t="s">
        <v>346</v>
      </c>
    </row>
    <row r="12" spans="1:13" ht="15" customHeight="1" x14ac:dyDescent="0.3">
      <c r="A12" s="6" t="s">
        <v>367</v>
      </c>
      <c r="B12" s="27">
        <v>8100</v>
      </c>
      <c r="C12" s="7">
        <v>0.32</v>
      </c>
      <c r="D12" s="8">
        <v>1</v>
      </c>
      <c r="E12" s="8" t="s">
        <v>342</v>
      </c>
      <c r="F12" s="8" t="s">
        <v>343</v>
      </c>
      <c r="G12" s="27">
        <v>12100</v>
      </c>
      <c r="H12" s="8" t="s">
        <v>344</v>
      </c>
      <c r="I12" s="27">
        <v>6600</v>
      </c>
      <c r="J12" s="8">
        <v>1.8</v>
      </c>
      <c r="K12" s="8">
        <v>7</v>
      </c>
      <c r="L12" s="8" t="s">
        <v>368</v>
      </c>
      <c r="M12" s="8" t="s">
        <v>346</v>
      </c>
    </row>
    <row r="13" spans="1:13" ht="15" customHeight="1" x14ac:dyDescent="0.3">
      <c r="A13" s="10" t="s">
        <v>369</v>
      </c>
      <c r="B13" s="28">
        <v>5400</v>
      </c>
      <c r="C13" s="11">
        <v>0.73</v>
      </c>
      <c r="D13" s="12">
        <v>0.8</v>
      </c>
      <c r="E13" s="12" t="s">
        <v>348</v>
      </c>
      <c r="F13" s="12" t="s">
        <v>370</v>
      </c>
      <c r="G13" s="28">
        <v>6600</v>
      </c>
      <c r="H13" s="12" t="s">
        <v>343</v>
      </c>
      <c r="I13" s="28">
        <v>4400</v>
      </c>
      <c r="J13" s="12">
        <v>1.5</v>
      </c>
      <c r="K13" s="12">
        <v>8</v>
      </c>
      <c r="L13" s="12" t="s">
        <v>371</v>
      </c>
      <c r="M13" s="12" t="s">
        <v>342</v>
      </c>
    </row>
    <row r="14" spans="1:13" ht="15" customHeight="1" x14ac:dyDescent="0.3">
      <c r="A14" s="6" t="s">
        <v>372</v>
      </c>
      <c r="B14" s="27">
        <v>3600</v>
      </c>
      <c r="C14" s="7">
        <v>0.5</v>
      </c>
      <c r="D14" s="8">
        <v>0.86</v>
      </c>
      <c r="E14" s="8" t="s">
        <v>348</v>
      </c>
      <c r="F14" s="8" t="s">
        <v>343</v>
      </c>
      <c r="G14" s="27">
        <v>5400</v>
      </c>
      <c r="H14" s="8" t="s">
        <v>344</v>
      </c>
      <c r="I14" s="27">
        <v>1900</v>
      </c>
      <c r="J14" s="8">
        <v>2.8</v>
      </c>
      <c r="K14" s="8">
        <v>8</v>
      </c>
      <c r="L14" s="8" t="s">
        <v>373</v>
      </c>
      <c r="M14" s="8" t="s">
        <v>346</v>
      </c>
    </row>
    <row r="15" spans="1:13" ht="15" customHeight="1" x14ac:dyDescent="0.3">
      <c r="A15" s="10" t="s">
        <v>374</v>
      </c>
      <c r="B15" s="28">
        <v>2900</v>
      </c>
      <c r="C15" s="11">
        <v>0.36</v>
      </c>
      <c r="D15" s="12">
        <v>0.79</v>
      </c>
      <c r="E15" s="12" t="s">
        <v>348</v>
      </c>
      <c r="F15" s="12" t="s">
        <v>352</v>
      </c>
      <c r="G15" s="28">
        <v>6600</v>
      </c>
      <c r="H15" s="12" t="s">
        <v>375</v>
      </c>
      <c r="I15" s="28">
        <v>1900</v>
      </c>
      <c r="J15" s="12">
        <v>3.5</v>
      </c>
      <c r="K15" s="12">
        <v>8</v>
      </c>
      <c r="L15" s="12" t="s">
        <v>376</v>
      </c>
      <c r="M15" s="12" t="s">
        <v>346</v>
      </c>
    </row>
    <row r="16" spans="1:13" ht="15" customHeight="1" x14ac:dyDescent="0.3">
      <c r="A16" s="6" t="s">
        <v>377</v>
      </c>
      <c r="B16" s="27">
        <v>2900</v>
      </c>
      <c r="C16" s="7">
        <v>0.45</v>
      </c>
      <c r="D16" s="8">
        <v>1</v>
      </c>
      <c r="E16" s="8" t="s">
        <v>342</v>
      </c>
      <c r="F16" s="8" t="s">
        <v>360</v>
      </c>
      <c r="G16" s="27">
        <v>4400</v>
      </c>
      <c r="H16" s="8" t="s">
        <v>378</v>
      </c>
      <c r="I16" s="27">
        <v>1900</v>
      </c>
      <c r="J16" s="8">
        <v>2.2999999999999998</v>
      </c>
      <c r="K16" s="8">
        <v>8</v>
      </c>
      <c r="L16" s="8" t="s">
        <v>379</v>
      </c>
      <c r="M16" s="8" t="s">
        <v>346</v>
      </c>
    </row>
    <row r="17" spans="1:13" ht="15" customHeight="1" x14ac:dyDescent="0.3">
      <c r="A17" s="10" t="s">
        <v>380</v>
      </c>
      <c r="B17" s="28">
        <v>2400</v>
      </c>
      <c r="C17" s="11">
        <v>0.55000000000000004</v>
      </c>
      <c r="D17" s="12">
        <v>0.73</v>
      </c>
      <c r="E17" s="12" t="s">
        <v>348</v>
      </c>
      <c r="F17" s="12" t="s">
        <v>349</v>
      </c>
      <c r="G17" s="28">
        <v>2900</v>
      </c>
      <c r="H17" s="12" t="s">
        <v>344</v>
      </c>
      <c r="I17" s="28">
        <v>1300</v>
      </c>
      <c r="J17" s="12">
        <v>2.2000000000000002</v>
      </c>
      <c r="K17" s="12">
        <v>8</v>
      </c>
      <c r="L17" s="12" t="s">
        <v>376</v>
      </c>
      <c r="M17" s="12" t="s">
        <v>346</v>
      </c>
    </row>
    <row r="18" spans="1:13" ht="15" customHeight="1" x14ac:dyDescent="0.3">
      <c r="A18" s="6" t="s">
        <v>381</v>
      </c>
      <c r="B18" s="27">
        <v>1900</v>
      </c>
      <c r="C18" s="7">
        <v>0.52</v>
      </c>
      <c r="D18" s="8">
        <v>1</v>
      </c>
      <c r="E18" s="8" t="s">
        <v>342</v>
      </c>
      <c r="F18" s="8" t="s">
        <v>382</v>
      </c>
      <c r="G18" s="27">
        <v>2900</v>
      </c>
      <c r="H18" s="8" t="s">
        <v>344</v>
      </c>
      <c r="I18" s="27">
        <v>1000</v>
      </c>
      <c r="J18" s="8">
        <v>2.9</v>
      </c>
      <c r="K18" s="8">
        <v>7</v>
      </c>
      <c r="L18" s="8" t="s">
        <v>383</v>
      </c>
      <c r="M18" s="8" t="s">
        <v>346</v>
      </c>
    </row>
    <row r="19" spans="1:13" ht="15" customHeight="1" x14ac:dyDescent="0.3">
      <c r="A19" s="10" t="s">
        <v>384</v>
      </c>
      <c r="B19" s="28">
        <v>1900</v>
      </c>
      <c r="C19" s="11">
        <v>0.71</v>
      </c>
      <c r="D19" s="12">
        <v>1</v>
      </c>
      <c r="E19" s="12" t="s">
        <v>342</v>
      </c>
      <c r="F19" s="12" t="s">
        <v>343</v>
      </c>
      <c r="G19" s="28">
        <v>2900</v>
      </c>
      <c r="H19" s="12" t="s">
        <v>354</v>
      </c>
      <c r="I19" s="28">
        <v>1300</v>
      </c>
      <c r="J19" s="12">
        <v>2.2000000000000002</v>
      </c>
      <c r="K19" s="12">
        <v>8</v>
      </c>
      <c r="L19" s="12" t="s">
        <v>371</v>
      </c>
      <c r="M19" s="12" t="s">
        <v>346</v>
      </c>
    </row>
    <row r="20" spans="1:13" ht="15" customHeight="1" x14ac:dyDescent="0.3">
      <c r="A20" s="6" t="s">
        <v>385</v>
      </c>
      <c r="B20" s="27">
        <v>1900</v>
      </c>
      <c r="C20" s="7">
        <v>0.89</v>
      </c>
      <c r="D20" s="8">
        <v>1</v>
      </c>
      <c r="E20" s="8" t="s">
        <v>342</v>
      </c>
      <c r="F20" s="8" t="s">
        <v>360</v>
      </c>
      <c r="G20" s="27">
        <v>3600</v>
      </c>
      <c r="H20" s="8" t="s">
        <v>354</v>
      </c>
      <c r="I20" s="27">
        <v>1300</v>
      </c>
      <c r="J20" s="8">
        <v>2.8</v>
      </c>
      <c r="K20" s="8">
        <v>7</v>
      </c>
      <c r="L20" s="8" t="s">
        <v>355</v>
      </c>
      <c r="M20" s="8" t="s">
        <v>346</v>
      </c>
    </row>
    <row r="21" spans="1:13" ht="15" customHeight="1" x14ac:dyDescent="0.3">
      <c r="A21" s="10" t="s">
        <v>386</v>
      </c>
      <c r="B21" s="28">
        <v>1900</v>
      </c>
      <c r="C21" s="11">
        <v>0.41</v>
      </c>
      <c r="D21" s="12">
        <v>1</v>
      </c>
      <c r="E21" s="12" t="s">
        <v>342</v>
      </c>
      <c r="F21" s="12" t="s">
        <v>387</v>
      </c>
      <c r="G21" s="28">
        <v>2900</v>
      </c>
      <c r="H21" s="12" t="s">
        <v>388</v>
      </c>
      <c r="I21" s="28">
        <v>1300</v>
      </c>
      <c r="J21" s="12">
        <v>2.2000000000000002</v>
      </c>
      <c r="K21" s="12">
        <v>7</v>
      </c>
      <c r="L21" s="12" t="s">
        <v>362</v>
      </c>
      <c r="M21" s="12" t="s">
        <v>346</v>
      </c>
    </row>
    <row r="22" spans="1:13" ht="15" customHeight="1" x14ac:dyDescent="0.3">
      <c r="A22" s="6" t="s">
        <v>389</v>
      </c>
      <c r="B22" s="27">
        <v>1600</v>
      </c>
      <c r="C22" s="7">
        <v>0.44</v>
      </c>
      <c r="D22" s="8">
        <v>1</v>
      </c>
      <c r="E22" s="8" t="s">
        <v>342</v>
      </c>
      <c r="F22" s="8" t="s">
        <v>390</v>
      </c>
      <c r="G22" s="27">
        <v>2400</v>
      </c>
      <c r="H22" s="8" t="s">
        <v>344</v>
      </c>
      <c r="I22" s="27">
        <v>880</v>
      </c>
      <c r="J22" s="8">
        <v>2.7</v>
      </c>
      <c r="K22" s="8">
        <v>7</v>
      </c>
      <c r="L22" s="8" t="s">
        <v>362</v>
      </c>
      <c r="M22" s="8" t="s">
        <v>346</v>
      </c>
    </row>
    <row r="23" spans="1:13" ht="15" customHeight="1" x14ac:dyDescent="0.3">
      <c r="A23" s="10" t="s">
        <v>391</v>
      </c>
      <c r="B23" s="28">
        <v>1300</v>
      </c>
      <c r="C23" s="11">
        <v>0.4</v>
      </c>
      <c r="D23" s="12">
        <v>1</v>
      </c>
      <c r="E23" s="12" t="s">
        <v>342</v>
      </c>
      <c r="F23" s="12" t="s">
        <v>343</v>
      </c>
      <c r="G23" s="28">
        <v>1600</v>
      </c>
      <c r="H23" s="12" t="s">
        <v>354</v>
      </c>
      <c r="I23" s="28">
        <v>720</v>
      </c>
      <c r="J23" s="12">
        <v>2.2000000000000002</v>
      </c>
      <c r="K23" s="12">
        <v>7</v>
      </c>
      <c r="L23" s="12" t="s">
        <v>392</v>
      </c>
      <c r="M23" s="12" t="s">
        <v>346</v>
      </c>
    </row>
    <row r="24" spans="1:13" ht="15" customHeight="1" x14ac:dyDescent="0.3">
      <c r="A24" s="6" t="s">
        <v>393</v>
      </c>
      <c r="B24" s="27">
        <v>1200</v>
      </c>
      <c r="C24" s="7">
        <v>0.44</v>
      </c>
      <c r="D24" s="8">
        <v>1</v>
      </c>
      <c r="E24" s="8" t="s">
        <v>342</v>
      </c>
      <c r="F24" s="8" t="s">
        <v>375</v>
      </c>
      <c r="G24" s="27">
        <v>1900</v>
      </c>
      <c r="H24" s="8" t="s">
        <v>360</v>
      </c>
      <c r="I24" s="27">
        <v>800</v>
      </c>
      <c r="J24" s="8">
        <v>2.4</v>
      </c>
      <c r="K24" s="8">
        <v>6</v>
      </c>
      <c r="L24" s="8" t="s">
        <v>345</v>
      </c>
      <c r="M24" s="8" t="s">
        <v>342</v>
      </c>
    </row>
    <row r="25" spans="1:13" ht="15" customHeight="1" x14ac:dyDescent="0.3">
      <c r="A25" s="10" t="s">
        <v>394</v>
      </c>
      <c r="B25" s="28">
        <v>1000</v>
      </c>
      <c r="C25" s="11">
        <v>0.48</v>
      </c>
      <c r="D25" s="12">
        <v>1</v>
      </c>
      <c r="E25" s="12" t="s">
        <v>342</v>
      </c>
      <c r="F25" s="12" t="s">
        <v>349</v>
      </c>
      <c r="G25" s="28">
        <v>2400</v>
      </c>
      <c r="H25" s="12" t="s">
        <v>344</v>
      </c>
      <c r="I25" s="28">
        <v>590</v>
      </c>
      <c r="J25" s="12">
        <v>4.0999999999999996</v>
      </c>
      <c r="K25" s="12">
        <v>7</v>
      </c>
      <c r="L25" s="12" t="s">
        <v>366</v>
      </c>
      <c r="M25" s="12" t="s">
        <v>346</v>
      </c>
    </row>
    <row r="26" spans="1:13" ht="15" customHeight="1" x14ac:dyDescent="0.3">
      <c r="A26" s="6" t="s">
        <v>395</v>
      </c>
      <c r="B26" s="27">
        <v>1000</v>
      </c>
      <c r="C26" s="7">
        <v>0.47</v>
      </c>
      <c r="D26" s="8">
        <v>1</v>
      </c>
      <c r="E26" s="8" t="s">
        <v>342</v>
      </c>
      <c r="F26" s="8" t="s">
        <v>396</v>
      </c>
      <c r="G26" s="27">
        <v>1600</v>
      </c>
      <c r="H26" s="8" t="s">
        <v>354</v>
      </c>
      <c r="I26" s="27">
        <v>880</v>
      </c>
      <c r="J26" s="8">
        <v>1.8</v>
      </c>
      <c r="K26" s="8">
        <v>6</v>
      </c>
      <c r="L26" s="8" t="s">
        <v>383</v>
      </c>
      <c r="M26" s="8" t="s">
        <v>342</v>
      </c>
    </row>
    <row r="27" spans="1:13" ht="15" customHeight="1" x14ac:dyDescent="0.3">
      <c r="A27" s="10" t="s">
        <v>397</v>
      </c>
      <c r="B27" s="28">
        <v>1000</v>
      </c>
      <c r="C27" s="11">
        <v>0.45</v>
      </c>
      <c r="D27" s="12">
        <v>1</v>
      </c>
      <c r="E27" s="12" t="s">
        <v>342</v>
      </c>
      <c r="F27" s="12" t="s">
        <v>343</v>
      </c>
      <c r="G27" s="28">
        <v>1900</v>
      </c>
      <c r="H27" s="12" t="s">
        <v>344</v>
      </c>
      <c r="I27" s="28">
        <v>480</v>
      </c>
      <c r="J27" s="12">
        <v>4</v>
      </c>
      <c r="K27" s="12">
        <v>7</v>
      </c>
      <c r="L27" s="12" t="s">
        <v>373</v>
      </c>
      <c r="M27" s="12" t="s">
        <v>346</v>
      </c>
    </row>
    <row r="28" spans="1:13" ht="15" customHeight="1" x14ac:dyDescent="0.3">
      <c r="A28" s="6" t="s">
        <v>398</v>
      </c>
      <c r="B28" s="27">
        <v>880</v>
      </c>
      <c r="C28" s="7">
        <v>0.95</v>
      </c>
      <c r="D28" s="8">
        <v>1</v>
      </c>
      <c r="E28" s="8" t="s">
        <v>342</v>
      </c>
      <c r="F28" s="8" t="s">
        <v>399</v>
      </c>
      <c r="G28" s="27">
        <v>1300</v>
      </c>
      <c r="H28" s="8" t="s">
        <v>352</v>
      </c>
      <c r="I28" s="27">
        <v>480</v>
      </c>
      <c r="J28" s="8">
        <v>2.7</v>
      </c>
      <c r="K28" s="8">
        <v>6</v>
      </c>
      <c r="L28" s="8" t="s">
        <v>355</v>
      </c>
      <c r="M28" s="8" t="s">
        <v>342</v>
      </c>
    </row>
    <row r="29" spans="1:13" ht="15" customHeight="1" x14ac:dyDescent="0.3">
      <c r="A29" s="10" t="s">
        <v>400</v>
      </c>
      <c r="B29" s="28">
        <v>590</v>
      </c>
      <c r="C29" s="11">
        <v>0.41</v>
      </c>
      <c r="D29" s="12">
        <v>1</v>
      </c>
      <c r="E29" s="12" t="s">
        <v>342</v>
      </c>
      <c r="F29" s="12" t="s">
        <v>382</v>
      </c>
      <c r="G29" s="28">
        <v>880</v>
      </c>
      <c r="H29" s="12" t="s">
        <v>354</v>
      </c>
      <c r="I29" s="28">
        <v>320</v>
      </c>
      <c r="J29" s="12">
        <v>2.8</v>
      </c>
      <c r="K29" s="12">
        <v>7</v>
      </c>
      <c r="L29" s="12" t="s">
        <v>401</v>
      </c>
      <c r="M29" s="12" t="s">
        <v>346</v>
      </c>
    </row>
    <row r="30" spans="1:13" ht="15" customHeight="1" x14ac:dyDescent="0.3">
      <c r="A30" s="6" t="s">
        <v>402</v>
      </c>
      <c r="B30" s="27">
        <v>590</v>
      </c>
      <c r="C30" s="7">
        <v>1.04</v>
      </c>
      <c r="D30" s="8">
        <v>1</v>
      </c>
      <c r="E30" s="8" t="s">
        <v>342</v>
      </c>
      <c r="F30" s="8" t="s">
        <v>403</v>
      </c>
      <c r="G30" s="27">
        <v>880</v>
      </c>
      <c r="H30" s="8" t="s">
        <v>404</v>
      </c>
      <c r="I30" s="27">
        <v>320</v>
      </c>
      <c r="J30" s="8">
        <v>2.8</v>
      </c>
      <c r="K30" s="8">
        <v>6</v>
      </c>
      <c r="L30" s="8" t="s">
        <v>355</v>
      </c>
      <c r="M30" s="8" t="s">
        <v>342</v>
      </c>
    </row>
    <row r="31" spans="1:13" ht="15" customHeight="1" x14ac:dyDescent="0.3">
      <c r="A31" s="10" t="s">
        <v>405</v>
      </c>
      <c r="B31" s="28">
        <v>590</v>
      </c>
      <c r="C31" s="11">
        <v>0.43</v>
      </c>
      <c r="D31" s="12">
        <v>1</v>
      </c>
      <c r="E31" s="12" t="s">
        <v>342</v>
      </c>
      <c r="F31" s="12" t="s">
        <v>406</v>
      </c>
      <c r="G31" s="28">
        <v>1000</v>
      </c>
      <c r="H31" s="12" t="s">
        <v>407</v>
      </c>
      <c r="I31" s="28">
        <v>390</v>
      </c>
      <c r="J31" s="12">
        <v>2.6</v>
      </c>
      <c r="K31" s="12">
        <v>7</v>
      </c>
      <c r="L31" s="12" t="s">
        <v>366</v>
      </c>
      <c r="M31" s="12" t="s">
        <v>346</v>
      </c>
    </row>
    <row r="32" spans="1:13" ht="15" customHeight="1" x14ac:dyDescent="0.3">
      <c r="A32" s="6" t="s">
        <v>408</v>
      </c>
      <c r="B32" s="27">
        <v>320</v>
      </c>
      <c r="C32" s="7">
        <v>1.54</v>
      </c>
      <c r="D32" s="8">
        <v>1</v>
      </c>
      <c r="E32" s="8" t="s">
        <v>342</v>
      </c>
      <c r="F32" s="8" t="s">
        <v>360</v>
      </c>
      <c r="G32" s="27">
        <v>480</v>
      </c>
      <c r="H32" s="8" t="s">
        <v>354</v>
      </c>
      <c r="I32" s="27">
        <v>210</v>
      </c>
      <c r="J32" s="8">
        <v>2.2999999999999998</v>
      </c>
      <c r="K32" s="8">
        <v>7</v>
      </c>
      <c r="L32" s="8" t="s">
        <v>409</v>
      </c>
      <c r="M32" s="8" t="s">
        <v>346</v>
      </c>
    </row>
    <row r="33" spans="1:13" ht="15" customHeight="1" x14ac:dyDescent="0.3">
      <c r="A33" s="10" t="s">
        <v>410</v>
      </c>
      <c r="B33" s="28">
        <v>320</v>
      </c>
      <c r="C33" s="11">
        <v>0.39</v>
      </c>
      <c r="D33" s="12">
        <v>1</v>
      </c>
      <c r="E33" s="12" t="s">
        <v>342</v>
      </c>
      <c r="F33" s="12" t="s">
        <v>382</v>
      </c>
      <c r="G33" s="28">
        <v>590</v>
      </c>
      <c r="H33" s="12" t="s">
        <v>344</v>
      </c>
      <c r="I33" s="28">
        <v>140</v>
      </c>
      <c r="J33" s="12">
        <v>4.2</v>
      </c>
      <c r="K33" s="12">
        <v>7</v>
      </c>
      <c r="L33" s="12" t="s">
        <v>411</v>
      </c>
      <c r="M33" s="12" t="s">
        <v>346</v>
      </c>
    </row>
    <row r="34" spans="1:13" ht="15" customHeight="1" x14ac:dyDescent="0.3">
      <c r="A34" s="6" t="s">
        <v>412</v>
      </c>
      <c r="B34" s="27">
        <v>320</v>
      </c>
      <c r="C34" s="7">
        <v>0.48</v>
      </c>
      <c r="D34" s="8">
        <v>1</v>
      </c>
      <c r="E34" s="8" t="s">
        <v>342</v>
      </c>
      <c r="F34" s="8" t="s">
        <v>343</v>
      </c>
      <c r="G34" s="27">
        <v>480</v>
      </c>
      <c r="H34" s="8" t="s">
        <v>354</v>
      </c>
      <c r="I34" s="27">
        <v>140</v>
      </c>
      <c r="J34" s="8">
        <v>3.4</v>
      </c>
      <c r="K34" s="8">
        <v>7</v>
      </c>
      <c r="L34" s="8" t="s">
        <v>401</v>
      </c>
      <c r="M34" s="8" t="s">
        <v>346</v>
      </c>
    </row>
    <row r="35" spans="1:13" ht="15" customHeight="1" x14ac:dyDescent="0.3">
      <c r="A35" s="10" t="s">
        <v>413</v>
      </c>
      <c r="B35" s="28">
        <v>320</v>
      </c>
      <c r="C35" s="11">
        <v>0.5</v>
      </c>
      <c r="D35" s="12">
        <v>1</v>
      </c>
      <c r="E35" s="12" t="s">
        <v>342</v>
      </c>
      <c r="F35" s="12" t="s">
        <v>414</v>
      </c>
      <c r="G35" s="28">
        <v>590</v>
      </c>
      <c r="H35" s="12" t="s">
        <v>352</v>
      </c>
      <c r="I35" s="28">
        <v>110</v>
      </c>
      <c r="J35" s="12">
        <v>5.4</v>
      </c>
      <c r="K35" s="12">
        <v>6</v>
      </c>
      <c r="L35" s="12" t="s">
        <v>383</v>
      </c>
      <c r="M35" s="12" t="s">
        <v>342</v>
      </c>
    </row>
    <row r="36" spans="1:13" ht="15" customHeight="1" x14ac:dyDescent="0.3">
      <c r="A36" s="6" t="s">
        <v>415</v>
      </c>
      <c r="B36" s="27">
        <v>320</v>
      </c>
      <c r="C36" s="7">
        <v>0.42</v>
      </c>
      <c r="D36" s="8">
        <v>0.86</v>
      </c>
      <c r="E36" s="8" t="s">
        <v>348</v>
      </c>
      <c r="F36" s="8" t="s">
        <v>360</v>
      </c>
      <c r="G36" s="27">
        <v>390</v>
      </c>
      <c r="H36" s="8" t="s">
        <v>403</v>
      </c>
      <c r="I36" s="27">
        <v>210</v>
      </c>
      <c r="J36" s="8">
        <v>1.9</v>
      </c>
      <c r="K36" s="8">
        <v>7</v>
      </c>
      <c r="L36" s="8" t="s">
        <v>366</v>
      </c>
      <c r="M36" s="8" t="s">
        <v>346</v>
      </c>
    </row>
    <row r="37" spans="1:13" ht="15" customHeight="1" x14ac:dyDescent="0.3">
      <c r="A37" s="10" t="s">
        <v>416</v>
      </c>
      <c r="B37" s="28">
        <v>210</v>
      </c>
      <c r="C37" s="11">
        <v>0.46</v>
      </c>
      <c r="D37" s="12">
        <v>1</v>
      </c>
      <c r="E37" s="12" t="s">
        <v>342</v>
      </c>
      <c r="F37" s="12" t="s">
        <v>343</v>
      </c>
      <c r="G37" s="28">
        <v>320</v>
      </c>
      <c r="H37" s="12" t="s">
        <v>344</v>
      </c>
      <c r="I37" s="28">
        <v>90</v>
      </c>
      <c r="J37" s="12">
        <v>3.6</v>
      </c>
      <c r="K37" s="12">
        <v>7</v>
      </c>
      <c r="L37" s="12" t="s">
        <v>379</v>
      </c>
      <c r="M37" s="12" t="s">
        <v>346</v>
      </c>
    </row>
    <row r="38" spans="1:13" ht="15" customHeight="1" x14ac:dyDescent="0.3">
      <c r="A38" s="6" t="s">
        <v>417</v>
      </c>
      <c r="B38" s="27">
        <v>260</v>
      </c>
      <c r="C38" s="7">
        <v>0.66</v>
      </c>
      <c r="D38" s="8">
        <v>1</v>
      </c>
      <c r="E38" s="8" t="s">
        <v>342</v>
      </c>
      <c r="F38" s="8" t="s">
        <v>343</v>
      </c>
      <c r="G38" s="27">
        <v>320</v>
      </c>
      <c r="H38" s="8" t="s">
        <v>344</v>
      </c>
      <c r="I38" s="27">
        <v>140</v>
      </c>
      <c r="J38" s="8">
        <v>2.2999999999999998</v>
      </c>
      <c r="K38" s="8">
        <v>6</v>
      </c>
      <c r="L38" s="8" t="s">
        <v>379</v>
      </c>
      <c r="M38" s="8" t="s">
        <v>342</v>
      </c>
    </row>
    <row r="39" spans="1:13" ht="15" customHeight="1" x14ac:dyDescent="0.3">
      <c r="A39" s="10" t="s">
        <v>418</v>
      </c>
      <c r="B39" s="28">
        <v>170</v>
      </c>
      <c r="C39" s="11">
        <v>0.32</v>
      </c>
      <c r="D39" s="12">
        <v>1</v>
      </c>
      <c r="E39" s="12" t="s">
        <v>342</v>
      </c>
      <c r="F39" s="12" t="s">
        <v>343</v>
      </c>
      <c r="G39" s="28">
        <v>260</v>
      </c>
      <c r="H39" s="12" t="s">
        <v>378</v>
      </c>
      <c r="I39" s="28">
        <v>90</v>
      </c>
      <c r="J39" s="12">
        <v>2.9</v>
      </c>
      <c r="K39" s="12">
        <v>5</v>
      </c>
      <c r="L39" s="12" t="s">
        <v>345</v>
      </c>
      <c r="M39" s="12" t="s">
        <v>348</v>
      </c>
    </row>
    <row r="40" spans="1:13" ht="15" customHeight="1" x14ac:dyDescent="0.3">
      <c r="A40" s="6" t="s">
        <v>419</v>
      </c>
      <c r="B40" s="27">
        <v>140</v>
      </c>
      <c r="C40" s="7">
        <v>0.41</v>
      </c>
      <c r="D40" s="8">
        <v>1</v>
      </c>
      <c r="E40" s="8" t="s">
        <v>342</v>
      </c>
      <c r="F40" s="8" t="s">
        <v>343</v>
      </c>
      <c r="G40" s="27">
        <v>210</v>
      </c>
      <c r="H40" s="8" t="s">
        <v>378</v>
      </c>
      <c r="I40" s="27">
        <v>50</v>
      </c>
      <c r="J40" s="8">
        <v>4.2</v>
      </c>
      <c r="K40" s="8">
        <v>7</v>
      </c>
      <c r="L40" s="8" t="s">
        <v>371</v>
      </c>
      <c r="M40" s="8" t="s">
        <v>346</v>
      </c>
    </row>
    <row r="41" spans="1:13" ht="15" customHeight="1" x14ac:dyDescent="0.3">
      <c r="A41" s="10" t="s">
        <v>420</v>
      </c>
      <c r="B41" s="28">
        <v>140</v>
      </c>
      <c r="C41" s="11">
        <v>0.32</v>
      </c>
      <c r="D41" s="12">
        <v>1</v>
      </c>
      <c r="E41" s="12" t="s">
        <v>342</v>
      </c>
      <c r="F41" s="12" t="s">
        <v>421</v>
      </c>
      <c r="G41" s="28">
        <v>170</v>
      </c>
      <c r="H41" s="12" t="s">
        <v>387</v>
      </c>
      <c r="I41" s="28">
        <v>110</v>
      </c>
      <c r="J41" s="12">
        <v>1.5</v>
      </c>
      <c r="K41" s="12">
        <v>6</v>
      </c>
      <c r="L41" s="12" t="s">
        <v>376</v>
      </c>
      <c r="M41" s="12" t="s">
        <v>342</v>
      </c>
    </row>
    <row r="42" spans="1:13" ht="15" customHeight="1" x14ac:dyDescent="0.3">
      <c r="A42" s="6" t="s">
        <v>422</v>
      </c>
      <c r="B42" s="27">
        <v>110</v>
      </c>
      <c r="C42" s="7">
        <v>1.69</v>
      </c>
      <c r="D42" s="8">
        <v>0.99</v>
      </c>
      <c r="E42" s="8" t="s">
        <v>342</v>
      </c>
      <c r="F42" s="8" t="s">
        <v>423</v>
      </c>
      <c r="G42" s="27">
        <v>170</v>
      </c>
      <c r="H42" s="8" t="s">
        <v>344</v>
      </c>
      <c r="I42" s="27">
        <v>50</v>
      </c>
      <c r="J42" s="8">
        <v>3.4</v>
      </c>
      <c r="K42" s="8">
        <v>6</v>
      </c>
      <c r="L42" s="8" t="s">
        <v>409</v>
      </c>
      <c r="M42" s="8" t="s">
        <v>346</v>
      </c>
    </row>
    <row r="43" spans="1:13" ht="15" customHeight="1" x14ac:dyDescent="0.3">
      <c r="A43" s="10" t="s">
        <v>424</v>
      </c>
      <c r="B43" s="28">
        <v>110</v>
      </c>
      <c r="C43" s="11">
        <v>0.24</v>
      </c>
      <c r="D43" s="12">
        <v>0.99</v>
      </c>
      <c r="E43" s="12" t="s">
        <v>342</v>
      </c>
      <c r="F43" s="12" t="s">
        <v>343</v>
      </c>
      <c r="G43" s="28">
        <v>170</v>
      </c>
      <c r="H43" s="12" t="s">
        <v>399</v>
      </c>
      <c r="I43" s="28">
        <v>70</v>
      </c>
      <c r="J43" s="12">
        <v>2.4</v>
      </c>
      <c r="K43" s="12">
        <v>6</v>
      </c>
      <c r="L43" s="12" t="s">
        <v>368</v>
      </c>
      <c r="M43" s="12" t="s">
        <v>342</v>
      </c>
    </row>
    <row r="44" spans="1:13" ht="15" customHeight="1" x14ac:dyDescent="0.3">
      <c r="A44" s="6" t="s">
        <v>425</v>
      </c>
      <c r="B44" s="27">
        <v>90</v>
      </c>
      <c r="C44" s="7">
        <v>0.55000000000000004</v>
      </c>
      <c r="D44" s="8">
        <v>1</v>
      </c>
      <c r="E44" s="8" t="s">
        <v>342</v>
      </c>
      <c r="F44" s="8" t="s">
        <v>352</v>
      </c>
      <c r="G44" s="27">
        <v>140</v>
      </c>
      <c r="H44" s="8" t="s">
        <v>378</v>
      </c>
      <c r="I44" s="27">
        <v>30</v>
      </c>
      <c r="J44" s="8">
        <v>4.7</v>
      </c>
      <c r="K44" s="8">
        <v>6</v>
      </c>
      <c r="L44" s="8" t="s">
        <v>362</v>
      </c>
      <c r="M44" s="8" t="s">
        <v>342</v>
      </c>
    </row>
    <row r="45" spans="1:13" ht="15" customHeight="1" x14ac:dyDescent="0.3">
      <c r="A45" s="10" t="s">
        <v>426</v>
      </c>
      <c r="B45" s="28">
        <v>70</v>
      </c>
      <c r="C45" s="11">
        <v>1.2</v>
      </c>
      <c r="D45" s="12">
        <v>1</v>
      </c>
      <c r="E45" s="12" t="s">
        <v>342</v>
      </c>
      <c r="F45" s="12" t="s">
        <v>349</v>
      </c>
      <c r="G45" s="28">
        <v>110</v>
      </c>
      <c r="H45" s="12" t="s">
        <v>427</v>
      </c>
      <c r="I45" s="28">
        <v>40</v>
      </c>
      <c r="J45" s="12">
        <v>2.8</v>
      </c>
      <c r="K45" s="12">
        <v>5</v>
      </c>
      <c r="L45" s="12" t="s">
        <v>409</v>
      </c>
      <c r="M45" s="12" t="s">
        <v>346</v>
      </c>
    </row>
    <row r="46" spans="1:13" ht="15" customHeight="1" x14ac:dyDescent="0.3">
      <c r="A46" s="6" t="s">
        <v>428</v>
      </c>
      <c r="B46" s="27">
        <v>70</v>
      </c>
      <c r="C46" s="7">
        <v>0</v>
      </c>
      <c r="D46" s="8">
        <v>0.94</v>
      </c>
      <c r="E46" s="8" t="s">
        <v>342</v>
      </c>
      <c r="F46" s="8" t="s">
        <v>352</v>
      </c>
      <c r="G46" s="27">
        <v>140</v>
      </c>
      <c r="H46" s="8" t="s">
        <v>378</v>
      </c>
      <c r="I46" s="27">
        <v>30</v>
      </c>
      <c r="J46" s="8">
        <v>4.7</v>
      </c>
      <c r="K46" s="8">
        <v>6</v>
      </c>
      <c r="L46" s="8" t="s">
        <v>383</v>
      </c>
      <c r="M46" s="8" t="s">
        <v>346</v>
      </c>
    </row>
    <row r="47" spans="1:13" ht="15" customHeight="1" x14ac:dyDescent="0.3">
      <c r="A47" s="10" t="s">
        <v>429</v>
      </c>
      <c r="B47" s="28">
        <v>70</v>
      </c>
      <c r="C47" s="11">
        <v>0</v>
      </c>
      <c r="D47" s="12">
        <v>0.33</v>
      </c>
      <c r="E47" s="12" t="s">
        <v>430</v>
      </c>
      <c r="F47" s="12" t="s">
        <v>358</v>
      </c>
      <c r="G47" s="28">
        <v>110</v>
      </c>
      <c r="H47" s="12" t="s">
        <v>390</v>
      </c>
      <c r="I47" s="28">
        <v>10</v>
      </c>
      <c r="J47" s="12">
        <v>11</v>
      </c>
      <c r="K47" s="12">
        <v>7</v>
      </c>
      <c r="L47" s="12" t="s">
        <v>409</v>
      </c>
      <c r="M47" s="12" t="s">
        <v>346</v>
      </c>
    </row>
    <row r="48" spans="1:13" ht="15" customHeight="1" x14ac:dyDescent="0.3">
      <c r="A48" s="6" t="s">
        <v>431</v>
      </c>
      <c r="B48" s="27">
        <v>70</v>
      </c>
      <c r="C48" s="7">
        <v>0.55000000000000004</v>
      </c>
      <c r="D48" s="8">
        <v>1</v>
      </c>
      <c r="E48" s="8" t="s">
        <v>342</v>
      </c>
      <c r="F48" s="8" t="s">
        <v>421</v>
      </c>
      <c r="G48" s="27">
        <v>110</v>
      </c>
      <c r="H48" s="8" t="s">
        <v>344</v>
      </c>
      <c r="I48" s="27">
        <v>30</v>
      </c>
      <c r="J48" s="8">
        <v>3.7</v>
      </c>
      <c r="K48" s="8">
        <v>6</v>
      </c>
      <c r="L48" s="8" t="s">
        <v>401</v>
      </c>
      <c r="M48" s="8" t="s">
        <v>342</v>
      </c>
    </row>
    <row r="49" spans="1:13" ht="15" customHeight="1" x14ac:dyDescent="0.3">
      <c r="A49" s="10" t="s">
        <v>432</v>
      </c>
      <c r="B49" s="28">
        <v>50</v>
      </c>
      <c r="C49" s="11">
        <v>0</v>
      </c>
      <c r="D49" s="12">
        <v>1</v>
      </c>
      <c r="E49" s="12" t="s">
        <v>342</v>
      </c>
      <c r="F49" s="12" t="s">
        <v>414</v>
      </c>
      <c r="G49" s="28">
        <v>110</v>
      </c>
      <c r="H49" s="12" t="s">
        <v>357</v>
      </c>
      <c r="I49" s="28">
        <v>30</v>
      </c>
      <c r="J49" s="12">
        <v>3.7</v>
      </c>
      <c r="K49" s="12">
        <v>5</v>
      </c>
      <c r="L49" s="12" t="s">
        <v>409</v>
      </c>
      <c r="M49" s="12" t="s">
        <v>342</v>
      </c>
    </row>
    <row r="50" spans="1:13" ht="15" customHeight="1" x14ac:dyDescent="0.3">
      <c r="A50" s="6" t="s">
        <v>433</v>
      </c>
      <c r="B50" s="27">
        <v>30</v>
      </c>
      <c r="C50" s="7">
        <v>0</v>
      </c>
      <c r="D50" s="8">
        <v>0.8</v>
      </c>
      <c r="E50" s="8" t="s">
        <v>348</v>
      </c>
      <c r="F50" s="8" t="s">
        <v>344</v>
      </c>
      <c r="G50" s="27">
        <v>70</v>
      </c>
      <c r="H50" s="8" t="s">
        <v>434</v>
      </c>
      <c r="I50" s="27">
        <v>10</v>
      </c>
      <c r="J50" s="8">
        <v>7</v>
      </c>
      <c r="K50" s="8">
        <v>5</v>
      </c>
      <c r="L50" s="8" t="s">
        <v>409</v>
      </c>
      <c r="M50" s="8" t="s">
        <v>342</v>
      </c>
    </row>
    <row r="51" spans="1:13" ht="15" customHeight="1" x14ac:dyDescent="0.3">
      <c r="A51" s="10" t="s">
        <v>435</v>
      </c>
      <c r="B51" s="28">
        <v>30</v>
      </c>
      <c r="C51" s="11">
        <v>0</v>
      </c>
      <c r="D51" s="12">
        <v>1</v>
      </c>
      <c r="E51" s="12" t="s">
        <v>342</v>
      </c>
      <c r="F51" s="12" t="s">
        <v>357</v>
      </c>
      <c r="G51" s="28">
        <v>140</v>
      </c>
      <c r="H51" s="12" t="s">
        <v>436</v>
      </c>
      <c r="I51" s="28">
        <v>10</v>
      </c>
      <c r="J51" s="12">
        <v>14</v>
      </c>
      <c r="K51" s="12">
        <v>5</v>
      </c>
      <c r="L51" s="12" t="s">
        <v>409</v>
      </c>
      <c r="M51" s="12" t="s">
        <v>342</v>
      </c>
    </row>
    <row r="52" spans="1:13" ht="15" customHeight="1" x14ac:dyDescent="0.3">
      <c r="A52" s="6" t="s">
        <v>437</v>
      </c>
      <c r="B52" s="27">
        <v>20</v>
      </c>
      <c r="C52" s="7">
        <v>0</v>
      </c>
      <c r="D52" s="8">
        <v>0.44</v>
      </c>
      <c r="E52" s="8" t="s">
        <v>430</v>
      </c>
      <c r="F52" s="8" t="s">
        <v>357</v>
      </c>
      <c r="G52" s="27">
        <v>40</v>
      </c>
      <c r="H52" s="8" t="s">
        <v>378</v>
      </c>
      <c r="I52" s="27">
        <v>10</v>
      </c>
      <c r="J52" s="8">
        <v>4</v>
      </c>
      <c r="K52" s="8">
        <v>5</v>
      </c>
      <c r="L52" s="8" t="s">
        <v>409</v>
      </c>
      <c r="M52" s="8" t="s">
        <v>348</v>
      </c>
    </row>
    <row r="53" spans="1:13" ht="15" customHeight="1" x14ac:dyDescent="0.3">
      <c r="A53" s="10" t="s">
        <v>438</v>
      </c>
      <c r="B53" s="28">
        <v>20</v>
      </c>
      <c r="C53" s="11">
        <v>0</v>
      </c>
      <c r="D53" s="12">
        <v>1</v>
      </c>
      <c r="E53" s="12" t="s">
        <v>342</v>
      </c>
      <c r="F53" s="12" t="s">
        <v>354</v>
      </c>
      <c r="G53" s="28">
        <v>40</v>
      </c>
      <c r="H53" s="12" t="s">
        <v>349</v>
      </c>
      <c r="I53" s="28">
        <v>10</v>
      </c>
      <c r="J53" s="12">
        <v>4</v>
      </c>
      <c r="K53" s="12">
        <v>4</v>
      </c>
      <c r="L53" s="12" t="s">
        <v>409</v>
      </c>
      <c r="M53" s="12" t="s">
        <v>348</v>
      </c>
    </row>
    <row r="54" spans="1:13" ht="15" customHeight="1" x14ac:dyDescent="0.3">
      <c r="A54" s="6" t="s">
        <v>439</v>
      </c>
      <c r="B54" s="27">
        <v>20</v>
      </c>
      <c r="C54" s="7">
        <v>0.34</v>
      </c>
      <c r="D54" s="8">
        <v>0.9</v>
      </c>
      <c r="E54" s="8" t="s">
        <v>342</v>
      </c>
      <c r="F54" s="8" t="s">
        <v>357</v>
      </c>
      <c r="G54" s="27">
        <v>50</v>
      </c>
      <c r="H54" s="8" t="s">
        <v>440</v>
      </c>
      <c r="I54" s="27">
        <v>10</v>
      </c>
      <c r="J54" s="8">
        <v>5</v>
      </c>
      <c r="K54" s="8">
        <v>5</v>
      </c>
      <c r="L54" s="8" t="s">
        <v>411</v>
      </c>
      <c r="M54" s="8" t="s">
        <v>342</v>
      </c>
    </row>
  </sheetData>
  <mergeCells count="1">
    <mergeCell ref="A1:M1"/>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5722"/>
  </sheetPr>
  <dimension ref="A1:L73"/>
  <sheetViews>
    <sheetView topLeftCell="A49" zoomScaleNormal="100" workbookViewId="0">
      <selection activeCell="B79" sqref="B79"/>
    </sheetView>
  </sheetViews>
  <sheetFormatPr defaultColWidth="8.6640625" defaultRowHeight="15" customHeight="1" x14ac:dyDescent="0.3"/>
  <cols>
    <col min="1" max="1" width="24" style="1" customWidth="1"/>
    <col min="2" max="2" width="52" style="1" customWidth="1"/>
    <col min="3" max="4" width="14" style="1" customWidth="1"/>
    <col min="5" max="5" width="16" style="1" customWidth="1"/>
    <col min="6" max="6" width="14" style="1" customWidth="1"/>
    <col min="7" max="7" width="16" style="1" customWidth="1"/>
    <col min="8" max="8" width="14" style="1" customWidth="1"/>
    <col min="9" max="9" width="22" style="1" customWidth="1"/>
    <col min="10" max="12" width="14" style="1" customWidth="1"/>
  </cols>
  <sheetData>
    <row r="1" spans="1:12" ht="19.5" customHeight="1" x14ac:dyDescent="0.4">
      <c r="A1" s="60" t="s">
        <v>441</v>
      </c>
      <c r="B1" s="60"/>
      <c r="C1" s="60"/>
      <c r="D1" s="60"/>
      <c r="E1" s="60"/>
      <c r="F1" s="60"/>
      <c r="G1" s="60"/>
      <c r="H1" s="60"/>
      <c r="I1" s="60"/>
      <c r="J1" s="60"/>
      <c r="K1" s="60"/>
      <c r="L1" s="60"/>
    </row>
    <row r="2" spans="1:12" ht="15" customHeight="1" x14ac:dyDescent="0.3">
      <c r="A2" s="45" t="s">
        <v>442</v>
      </c>
      <c r="B2" s="45"/>
      <c r="C2" s="45"/>
      <c r="D2" s="45"/>
      <c r="E2" s="45"/>
      <c r="F2" s="45"/>
      <c r="G2" s="45"/>
      <c r="H2" s="45"/>
      <c r="I2" s="45"/>
      <c r="J2" s="45"/>
      <c r="K2" s="45"/>
      <c r="L2" s="45"/>
    </row>
    <row r="4" spans="1:12" ht="15" customHeight="1" x14ac:dyDescent="0.3">
      <c r="A4" s="29" t="s">
        <v>443</v>
      </c>
    </row>
    <row r="6" spans="1:12" ht="15" customHeight="1" x14ac:dyDescent="0.3">
      <c r="A6" s="2" t="s">
        <v>444</v>
      </c>
    </row>
    <row r="7" spans="1:12" ht="15" customHeight="1" x14ac:dyDescent="0.3">
      <c r="A7" s="5" t="s">
        <v>445</v>
      </c>
      <c r="B7" s="5" t="s">
        <v>446</v>
      </c>
      <c r="C7" s="5" t="s">
        <v>96</v>
      </c>
      <c r="D7" s="5" t="s">
        <v>447</v>
      </c>
      <c r="E7" s="5" t="s">
        <v>27</v>
      </c>
      <c r="F7" s="5" t="s">
        <v>448</v>
      </c>
    </row>
    <row r="8" spans="1:12" ht="23.25" customHeight="1" x14ac:dyDescent="0.3">
      <c r="A8" s="6">
        <v>1</v>
      </c>
      <c r="B8" s="6" t="s">
        <v>449</v>
      </c>
      <c r="C8" s="7">
        <v>27.48</v>
      </c>
      <c r="D8" s="8" t="s">
        <v>450</v>
      </c>
      <c r="E8" s="8" t="s">
        <v>451</v>
      </c>
      <c r="F8" s="8" t="s">
        <v>452</v>
      </c>
    </row>
    <row r="9" spans="1:12" ht="23.25" customHeight="1" x14ac:dyDescent="0.3">
      <c r="A9" s="10">
        <v>2</v>
      </c>
      <c r="B9" s="10" t="s">
        <v>453</v>
      </c>
      <c r="C9" s="11">
        <v>49.32</v>
      </c>
      <c r="D9" s="12" t="s">
        <v>114</v>
      </c>
      <c r="E9" s="12" t="s">
        <v>451</v>
      </c>
      <c r="F9" s="12" t="s">
        <v>454</v>
      </c>
    </row>
    <row r="10" spans="1:12" ht="23.25" customHeight="1" x14ac:dyDescent="0.3">
      <c r="A10" s="6">
        <v>3</v>
      </c>
      <c r="B10" s="6" t="s">
        <v>455</v>
      </c>
      <c r="C10" s="7">
        <v>22.86</v>
      </c>
      <c r="D10" s="8" t="s">
        <v>450</v>
      </c>
      <c r="E10" s="8" t="s">
        <v>451</v>
      </c>
      <c r="F10" s="8" t="s">
        <v>456</v>
      </c>
    </row>
    <row r="11" spans="1:12" ht="23.25" customHeight="1" x14ac:dyDescent="0.3">
      <c r="A11" s="10">
        <v>4</v>
      </c>
      <c r="B11" s="10" t="s">
        <v>457</v>
      </c>
      <c r="C11" s="11">
        <v>24.58</v>
      </c>
      <c r="D11" s="12" t="s">
        <v>450</v>
      </c>
      <c r="E11" s="12" t="s">
        <v>458</v>
      </c>
      <c r="F11" s="12" t="s">
        <v>459</v>
      </c>
    </row>
    <row r="12" spans="1:12" ht="34.5" customHeight="1" x14ac:dyDescent="0.3">
      <c r="A12" s="6">
        <v>5</v>
      </c>
      <c r="B12" s="6" t="s">
        <v>460</v>
      </c>
      <c r="C12" s="7">
        <v>308.35000000000002</v>
      </c>
      <c r="D12" s="8" t="s">
        <v>461</v>
      </c>
      <c r="E12" s="8" t="s">
        <v>451</v>
      </c>
      <c r="F12" s="8" t="s">
        <v>462</v>
      </c>
    </row>
    <row r="13" spans="1:12" ht="23.25" customHeight="1" x14ac:dyDescent="0.3">
      <c r="A13" s="10">
        <v>6</v>
      </c>
      <c r="B13" s="10" t="s">
        <v>463</v>
      </c>
      <c r="C13" s="11">
        <v>156.22999999999999</v>
      </c>
      <c r="D13" s="12" t="s">
        <v>461</v>
      </c>
      <c r="E13" s="12" t="s">
        <v>458</v>
      </c>
      <c r="F13" s="12" t="s">
        <v>464</v>
      </c>
    </row>
    <row r="15" spans="1:12" ht="15" customHeight="1" x14ac:dyDescent="0.3">
      <c r="A15" s="2" t="s">
        <v>465</v>
      </c>
      <c r="B15" s="30" t="s">
        <v>466</v>
      </c>
    </row>
    <row r="17" spans="1:6" ht="15" customHeight="1" x14ac:dyDescent="0.3">
      <c r="A17" s="2" t="s">
        <v>467</v>
      </c>
    </row>
    <row r="18" spans="1:6" ht="15" customHeight="1" x14ac:dyDescent="0.3">
      <c r="A18" s="5" t="s">
        <v>445</v>
      </c>
      <c r="B18" s="5" t="s">
        <v>446</v>
      </c>
      <c r="C18" s="5" t="s">
        <v>96</v>
      </c>
      <c r="D18" s="5" t="s">
        <v>447</v>
      </c>
      <c r="E18" s="5" t="s">
        <v>27</v>
      </c>
      <c r="F18" s="5" t="s">
        <v>448</v>
      </c>
    </row>
    <row r="19" spans="1:6" ht="23.25" customHeight="1" x14ac:dyDescent="0.3">
      <c r="A19" s="6">
        <v>1</v>
      </c>
      <c r="B19" s="6" t="s">
        <v>468</v>
      </c>
      <c r="C19" s="7">
        <v>23.02</v>
      </c>
      <c r="D19" s="8" t="s">
        <v>450</v>
      </c>
      <c r="E19" s="8" t="s">
        <v>469</v>
      </c>
      <c r="F19" s="8" t="s">
        <v>470</v>
      </c>
    </row>
    <row r="20" spans="1:6" ht="23.25" customHeight="1" x14ac:dyDescent="0.3">
      <c r="A20" s="10">
        <v>2</v>
      </c>
      <c r="B20" s="10" t="s">
        <v>471</v>
      </c>
      <c r="C20" s="11">
        <v>33.18</v>
      </c>
      <c r="D20" s="12" t="s">
        <v>450</v>
      </c>
      <c r="E20" s="12" t="s">
        <v>469</v>
      </c>
      <c r="F20" s="12" t="s">
        <v>472</v>
      </c>
    </row>
    <row r="21" spans="1:6" ht="34.5" customHeight="1" x14ac:dyDescent="0.3">
      <c r="A21" s="6">
        <v>3</v>
      </c>
      <c r="B21" s="6" t="s">
        <v>473</v>
      </c>
      <c r="C21" s="7">
        <v>29.59</v>
      </c>
      <c r="D21" s="8" t="s">
        <v>450</v>
      </c>
      <c r="E21" s="8" t="s">
        <v>469</v>
      </c>
      <c r="F21" s="8" t="s">
        <v>474</v>
      </c>
    </row>
    <row r="22" spans="1:6" ht="34.5" customHeight="1" x14ac:dyDescent="0.3">
      <c r="A22" s="10">
        <v>4</v>
      </c>
      <c r="B22" s="10" t="s">
        <v>475</v>
      </c>
      <c r="C22" s="11">
        <v>22.01</v>
      </c>
      <c r="D22" s="12" t="s">
        <v>450</v>
      </c>
      <c r="E22" s="12" t="s">
        <v>469</v>
      </c>
      <c r="F22" s="12" t="s">
        <v>476</v>
      </c>
    </row>
    <row r="23" spans="1:6" ht="15" customHeight="1" x14ac:dyDescent="0.3">
      <c r="A23" s="6">
        <v>5</v>
      </c>
      <c r="B23" s="6" t="s">
        <v>477</v>
      </c>
      <c r="C23" s="7">
        <v>26.14</v>
      </c>
      <c r="D23" s="8" t="s">
        <v>450</v>
      </c>
      <c r="E23" s="8" t="s">
        <v>469</v>
      </c>
      <c r="F23" s="8" t="s">
        <v>478</v>
      </c>
    </row>
    <row r="24" spans="1:6" ht="34.5" customHeight="1" x14ac:dyDescent="0.3">
      <c r="A24" s="10">
        <v>6</v>
      </c>
      <c r="B24" s="10" t="s">
        <v>479</v>
      </c>
      <c r="C24" s="11">
        <v>43.68</v>
      </c>
      <c r="D24" s="12" t="s">
        <v>450</v>
      </c>
      <c r="E24" s="12" t="s">
        <v>469</v>
      </c>
      <c r="F24" s="12" t="s">
        <v>480</v>
      </c>
    </row>
    <row r="25" spans="1:6" ht="23.25" customHeight="1" x14ac:dyDescent="0.3">
      <c r="A25" s="6">
        <v>7</v>
      </c>
      <c r="B25" s="6" t="s">
        <v>481</v>
      </c>
      <c r="C25" s="7">
        <v>19.54</v>
      </c>
      <c r="D25" s="8" t="s">
        <v>450</v>
      </c>
      <c r="E25" s="8" t="s">
        <v>469</v>
      </c>
      <c r="F25" s="8" t="s">
        <v>482</v>
      </c>
    </row>
    <row r="27" spans="1:6" ht="15" customHeight="1" x14ac:dyDescent="0.3">
      <c r="A27" s="2" t="s">
        <v>483</v>
      </c>
      <c r="B27" s="30" t="s">
        <v>484</v>
      </c>
    </row>
    <row r="29" spans="1:6" ht="15" customHeight="1" x14ac:dyDescent="0.3">
      <c r="A29" s="2" t="s">
        <v>485</v>
      </c>
    </row>
    <row r="30" spans="1:6" ht="15" customHeight="1" x14ac:dyDescent="0.3">
      <c r="A30" s="5" t="s">
        <v>445</v>
      </c>
      <c r="B30" s="5" t="s">
        <v>446</v>
      </c>
      <c r="C30" s="5" t="s">
        <v>96</v>
      </c>
      <c r="D30" s="5" t="s">
        <v>447</v>
      </c>
      <c r="E30" s="5" t="s">
        <v>27</v>
      </c>
      <c r="F30" s="5" t="s">
        <v>448</v>
      </c>
    </row>
    <row r="31" spans="1:6" ht="45.75" customHeight="1" x14ac:dyDescent="0.3">
      <c r="A31" s="6">
        <v>1</v>
      </c>
      <c r="B31" s="6" t="s">
        <v>486</v>
      </c>
      <c r="C31" s="7">
        <v>129</v>
      </c>
      <c r="D31" s="8" t="s">
        <v>487</v>
      </c>
      <c r="E31" s="8" t="s">
        <v>488</v>
      </c>
      <c r="F31" s="8" t="s">
        <v>489</v>
      </c>
    </row>
    <row r="32" spans="1:6" ht="34.5" customHeight="1" x14ac:dyDescent="0.3">
      <c r="A32" s="10">
        <v>2</v>
      </c>
      <c r="B32" s="10" t="s">
        <v>490</v>
      </c>
      <c r="C32" s="11">
        <v>129</v>
      </c>
      <c r="D32" s="12" t="s">
        <v>487</v>
      </c>
      <c r="E32" s="12" t="s">
        <v>488</v>
      </c>
      <c r="F32" s="12" t="s">
        <v>491</v>
      </c>
    </row>
    <row r="33" spans="1:9" ht="23.25" customHeight="1" x14ac:dyDescent="0.3">
      <c r="A33" s="6">
        <v>3</v>
      </c>
      <c r="B33" s="6" t="s">
        <v>449</v>
      </c>
      <c r="C33" s="7">
        <v>27.48</v>
      </c>
      <c r="D33" s="8" t="s">
        <v>450</v>
      </c>
      <c r="E33" s="8" t="s">
        <v>451</v>
      </c>
      <c r="F33" s="8" t="s">
        <v>492</v>
      </c>
    </row>
    <row r="34" spans="1:9" ht="23.25" customHeight="1" x14ac:dyDescent="0.3">
      <c r="A34" s="10">
        <v>4</v>
      </c>
      <c r="B34" s="10" t="s">
        <v>493</v>
      </c>
      <c r="C34" s="11">
        <v>52.66</v>
      </c>
      <c r="D34" s="12" t="s">
        <v>494</v>
      </c>
      <c r="E34" s="12" t="s">
        <v>451</v>
      </c>
      <c r="F34" s="12" t="s">
        <v>495</v>
      </c>
    </row>
    <row r="35" spans="1:9" ht="23.25" customHeight="1" x14ac:dyDescent="0.3">
      <c r="A35" s="6">
        <v>5</v>
      </c>
      <c r="B35" s="6" t="s">
        <v>496</v>
      </c>
      <c r="C35" s="7">
        <v>13.66</v>
      </c>
      <c r="D35" s="8" t="s">
        <v>450</v>
      </c>
      <c r="E35" s="8" t="s">
        <v>458</v>
      </c>
      <c r="F35" s="8" t="s">
        <v>497</v>
      </c>
    </row>
    <row r="37" spans="1:9" ht="15" customHeight="1" x14ac:dyDescent="0.3">
      <c r="A37" s="2" t="s">
        <v>498</v>
      </c>
      <c r="B37" s="30" t="s">
        <v>499</v>
      </c>
    </row>
    <row r="40" spans="1:9" ht="15" customHeight="1" x14ac:dyDescent="0.3">
      <c r="A40" s="29" t="s">
        <v>500</v>
      </c>
    </row>
    <row r="42" spans="1:9" ht="23.25" customHeight="1" x14ac:dyDescent="0.3">
      <c r="A42" s="5" t="s">
        <v>501</v>
      </c>
      <c r="B42" s="5" t="s">
        <v>502</v>
      </c>
      <c r="C42" s="5" t="s">
        <v>503</v>
      </c>
      <c r="D42" s="5" t="s">
        <v>504</v>
      </c>
      <c r="E42" s="5" t="s">
        <v>505</v>
      </c>
      <c r="F42" s="5" t="s">
        <v>506</v>
      </c>
      <c r="G42" s="5" t="s">
        <v>507</v>
      </c>
      <c r="H42" s="5" t="s">
        <v>508</v>
      </c>
      <c r="I42" s="5" t="s">
        <v>509</v>
      </c>
    </row>
    <row r="43" spans="1:9" ht="79.5" customHeight="1" x14ac:dyDescent="0.3">
      <c r="A43" s="6" t="s">
        <v>39</v>
      </c>
      <c r="B43" s="6">
        <v>20</v>
      </c>
      <c r="C43" s="8" t="s">
        <v>510</v>
      </c>
      <c r="D43" s="8" t="s">
        <v>511</v>
      </c>
      <c r="E43" s="8" t="s">
        <v>512</v>
      </c>
      <c r="F43" s="8" t="s">
        <v>513</v>
      </c>
      <c r="G43" s="8" t="s">
        <v>514</v>
      </c>
      <c r="H43" s="8" t="s">
        <v>515</v>
      </c>
      <c r="I43" s="31" t="s">
        <v>516</v>
      </c>
    </row>
    <row r="44" spans="1:9" ht="57" customHeight="1" x14ac:dyDescent="0.3">
      <c r="A44" s="10" t="s">
        <v>517</v>
      </c>
      <c r="B44" s="10">
        <v>85</v>
      </c>
      <c r="C44" s="12" t="s">
        <v>518</v>
      </c>
      <c r="D44" s="12" t="s">
        <v>519</v>
      </c>
      <c r="E44" s="12" t="s">
        <v>520</v>
      </c>
      <c r="F44" s="12" t="s">
        <v>521</v>
      </c>
      <c r="G44" s="12" t="s">
        <v>522</v>
      </c>
      <c r="H44" s="12" t="s">
        <v>523</v>
      </c>
      <c r="I44" s="31" t="s">
        <v>524</v>
      </c>
    </row>
    <row r="45" spans="1:9" ht="68.25" customHeight="1" x14ac:dyDescent="0.3">
      <c r="A45" s="6" t="s">
        <v>525</v>
      </c>
      <c r="B45" s="6">
        <v>117</v>
      </c>
      <c r="C45" s="8" t="s">
        <v>526</v>
      </c>
      <c r="D45" s="8" t="s">
        <v>527</v>
      </c>
      <c r="E45" s="8" t="s">
        <v>528</v>
      </c>
      <c r="F45" s="8" t="s">
        <v>529</v>
      </c>
      <c r="G45" s="8" t="s">
        <v>530</v>
      </c>
      <c r="H45" s="8" t="s">
        <v>531</v>
      </c>
      <c r="I45" s="31" t="s">
        <v>532</v>
      </c>
    </row>
    <row r="46" spans="1:9" ht="68.25" customHeight="1" x14ac:dyDescent="0.3">
      <c r="A46" s="10" t="s">
        <v>41</v>
      </c>
      <c r="B46" s="10">
        <v>104</v>
      </c>
      <c r="C46" s="12" t="s">
        <v>533</v>
      </c>
      <c r="D46" s="12" t="s">
        <v>534</v>
      </c>
      <c r="E46" s="12" t="s">
        <v>535</v>
      </c>
      <c r="F46" s="12" t="s">
        <v>536</v>
      </c>
      <c r="G46" s="12" t="s">
        <v>537</v>
      </c>
      <c r="H46" s="12" t="s">
        <v>538</v>
      </c>
      <c r="I46" s="31" t="s">
        <v>539</v>
      </c>
    </row>
    <row r="47" spans="1:9" ht="79.5" customHeight="1" x14ac:dyDescent="0.3">
      <c r="A47" s="6" t="s">
        <v>230</v>
      </c>
      <c r="B47" s="6">
        <v>95</v>
      </c>
      <c r="C47" s="8" t="s">
        <v>540</v>
      </c>
      <c r="D47" s="8" t="s">
        <v>541</v>
      </c>
      <c r="E47" s="8" t="s">
        <v>542</v>
      </c>
      <c r="F47" s="8" t="s">
        <v>543</v>
      </c>
      <c r="G47" s="8" t="s">
        <v>544</v>
      </c>
      <c r="H47" s="8" t="s">
        <v>545</v>
      </c>
      <c r="I47" s="31" t="s">
        <v>546</v>
      </c>
    </row>
    <row r="48" spans="1:9" ht="68.25" customHeight="1" x14ac:dyDescent="0.3">
      <c r="A48" s="10" t="s">
        <v>547</v>
      </c>
      <c r="B48" s="10">
        <v>101</v>
      </c>
      <c r="C48" s="12" t="s">
        <v>548</v>
      </c>
      <c r="D48" s="12" t="s">
        <v>549</v>
      </c>
      <c r="E48" s="12" t="s">
        <v>550</v>
      </c>
      <c r="F48" s="12" t="s">
        <v>551</v>
      </c>
      <c r="G48" s="12" t="s">
        <v>552</v>
      </c>
      <c r="H48" s="12" t="s">
        <v>553</v>
      </c>
      <c r="I48" s="31" t="s">
        <v>554</v>
      </c>
    </row>
    <row r="51" spans="1:9" ht="15" customHeight="1" x14ac:dyDescent="0.3">
      <c r="A51" s="29" t="s">
        <v>555</v>
      </c>
    </row>
    <row r="53" spans="1:9" ht="23.25" customHeight="1" x14ac:dyDescent="0.3">
      <c r="A53" s="5" t="s">
        <v>27</v>
      </c>
      <c r="B53" s="5" t="s">
        <v>556</v>
      </c>
      <c r="C53" s="5" t="s">
        <v>557</v>
      </c>
      <c r="D53" s="5" t="s">
        <v>558</v>
      </c>
      <c r="E53" s="5" t="s">
        <v>559</v>
      </c>
      <c r="F53" s="5" t="s">
        <v>560</v>
      </c>
      <c r="G53" s="5" t="s">
        <v>561</v>
      </c>
      <c r="H53" s="5" t="s">
        <v>562</v>
      </c>
      <c r="I53" s="5" t="s">
        <v>563</v>
      </c>
    </row>
    <row r="54" spans="1:9" ht="15" customHeight="1" x14ac:dyDescent="0.3">
      <c r="A54" s="6" t="s">
        <v>21</v>
      </c>
      <c r="B54" s="6" t="s">
        <v>564</v>
      </c>
      <c r="C54" s="8" t="s">
        <v>565</v>
      </c>
      <c r="D54" s="8" t="s">
        <v>566</v>
      </c>
      <c r="E54" s="8" t="s">
        <v>567</v>
      </c>
      <c r="F54" s="7">
        <v>27</v>
      </c>
      <c r="G54" s="7">
        <v>28</v>
      </c>
      <c r="H54" s="9">
        <v>0.50900000000000001</v>
      </c>
      <c r="I54" s="31" t="s">
        <v>568</v>
      </c>
    </row>
    <row r="55" spans="1:9" ht="15" customHeight="1" x14ac:dyDescent="0.3">
      <c r="A55" s="10" t="s">
        <v>18</v>
      </c>
      <c r="B55" s="10" t="s">
        <v>569</v>
      </c>
      <c r="C55" s="12" t="s">
        <v>550</v>
      </c>
      <c r="D55" s="12" t="s">
        <v>570</v>
      </c>
      <c r="E55" s="12" t="s">
        <v>552</v>
      </c>
      <c r="F55" s="11">
        <v>23</v>
      </c>
      <c r="G55" s="11">
        <v>27</v>
      </c>
      <c r="H55" s="13">
        <v>0.54</v>
      </c>
      <c r="I55" s="31" t="s">
        <v>568</v>
      </c>
    </row>
    <row r="56" spans="1:9" ht="15" customHeight="1" x14ac:dyDescent="0.3">
      <c r="A56" s="6" t="s">
        <v>39</v>
      </c>
      <c r="B56" s="6" t="s">
        <v>571</v>
      </c>
      <c r="C56" s="8" t="s">
        <v>512</v>
      </c>
      <c r="D56" s="8" t="s">
        <v>572</v>
      </c>
      <c r="E56" s="8" t="s">
        <v>514</v>
      </c>
      <c r="F56" s="7">
        <v>29.5</v>
      </c>
      <c r="G56" s="7">
        <v>97.5</v>
      </c>
      <c r="H56" s="9">
        <v>0.76700000000000002</v>
      </c>
      <c r="I56" s="32" t="s">
        <v>573</v>
      </c>
    </row>
    <row r="57" spans="1:9" ht="15" customHeight="1" x14ac:dyDescent="0.3">
      <c r="A57" s="10" t="s">
        <v>43</v>
      </c>
      <c r="B57" s="10" t="s">
        <v>574</v>
      </c>
      <c r="C57" s="12" t="s">
        <v>528</v>
      </c>
      <c r="D57" s="12" t="s">
        <v>575</v>
      </c>
      <c r="E57" s="12" t="s">
        <v>530</v>
      </c>
      <c r="F57" s="11">
        <v>22</v>
      </c>
      <c r="G57" s="11">
        <v>35</v>
      </c>
      <c r="H57" s="13">
        <v>0.61399999999999999</v>
      </c>
      <c r="I57" s="31" t="s">
        <v>568</v>
      </c>
    </row>
    <row r="58" spans="1:9" ht="15" customHeight="1" x14ac:dyDescent="0.3">
      <c r="A58" s="6" t="s">
        <v>45</v>
      </c>
      <c r="B58" s="6" t="s">
        <v>576</v>
      </c>
      <c r="C58" s="8" t="s">
        <v>520</v>
      </c>
      <c r="D58" s="8" t="s">
        <v>577</v>
      </c>
      <c r="E58" s="8" t="s">
        <v>522</v>
      </c>
      <c r="F58" s="7">
        <v>19.5</v>
      </c>
      <c r="G58" s="7">
        <v>39.5</v>
      </c>
      <c r="H58" s="9">
        <v>0.66900000000000004</v>
      </c>
      <c r="I58" s="31" t="s">
        <v>568</v>
      </c>
    </row>
    <row r="59" spans="1:9" ht="15" customHeight="1" x14ac:dyDescent="0.3">
      <c r="A59" s="10" t="s">
        <v>41</v>
      </c>
      <c r="B59" s="10" t="s">
        <v>578</v>
      </c>
      <c r="C59" s="12" t="s">
        <v>535</v>
      </c>
      <c r="D59" s="12" t="s">
        <v>579</v>
      </c>
      <c r="E59" s="12" t="s">
        <v>537</v>
      </c>
      <c r="F59" s="11">
        <v>27</v>
      </c>
      <c r="G59" s="11">
        <v>78</v>
      </c>
      <c r="H59" s="13">
        <v>0.74299999999999999</v>
      </c>
      <c r="I59" s="32" t="s">
        <v>573</v>
      </c>
    </row>
    <row r="60" spans="1:9" ht="15" customHeight="1" x14ac:dyDescent="0.3">
      <c r="A60" s="6" t="s">
        <v>47</v>
      </c>
      <c r="B60" s="6" t="s">
        <v>580</v>
      </c>
      <c r="C60" s="8" t="s">
        <v>542</v>
      </c>
      <c r="D60" s="8" t="s">
        <v>581</v>
      </c>
      <c r="E60" s="8" t="s">
        <v>544</v>
      </c>
      <c r="F60" s="7">
        <v>22.5</v>
      </c>
      <c r="G60" s="7">
        <v>30.5</v>
      </c>
      <c r="H60" s="9">
        <v>0.57499999999999996</v>
      </c>
      <c r="I60" s="31" t="s">
        <v>568</v>
      </c>
    </row>
    <row r="61" spans="1:9" ht="15" customHeight="1" x14ac:dyDescent="0.3">
      <c r="A61" s="10" t="s">
        <v>48</v>
      </c>
      <c r="B61" s="10" t="s">
        <v>582</v>
      </c>
      <c r="C61" s="12" t="s">
        <v>583</v>
      </c>
      <c r="D61" s="12" t="s">
        <v>584</v>
      </c>
      <c r="E61" s="12" t="s">
        <v>585</v>
      </c>
      <c r="F61" s="11">
        <v>13</v>
      </c>
      <c r="G61" s="11">
        <v>12</v>
      </c>
      <c r="H61" s="13">
        <v>0.48</v>
      </c>
      <c r="I61" s="31" t="s">
        <v>568</v>
      </c>
    </row>
    <row r="62" spans="1:9" ht="15" customHeight="1" x14ac:dyDescent="0.3">
      <c r="A62" s="6" t="s">
        <v>50</v>
      </c>
      <c r="B62" s="6" t="s">
        <v>586</v>
      </c>
      <c r="C62" s="8" t="s">
        <v>49</v>
      </c>
      <c r="D62" s="8" t="s">
        <v>587</v>
      </c>
      <c r="E62" s="8" t="s">
        <v>585</v>
      </c>
      <c r="F62" s="7">
        <v>14</v>
      </c>
      <c r="G62" s="7">
        <v>11</v>
      </c>
      <c r="H62" s="9">
        <v>0.44</v>
      </c>
      <c r="I62" s="31" t="s">
        <v>568</v>
      </c>
    </row>
    <row r="65" spans="1:9" ht="15" customHeight="1" x14ac:dyDescent="0.3">
      <c r="A65" s="29" t="s">
        <v>588</v>
      </c>
    </row>
    <row r="66" spans="1:9" ht="15" customHeight="1" x14ac:dyDescent="0.3">
      <c r="A66" s="2" t="s">
        <v>589</v>
      </c>
      <c r="B66" s="59" t="s">
        <v>590</v>
      </c>
      <c r="C66" s="59"/>
      <c r="D66" s="59"/>
      <c r="E66" s="59"/>
      <c r="F66" s="59"/>
      <c r="G66" s="59"/>
      <c r="H66" s="59"/>
      <c r="I66" s="59"/>
    </row>
    <row r="67" spans="1:9" ht="15" customHeight="1" x14ac:dyDescent="0.3">
      <c r="A67" s="2" t="s">
        <v>591</v>
      </c>
      <c r="B67" s="59" t="s">
        <v>592</v>
      </c>
      <c r="C67" s="59"/>
      <c r="D67" s="59"/>
      <c r="E67" s="59"/>
      <c r="F67" s="59"/>
      <c r="G67" s="59"/>
      <c r="H67" s="59"/>
      <c r="I67" s="59"/>
    </row>
    <row r="68" spans="1:9" ht="15" customHeight="1" x14ac:dyDescent="0.3">
      <c r="A68" s="2" t="s">
        <v>593</v>
      </c>
      <c r="B68" s="59" t="s">
        <v>594</v>
      </c>
      <c r="C68" s="59"/>
      <c r="D68" s="59"/>
      <c r="E68" s="59"/>
      <c r="F68" s="59"/>
      <c r="G68" s="59"/>
      <c r="H68" s="59"/>
      <c r="I68" s="59"/>
    </row>
    <row r="69" spans="1:9" ht="15" customHeight="1" x14ac:dyDescent="0.3">
      <c r="A69" s="2" t="s">
        <v>595</v>
      </c>
      <c r="B69" s="59" t="s">
        <v>596</v>
      </c>
      <c r="C69" s="59"/>
      <c r="D69" s="59"/>
      <c r="E69" s="59"/>
      <c r="F69" s="59"/>
      <c r="G69" s="59"/>
      <c r="H69" s="59"/>
      <c r="I69" s="59"/>
    </row>
    <row r="70" spans="1:9" ht="15" customHeight="1" x14ac:dyDescent="0.3">
      <c r="A70" s="2" t="s">
        <v>597</v>
      </c>
      <c r="B70" s="59" t="s">
        <v>598</v>
      </c>
      <c r="C70" s="59"/>
      <c r="D70" s="59"/>
      <c r="E70" s="59"/>
      <c r="F70" s="59"/>
      <c r="G70" s="59"/>
      <c r="H70" s="59"/>
      <c r="I70" s="59"/>
    </row>
    <row r="71" spans="1:9" ht="15" customHeight="1" x14ac:dyDescent="0.3">
      <c r="A71" s="2" t="s">
        <v>599</v>
      </c>
      <c r="B71" s="59" t="s">
        <v>600</v>
      </c>
      <c r="C71" s="59"/>
      <c r="D71" s="59"/>
      <c r="E71" s="59"/>
      <c r="F71" s="59"/>
      <c r="G71" s="59"/>
      <c r="H71" s="59"/>
      <c r="I71" s="59"/>
    </row>
    <row r="72" spans="1:9" ht="15" customHeight="1" x14ac:dyDescent="0.3">
      <c r="A72" s="2" t="s">
        <v>601</v>
      </c>
      <c r="B72" s="59" t="s">
        <v>602</v>
      </c>
      <c r="C72" s="59"/>
      <c r="D72" s="59"/>
      <c r="E72" s="59"/>
      <c r="F72" s="59"/>
      <c r="G72" s="59"/>
      <c r="H72" s="59"/>
      <c r="I72" s="59"/>
    </row>
    <row r="73" spans="1:9" ht="15" customHeight="1" x14ac:dyDescent="0.3">
      <c r="A73" s="2" t="s">
        <v>603</v>
      </c>
      <c r="B73" s="59" t="s">
        <v>604</v>
      </c>
      <c r="C73" s="59"/>
      <c r="D73" s="59"/>
      <c r="E73" s="59"/>
      <c r="F73" s="59"/>
      <c r="G73" s="59"/>
      <c r="H73" s="59"/>
      <c r="I73" s="59"/>
    </row>
  </sheetData>
  <mergeCells count="10">
    <mergeCell ref="A1:L1"/>
    <mergeCell ref="A2:L2"/>
    <mergeCell ref="B66:I66"/>
    <mergeCell ref="B67:I67"/>
    <mergeCell ref="B68:I68"/>
    <mergeCell ref="B69:I69"/>
    <mergeCell ref="B70:I70"/>
    <mergeCell ref="B71:I71"/>
    <mergeCell ref="B72:I72"/>
    <mergeCell ref="B73:I73"/>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4CAF50"/>
  </sheetPr>
  <dimension ref="A1:L25"/>
  <sheetViews>
    <sheetView zoomScaleNormal="100" workbookViewId="0">
      <selection activeCell="A10" sqref="A5:K10"/>
    </sheetView>
  </sheetViews>
  <sheetFormatPr defaultColWidth="8.6640625" defaultRowHeight="15" customHeight="1" x14ac:dyDescent="0.3"/>
  <cols>
    <col min="1" max="1" width="6" style="1" customWidth="1"/>
    <col min="2" max="2" width="18" style="1" customWidth="1"/>
    <col min="3" max="3" width="16" style="1" customWidth="1"/>
    <col min="4" max="4" width="18" style="1" customWidth="1"/>
    <col min="5" max="5" width="12" style="1" customWidth="1"/>
    <col min="6" max="6" width="16" style="1" customWidth="1"/>
    <col min="7" max="7" width="12" style="1" customWidth="1"/>
    <col min="8" max="8" width="10" style="1" customWidth="1"/>
    <col min="9" max="9" width="16" style="1" customWidth="1"/>
    <col min="10" max="10" width="12" style="1" customWidth="1"/>
    <col min="11" max="11" width="14" style="1" customWidth="1"/>
    <col min="12" max="12" width="50" style="1" customWidth="1"/>
  </cols>
  <sheetData>
    <row r="1" spans="1:12" ht="19.5" customHeight="1" x14ac:dyDescent="0.3">
      <c r="A1" s="58" t="s">
        <v>605</v>
      </c>
      <c r="B1" s="58"/>
      <c r="C1" s="58"/>
      <c r="D1" s="58"/>
      <c r="E1" s="58"/>
      <c r="F1" s="58"/>
      <c r="G1" s="58"/>
      <c r="H1" s="58"/>
      <c r="I1" s="58"/>
      <c r="J1" s="58"/>
      <c r="K1" s="58"/>
      <c r="L1" s="58"/>
    </row>
    <row r="2" spans="1:12" ht="15" customHeight="1" x14ac:dyDescent="0.3">
      <c r="A2" s="61" t="s">
        <v>606</v>
      </c>
      <c r="B2" s="61"/>
      <c r="C2" s="61"/>
      <c r="D2" s="61"/>
      <c r="E2" s="61"/>
      <c r="F2" s="61"/>
      <c r="G2" s="61"/>
      <c r="H2" s="61"/>
      <c r="I2" s="61"/>
      <c r="J2" s="61"/>
      <c r="K2" s="61"/>
      <c r="L2" s="61"/>
    </row>
    <row r="4" spans="1:12" ht="15" customHeight="1" x14ac:dyDescent="0.3">
      <c r="A4" s="29" t="s">
        <v>607</v>
      </c>
    </row>
    <row r="5" spans="1:12" ht="23.25" customHeight="1" x14ac:dyDescent="0.3">
      <c r="A5" s="5" t="s">
        <v>608</v>
      </c>
      <c r="B5" s="5" t="s">
        <v>27</v>
      </c>
      <c r="C5" s="5" t="s">
        <v>609</v>
      </c>
      <c r="D5" s="5" t="s">
        <v>610</v>
      </c>
      <c r="E5" s="5" t="s">
        <v>560</v>
      </c>
      <c r="F5" s="5" t="s">
        <v>611</v>
      </c>
      <c r="G5" s="5" t="s">
        <v>35</v>
      </c>
      <c r="H5" s="5" t="s">
        <v>36</v>
      </c>
      <c r="I5" s="5" t="s">
        <v>612</v>
      </c>
      <c r="J5" s="5" t="s">
        <v>331</v>
      </c>
      <c r="K5" s="5" t="s">
        <v>613</v>
      </c>
      <c r="L5" s="5" t="s">
        <v>614</v>
      </c>
    </row>
    <row r="6" spans="1:12" ht="15" customHeight="1" x14ac:dyDescent="0.3">
      <c r="A6" s="6">
        <v>1</v>
      </c>
      <c r="B6" s="8" t="s">
        <v>21</v>
      </c>
      <c r="C6" s="8" t="s">
        <v>615</v>
      </c>
      <c r="D6" s="8" t="s">
        <v>616</v>
      </c>
      <c r="E6" s="7">
        <v>27</v>
      </c>
      <c r="F6" s="7">
        <v>55</v>
      </c>
      <c r="G6" s="7">
        <v>28</v>
      </c>
      <c r="H6" s="9">
        <v>0.50900000000000001</v>
      </c>
      <c r="I6" s="8">
        <v>3102</v>
      </c>
      <c r="J6" s="8" t="s">
        <v>342</v>
      </c>
      <c r="K6" s="31" t="s">
        <v>617</v>
      </c>
      <c r="L6" s="8" t="s">
        <v>618</v>
      </c>
    </row>
    <row r="7" spans="1:12" ht="15" customHeight="1" x14ac:dyDescent="0.3">
      <c r="A7" s="10">
        <v>2</v>
      </c>
      <c r="B7" s="12" t="s">
        <v>21</v>
      </c>
      <c r="C7" s="12" t="s">
        <v>619</v>
      </c>
      <c r="D7" s="12" t="s">
        <v>620</v>
      </c>
      <c r="E7" s="11">
        <v>27</v>
      </c>
      <c r="F7" s="11">
        <v>52</v>
      </c>
      <c r="G7" s="11">
        <v>25</v>
      </c>
      <c r="H7" s="13">
        <v>0.48099999999999998</v>
      </c>
      <c r="I7" s="12">
        <v>3102</v>
      </c>
      <c r="J7" s="12" t="s">
        <v>342</v>
      </c>
      <c r="K7" s="31" t="s">
        <v>617</v>
      </c>
      <c r="L7" s="12" t="s">
        <v>621</v>
      </c>
    </row>
    <row r="8" spans="1:12" ht="15" customHeight="1" x14ac:dyDescent="0.3">
      <c r="A8" s="6">
        <v>3</v>
      </c>
      <c r="B8" s="8" t="s">
        <v>21</v>
      </c>
      <c r="C8" s="8" t="s">
        <v>366</v>
      </c>
      <c r="D8" s="8" t="s">
        <v>622</v>
      </c>
      <c r="E8" s="7">
        <v>27</v>
      </c>
      <c r="F8" s="7">
        <v>50</v>
      </c>
      <c r="G8" s="7">
        <v>23</v>
      </c>
      <c r="H8" s="9">
        <v>0.46</v>
      </c>
      <c r="I8" s="8">
        <v>3102</v>
      </c>
      <c r="J8" s="8" t="s">
        <v>342</v>
      </c>
      <c r="K8" s="31" t="s">
        <v>617</v>
      </c>
      <c r="L8" s="8" t="s">
        <v>623</v>
      </c>
    </row>
    <row r="9" spans="1:12" ht="15" customHeight="1" x14ac:dyDescent="0.3">
      <c r="A9" s="10">
        <v>4</v>
      </c>
      <c r="B9" s="12" t="s">
        <v>18</v>
      </c>
      <c r="C9" s="12" t="s">
        <v>362</v>
      </c>
      <c r="D9" s="12" t="s">
        <v>624</v>
      </c>
      <c r="E9" s="11">
        <v>23</v>
      </c>
      <c r="F9" s="11">
        <v>65</v>
      </c>
      <c r="G9" s="11">
        <v>42</v>
      </c>
      <c r="H9" s="13">
        <v>0.64600000000000002</v>
      </c>
      <c r="I9" s="12">
        <v>154</v>
      </c>
      <c r="J9" s="12" t="s">
        <v>430</v>
      </c>
      <c r="K9" s="31" t="s">
        <v>617</v>
      </c>
      <c r="L9" s="12" t="s">
        <v>625</v>
      </c>
    </row>
    <row r="10" spans="1:12" ht="15" customHeight="1" x14ac:dyDescent="0.3">
      <c r="A10" s="6">
        <v>5</v>
      </c>
      <c r="B10" s="8" t="s">
        <v>18</v>
      </c>
      <c r="C10" s="8" t="s">
        <v>379</v>
      </c>
      <c r="D10" s="8" t="s">
        <v>626</v>
      </c>
      <c r="E10" s="7">
        <v>23</v>
      </c>
      <c r="F10" s="7">
        <v>50</v>
      </c>
      <c r="G10" s="7">
        <v>27</v>
      </c>
      <c r="H10" s="9">
        <v>0.54</v>
      </c>
      <c r="I10" s="8">
        <v>154</v>
      </c>
      <c r="J10" s="8" t="s">
        <v>430</v>
      </c>
      <c r="K10" s="31" t="s">
        <v>617</v>
      </c>
      <c r="L10" s="8" t="s">
        <v>627</v>
      </c>
    </row>
    <row r="11" spans="1:12" ht="15" customHeight="1" x14ac:dyDescent="0.3">
      <c r="A11" s="10">
        <v>6</v>
      </c>
      <c r="B11" s="12" t="s">
        <v>21</v>
      </c>
      <c r="C11" s="12" t="s">
        <v>628</v>
      </c>
      <c r="D11" s="12" t="s">
        <v>629</v>
      </c>
      <c r="E11" s="11">
        <v>27</v>
      </c>
      <c r="F11" s="11">
        <v>55</v>
      </c>
      <c r="G11" s="11">
        <v>28</v>
      </c>
      <c r="H11" s="13">
        <v>0.50900000000000001</v>
      </c>
      <c r="I11" s="12">
        <v>3102</v>
      </c>
      <c r="J11" s="12" t="s">
        <v>342</v>
      </c>
      <c r="K11" s="33" t="s">
        <v>630</v>
      </c>
      <c r="L11" s="12" t="s">
        <v>631</v>
      </c>
    </row>
    <row r="12" spans="1:12" ht="15" customHeight="1" x14ac:dyDescent="0.3">
      <c r="A12" s="6">
        <v>7</v>
      </c>
      <c r="B12" s="8" t="s">
        <v>21</v>
      </c>
      <c r="C12" s="8" t="s">
        <v>632</v>
      </c>
      <c r="D12" s="8" t="s">
        <v>633</v>
      </c>
      <c r="E12" s="7">
        <v>27</v>
      </c>
      <c r="F12" s="7">
        <v>50</v>
      </c>
      <c r="G12" s="7">
        <v>23</v>
      </c>
      <c r="H12" s="9">
        <v>0.46</v>
      </c>
      <c r="I12" s="8">
        <v>3102</v>
      </c>
      <c r="J12" s="8" t="s">
        <v>342</v>
      </c>
      <c r="K12" s="34" t="s">
        <v>630</v>
      </c>
      <c r="L12" s="8" t="s">
        <v>634</v>
      </c>
    </row>
    <row r="13" spans="1:12" ht="15" customHeight="1" x14ac:dyDescent="0.3">
      <c r="A13" s="10">
        <v>8</v>
      </c>
      <c r="B13" s="12" t="s">
        <v>635</v>
      </c>
      <c r="C13" s="12" t="s">
        <v>366</v>
      </c>
      <c r="D13" s="12" t="s">
        <v>636</v>
      </c>
      <c r="E13" s="11">
        <v>29.5</v>
      </c>
      <c r="F13" s="11">
        <v>60</v>
      </c>
      <c r="G13" s="11">
        <v>30.5</v>
      </c>
      <c r="H13" s="13">
        <v>0.50800000000000001</v>
      </c>
      <c r="I13" s="12">
        <v>150</v>
      </c>
      <c r="J13" s="12" t="s">
        <v>430</v>
      </c>
      <c r="K13" s="33" t="s">
        <v>630</v>
      </c>
      <c r="L13" s="12" t="s">
        <v>637</v>
      </c>
    </row>
    <row r="14" spans="1:12" ht="15" customHeight="1" x14ac:dyDescent="0.3">
      <c r="A14" s="6">
        <v>9</v>
      </c>
      <c r="B14" s="8" t="s">
        <v>43</v>
      </c>
      <c r="C14" s="8" t="s">
        <v>366</v>
      </c>
      <c r="D14" s="8" t="s">
        <v>638</v>
      </c>
      <c r="E14" s="7">
        <v>22</v>
      </c>
      <c r="F14" s="7">
        <v>45</v>
      </c>
      <c r="G14" s="7">
        <v>23</v>
      </c>
      <c r="H14" s="9">
        <v>0.51100000000000001</v>
      </c>
      <c r="I14" s="8">
        <v>468</v>
      </c>
      <c r="J14" s="8" t="s">
        <v>348</v>
      </c>
      <c r="K14" s="34" t="s">
        <v>630</v>
      </c>
      <c r="L14" s="8" t="s">
        <v>639</v>
      </c>
    </row>
    <row r="15" spans="1:12" ht="15" customHeight="1" x14ac:dyDescent="0.3">
      <c r="A15" s="10">
        <v>10</v>
      </c>
      <c r="B15" s="12" t="s">
        <v>21</v>
      </c>
      <c r="C15" s="12" t="s">
        <v>640</v>
      </c>
      <c r="D15" s="12" t="s">
        <v>641</v>
      </c>
      <c r="E15" s="11">
        <v>27</v>
      </c>
      <c r="F15" s="11">
        <v>48</v>
      </c>
      <c r="G15" s="11">
        <v>21</v>
      </c>
      <c r="H15" s="13">
        <v>0.438</v>
      </c>
      <c r="I15" s="12">
        <v>3102</v>
      </c>
      <c r="J15" s="12" t="s">
        <v>342</v>
      </c>
      <c r="K15" s="33" t="s">
        <v>630</v>
      </c>
      <c r="L15" s="12" t="s">
        <v>642</v>
      </c>
    </row>
    <row r="16" spans="1:12" ht="15" customHeight="1" x14ac:dyDescent="0.3">
      <c r="A16" s="6">
        <v>11</v>
      </c>
      <c r="B16" s="8" t="s">
        <v>45</v>
      </c>
      <c r="C16" s="8" t="s">
        <v>376</v>
      </c>
      <c r="D16" s="8" t="s">
        <v>626</v>
      </c>
      <c r="E16" s="7">
        <v>19.5</v>
      </c>
      <c r="F16" s="7">
        <v>40</v>
      </c>
      <c r="G16" s="7">
        <v>20.5</v>
      </c>
      <c r="H16" s="9">
        <v>0.51300000000000001</v>
      </c>
      <c r="I16" s="8">
        <v>148</v>
      </c>
      <c r="J16" s="8" t="s">
        <v>430</v>
      </c>
      <c r="K16" s="34" t="s">
        <v>630</v>
      </c>
      <c r="L16" s="8" t="s">
        <v>643</v>
      </c>
    </row>
    <row r="17" spans="1:12" ht="15" customHeight="1" x14ac:dyDescent="0.3">
      <c r="A17" s="10">
        <v>12</v>
      </c>
      <c r="B17" s="12" t="s">
        <v>635</v>
      </c>
      <c r="C17" s="12" t="s">
        <v>362</v>
      </c>
      <c r="D17" s="12" t="s">
        <v>644</v>
      </c>
      <c r="E17" s="11">
        <v>29.5</v>
      </c>
      <c r="F17" s="11">
        <v>60</v>
      </c>
      <c r="G17" s="11">
        <v>30.5</v>
      </c>
      <c r="H17" s="13">
        <v>0.50800000000000001</v>
      </c>
      <c r="I17" s="12">
        <v>150</v>
      </c>
      <c r="J17" s="12" t="s">
        <v>430</v>
      </c>
      <c r="K17" s="33" t="s">
        <v>630</v>
      </c>
      <c r="L17" s="12" t="s">
        <v>645</v>
      </c>
    </row>
    <row r="18" spans="1:12" ht="15" customHeight="1" x14ac:dyDescent="0.3">
      <c r="A18" s="6">
        <v>13</v>
      </c>
      <c r="B18" s="8" t="s">
        <v>21</v>
      </c>
      <c r="C18" s="8" t="s">
        <v>368</v>
      </c>
      <c r="D18" s="8" t="s">
        <v>622</v>
      </c>
      <c r="E18" s="7">
        <v>27</v>
      </c>
      <c r="F18" s="7">
        <v>45</v>
      </c>
      <c r="G18" s="7">
        <v>18</v>
      </c>
      <c r="H18" s="9">
        <v>0.4</v>
      </c>
      <c r="I18" s="8">
        <v>3102</v>
      </c>
      <c r="J18" s="8" t="s">
        <v>342</v>
      </c>
      <c r="K18" s="35" t="s">
        <v>646</v>
      </c>
      <c r="L18" s="8" t="s">
        <v>647</v>
      </c>
    </row>
    <row r="19" spans="1:12" ht="15" customHeight="1" x14ac:dyDescent="0.3">
      <c r="A19" s="10">
        <v>14</v>
      </c>
      <c r="B19" s="12" t="s">
        <v>18</v>
      </c>
      <c r="C19" s="12" t="s">
        <v>383</v>
      </c>
      <c r="D19" s="12" t="s">
        <v>648</v>
      </c>
      <c r="E19" s="11">
        <v>23</v>
      </c>
      <c r="F19" s="11">
        <v>45</v>
      </c>
      <c r="G19" s="11">
        <v>22</v>
      </c>
      <c r="H19" s="13">
        <v>0.48899999999999999</v>
      </c>
      <c r="I19" s="12">
        <v>154</v>
      </c>
      <c r="J19" s="12" t="s">
        <v>430</v>
      </c>
      <c r="K19" s="35" t="s">
        <v>646</v>
      </c>
      <c r="L19" s="12" t="s">
        <v>649</v>
      </c>
    </row>
    <row r="20" spans="1:12" ht="15" customHeight="1" x14ac:dyDescent="0.3">
      <c r="A20" s="6">
        <v>15</v>
      </c>
      <c r="B20" s="8" t="s">
        <v>47</v>
      </c>
      <c r="C20" s="8" t="s">
        <v>376</v>
      </c>
      <c r="D20" s="8" t="s">
        <v>650</v>
      </c>
      <c r="E20" s="7">
        <v>22.5</v>
      </c>
      <c r="F20" s="7">
        <v>45</v>
      </c>
      <c r="G20" s="7">
        <v>22.5</v>
      </c>
      <c r="H20" s="9">
        <v>0.5</v>
      </c>
      <c r="I20" s="8">
        <v>159</v>
      </c>
      <c r="J20" s="8" t="s">
        <v>430</v>
      </c>
      <c r="K20" s="35" t="s">
        <v>646</v>
      </c>
      <c r="L20" s="8" t="s">
        <v>651</v>
      </c>
    </row>
    <row r="21" spans="1:12" ht="23.25" customHeight="1" x14ac:dyDescent="0.3">
      <c r="A21" s="10">
        <v>16</v>
      </c>
      <c r="B21" s="12" t="s">
        <v>21</v>
      </c>
      <c r="C21" s="12" t="s">
        <v>652</v>
      </c>
      <c r="D21" s="12" t="s">
        <v>653</v>
      </c>
      <c r="E21" s="11">
        <v>27</v>
      </c>
      <c r="F21" s="11">
        <v>48</v>
      </c>
      <c r="G21" s="11">
        <v>21</v>
      </c>
      <c r="H21" s="13">
        <v>0.438</v>
      </c>
      <c r="I21" s="12">
        <v>3102</v>
      </c>
      <c r="J21" s="12" t="s">
        <v>342</v>
      </c>
      <c r="K21" s="35" t="s">
        <v>646</v>
      </c>
      <c r="L21" s="12" t="s">
        <v>654</v>
      </c>
    </row>
    <row r="22" spans="1:12" ht="15" customHeight="1" x14ac:dyDescent="0.3">
      <c r="A22" s="6">
        <v>17</v>
      </c>
      <c r="B22" s="8" t="s">
        <v>41</v>
      </c>
      <c r="C22" s="8" t="s">
        <v>655</v>
      </c>
      <c r="D22" s="8" t="s">
        <v>656</v>
      </c>
      <c r="E22" s="7">
        <v>27</v>
      </c>
      <c r="F22" s="7">
        <v>55</v>
      </c>
      <c r="G22" s="7">
        <v>28</v>
      </c>
      <c r="H22" s="9">
        <v>0.50900000000000001</v>
      </c>
      <c r="I22" s="8">
        <v>144</v>
      </c>
      <c r="J22" s="8" t="s">
        <v>430</v>
      </c>
      <c r="K22" s="35" t="s">
        <v>646</v>
      </c>
      <c r="L22" s="8" t="s">
        <v>657</v>
      </c>
    </row>
    <row r="23" spans="1:12" ht="15" customHeight="1" x14ac:dyDescent="0.3">
      <c r="A23" s="10">
        <v>18</v>
      </c>
      <c r="B23" s="12" t="s">
        <v>48</v>
      </c>
      <c r="C23" s="12" t="s">
        <v>658</v>
      </c>
      <c r="D23" s="12" t="s">
        <v>659</v>
      </c>
      <c r="E23" s="11">
        <v>13</v>
      </c>
      <c r="F23" s="11">
        <v>25</v>
      </c>
      <c r="G23" s="11">
        <v>12</v>
      </c>
      <c r="H23" s="13">
        <v>0.48</v>
      </c>
      <c r="I23" s="12">
        <v>150</v>
      </c>
      <c r="J23" s="12" t="s">
        <v>430</v>
      </c>
      <c r="K23" s="35" t="s">
        <v>646</v>
      </c>
      <c r="L23" s="12" t="s">
        <v>660</v>
      </c>
    </row>
    <row r="24" spans="1:12" ht="15" customHeight="1" x14ac:dyDescent="0.3">
      <c r="A24" s="6">
        <v>19</v>
      </c>
      <c r="B24" s="8" t="s">
        <v>50</v>
      </c>
      <c r="C24" s="8" t="s">
        <v>661</v>
      </c>
      <c r="D24" s="8" t="s">
        <v>662</v>
      </c>
      <c r="E24" s="7">
        <v>14</v>
      </c>
      <c r="F24" s="7">
        <v>25</v>
      </c>
      <c r="G24" s="7">
        <v>11</v>
      </c>
      <c r="H24" s="9">
        <v>0.44</v>
      </c>
      <c r="I24" s="8">
        <v>312</v>
      </c>
      <c r="J24" s="8" t="s">
        <v>348</v>
      </c>
      <c r="K24" s="35" t="s">
        <v>646</v>
      </c>
      <c r="L24" s="8" t="s">
        <v>663</v>
      </c>
    </row>
    <row r="25" spans="1:12" ht="15" customHeight="1" x14ac:dyDescent="0.3">
      <c r="A25" s="10">
        <v>20</v>
      </c>
      <c r="B25" s="12" t="s">
        <v>45</v>
      </c>
      <c r="C25" s="12" t="s">
        <v>411</v>
      </c>
      <c r="D25" s="12" t="s">
        <v>664</v>
      </c>
      <c r="E25" s="11">
        <v>19.5</v>
      </c>
      <c r="F25" s="11">
        <v>35</v>
      </c>
      <c r="G25" s="11">
        <v>15.5</v>
      </c>
      <c r="H25" s="13">
        <v>0.443</v>
      </c>
      <c r="I25" s="12">
        <v>148</v>
      </c>
      <c r="J25" s="12" t="s">
        <v>430</v>
      </c>
      <c r="K25" s="36" t="s">
        <v>665</v>
      </c>
      <c r="L25" s="12" t="s">
        <v>666</v>
      </c>
    </row>
  </sheetData>
  <mergeCells count="2">
    <mergeCell ref="A1:L1"/>
    <mergeCell ref="A2:L2"/>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E91E63"/>
  </sheetPr>
  <dimension ref="A1:F15"/>
  <sheetViews>
    <sheetView zoomScaleNormal="100" workbookViewId="0">
      <selection activeCell="E29" sqref="E29"/>
    </sheetView>
  </sheetViews>
  <sheetFormatPr defaultColWidth="8.6640625" defaultRowHeight="15" customHeight="1" x14ac:dyDescent="0.3"/>
  <cols>
    <col min="1" max="1" width="20" style="1" customWidth="1"/>
    <col min="2" max="2" width="16" style="1" customWidth="1"/>
    <col min="3" max="3" width="18" style="1" customWidth="1"/>
    <col min="4" max="4" width="26" style="1" customWidth="1"/>
    <col min="5" max="5" width="14" style="1" customWidth="1"/>
    <col min="6" max="6" width="55" style="1" customWidth="1"/>
  </cols>
  <sheetData>
    <row r="1" spans="1:6" ht="19.5" customHeight="1" x14ac:dyDescent="0.3">
      <c r="A1" s="58" t="s">
        <v>667</v>
      </c>
      <c r="B1" s="58"/>
      <c r="C1" s="58"/>
      <c r="D1" s="58"/>
      <c r="E1" s="58"/>
      <c r="F1" s="58"/>
    </row>
    <row r="2" spans="1:6" ht="15" customHeight="1" x14ac:dyDescent="0.3">
      <c r="A2" s="61" t="s">
        <v>668</v>
      </c>
      <c r="B2" s="61"/>
      <c r="C2" s="61"/>
      <c r="D2" s="61"/>
      <c r="E2" s="61"/>
      <c r="F2" s="61"/>
    </row>
    <row r="4" spans="1:6" ht="23.25" customHeight="1" x14ac:dyDescent="0.3">
      <c r="A4" s="5" t="s">
        <v>669</v>
      </c>
      <c r="B4" s="5" t="s">
        <v>670</v>
      </c>
      <c r="C4" s="5" t="s">
        <v>671</v>
      </c>
      <c r="D4" s="5" t="s">
        <v>672</v>
      </c>
      <c r="E4" s="5" t="s">
        <v>614</v>
      </c>
      <c r="F4" s="5" t="s">
        <v>448</v>
      </c>
    </row>
    <row r="5" spans="1:6" ht="15" customHeight="1" x14ac:dyDescent="0.3">
      <c r="A5" s="6" t="s">
        <v>673</v>
      </c>
      <c r="B5" s="8">
        <v>516</v>
      </c>
      <c r="C5" s="8" t="s">
        <v>674</v>
      </c>
      <c r="D5" s="8" t="s">
        <v>675</v>
      </c>
      <c r="E5" s="31" t="s">
        <v>617</v>
      </c>
      <c r="F5" s="8" t="s">
        <v>676</v>
      </c>
    </row>
    <row r="6" spans="1:6" ht="15" customHeight="1" x14ac:dyDescent="0.3">
      <c r="A6" s="10" t="s">
        <v>368</v>
      </c>
      <c r="B6" s="12">
        <v>401</v>
      </c>
      <c r="C6" s="12" t="s">
        <v>677</v>
      </c>
      <c r="D6" s="12" t="s">
        <v>678</v>
      </c>
      <c r="E6" s="33" t="s">
        <v>630</v>
      </c>
      <c r="F6" s="12" t="s">
        <v>679</v>
      </c>
    </row>
    <row r="7" spans="1:6" ht="15" customHeight="1" x14ac:dyDescent="0.3">
      <c r="A7" s="6" t="s">
        <v>362</v>
      </c>
      <c r="B7" s="8">
        <v>367</v>
      </c>
      <c r="C7" s="8" t="s">
        <v>680</v>
      </c>
      <c r="D7" s="8" t="s">
        <v>681</v>
      </c>
      <c r="E7" s="31" t="s">
        <v>617</v>
      </c>
      <c r="F7" s="8" t="s">
        <v>682</v>
      </c>
    </row>
    <row r="8" spans="1:6" ht="15" customHeight="1" x14ac:dyDescent="0.3">
      <c r="A8" s="10" t="s">
        <v>371</v>
      </c>
      <c r="B8" s="12">
        <v>356</v>
      </c>
      <c r="C8" s="12" t="s">
        <v>683</v>
      </c>
      <c r="D8" s="12" t="s">
        <v>684</v>
      </c>
      <c r="E8" s="31" t="s">
        <v>617</v>
      </c>
      <c r="F8" s="12" t="s">
        <v>685</v>
      </c>
    </row>
    <row r="9" spans="1:6" ht="15" customHeight="1" x14ac:dyDescent="0.3">
      <c r="A9" s="6" t="s">
        <v>640</v>
      </c>
      <c r="B9" s="8">
        <v>349</v>
      </c>
      <c r="C9" s="8" t="s">
        <v>686</v>
      </c>
      <c r="D9" s="8" t="s">
        <v>687</v>
      </c>
      <c r="E9" s="34" t="s">
        <v>630</v>
      </c>
      <c r="F9" s="8" t="s">
        <v>688</v>
      </c>
    </row>
    <row r="10" spans="1:6" ht="15" customHeight="1" x14ac:dyDescent="0.3">
      <c r="A10" s="10" t="s">
        <v>689</v>
      </c>
      <c r="B10" s="12">
        <v>295</v>
      </c>
      <c r="C10" s="12" t="s">
        <v>690</v>
      </c>
      <c r="D10" s="12" t="s">
        <v>691</v>
      </c>
      <c r="E10" s="33" t="s">
        <v>630</v>
      </c>
      <c r="F10" s="12" t="s">
        <v>692</v>
      </c>
    </row>
    <row r="11" spans="1:6" ht="15" customHeight="1" x14ac:dyDescent="0.3">
      <c r="A11" s="6" t="s">
        <v>628</v>
      </c>
      <c r="B11" s="8">
        <v>274</v>
      </c>
      <c r="C11" s="8" t="s">
        <v>693</v>
      </c>
      <c r="D11" s="8" t="s">
        <v>694</v>
      </c>
      <c r="E11" s="34" t="s">
        <v>630</v>
      </c>
      <c r="F11" s="8" t="s">
        <v>695</v>
      </c>
    </row>
    <row r="12" spans="1:6" ht="15" customHeight="1" x14ac:dyDescent="0.3">
      <c r="A12" s="10" t="s">
        <v>696</v>
      </c>
      <c r="B12" s="12">
        <v>217</v>
      </c>
      <c r="C12" s="12" t="s">
        <v>697</v>
      </c>
      <c r="D12" s="12" t="s">
        <v>698</v>
      </c>
      <c r="E12" s="31" t="s">
        <v>617</v>
      </c>
      <c r="F12" s="12" t="s">
        <v>699</v>
      </c>
    </row>
    <row r="13" spans="1:6" ht="15" customHeight="1" x14ac:dyDescent="0.3">
      <c r="A13" s="6" t="s">
        <v>700</v>
      </c>
      <c r="B13" s="8">
        <v>174</v>
      </c>
      <c r="C13" s="8" t="s">
        <v>701</v>
      </c>
      <c r="D13" s="8" t="s">
        <v>702</v>
      </c>
      <c r="E13" s="35" t="s">
        <v>646</v>
      </c>
      <c r="F13" s="8" t="s">
        <v>703</v>
      </c>
    </row>
    <row r="14" spans="1:6" ht="15" customHeight="1" x14ac:dyDescent="0.3">
      <c r="A14" s="10" t="s">
        <v>652</v>
      </c>
      <c r="B14" s="12" t="s">
        <v>704</v>
      </c>
      <c r="C14" s="12" t="s">
        <v>705</v>
      </c>
      <c r="D14" s="12" t="s">
        <v>706</v>
      </c>
      <c r="E14" s="33" t="s">
        <v>630</v>
      </c>
      <c r="F14" s="12" t="s">
        <v>707</v>
      </c>
    </row>
    <row r="15" spans="1:6" ht="15" customHeight="1" x14ac:dyDescent="0.3">
      <c r="A15" s="6" t="s">
        <v>708</v>
      </c>
      <c r="B15" s="8">
        <v>11</v>
      </c>
      <c r="C15" s="8" t="s">
        <v>709</v>
      </c>
      <c r="D15" s="8" t="s">
        <v>451</v>
      </c>
      <c r="E15" s="35" t="s">
        <v>646</v>
      </c>
      <c r="F15" s="8" t="s">
        <v>710</v>
      </c>
    </row>
  </sheetData>
  <mergeCells count="2">
    <mergeCell ref="A1:F1"/>
    <mergeCell ref="A2:F2"/>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9800"/>
  </sheetPr>
  <dimension ref="A1:L15"/>
  <sheetViews>
    <sheetView zoomScaleNormal="100" workbookViewId="0">
      <selection activeCell="L10" sqref="L10"/>
    </sheetView>
  </sheetViews>
  <sheetFormatPr defaultColWidth="8.6640625" defaultRowHeight="15" customHeight="1" x14ac:dyDescent="0.3"/>
  <cols>
    <col min="1" max="1" width="18" style="1" customWidth="1"/>
    <col min="2" max="2" width="20" style="1" customWidth="1"/>
    <col min="3" max="3" width="12" style="1" customWidth="1"/>
    <col min="4" max="4" width="16" style="1" customWidth="1"/>
    <col min="5" max="5" width="14" style="1" customWidth="1"/>
    <col min="6" max="6" width="12" style="1" customWidth="1"/>
    <col min="7" max="7" width="14" style="1" customWidth="1"/>
    <col min="8" max="9" width="12" style="1" customWidth="1"/>
    <col min="10" max="10" width="16" style="1" customWidth="1"/>
    <col min="11" max="11" width="14" style="1" customWidth="1"/>
    <col min="12" max="12" width="20" style="1" customWidth="1"/>
  </cols>
  <sheetData>
    <row r="1" spans="1:12" ht="19.5" customHeight="1" x14ac:dyDescent="0.3">
      <c r="A1" s="58" t="s">
        <v>711</v>
      </c>
      <c r="B1" s="58"/>
      <c r="C1" s="58"/>
      <c r="D1" s="58"/>
      <c r="E1" s="58"/>
      <c r="F1" s="58"/>
      <c r="G1" s="58"/>
      <c r="H1" s="58"/>
      <c r="I1" s="58"/>
      <c r="J1" s="58"/>
      <c r="K1" s="58"/>
      <c r="L1" s="58"/>
    </row>
    <row r="2" spans="1:12" ht="15" customHeight="1" x14ac:dyDescent="0.3">
      <c r="A2" s="61" t="s">
        <v>712</v>
      </c>
      <c r="B2" s="61"/>
      <c r="C2" s="61"/>
      <c r="D2" s="61"/>
      <c r="E2" s="61"/>
      <c r="F2" s="61"/>
      <c r="G2" s="61"/>
      <c r="H2" s="61"/>
      <c r="I2" s="61"/>
      <c r="J2" s="61"/>
      <c r="K2" s="61"/>
      <c r="L2" s="61"/>
    </row>
    <row r="4" spans="1:12" ht="23.25" customHeight="1" x14ac:dyDescent="0.3">
      <c r="A4" s="5" t="s">
        <v>27</v>
      </c>
      <c r="B4" s="5" t="s">
        <v>609</v>
      </c>
      <c r="C4" s="5" t="s">
        <v>560</v>
      </c>
      <c r="D4" s="5" t="s">
        <v>713</v>
      </c>
      <c r="E4" s="5" t="s">
        <v>714</v>
      </c>
      <c r="F4" s="5" t="s">
        <v>35</v>
      </c>
      <c r="G4" s="5" t="s">
        <v>715</v>
      </c>
      <c r="H4" s="5" t="s">
        <v>716</v>
      </c>
      <c r="I4" s="5" t="s">
        <v>717</v>
      </c>
      <c r="J4" s="5" t="s">
        <v>718</v>
      </c>
      <c r="K4" s="5" t="s">
        <v>719</v>
      </c>
      <c r="L4" s="5" t="s">
        <v>720</v>
      </c>
    </row>
    <row r="5" spans="1:12" ht="15" customHeight="1" x14ac:dyDescent="0.3">
      <c r="A5" s="6" t="s">
        <v>21</v>
      </c>
      <c r="B5" s="8" t="s">
        <v>721</v>
      </c>
      <c r="C5" s="7">
        <v>27</v>
      </c>
      <c r="D5" s="7">
        <v>59.99</v>
      </c>
      <c r="E5" s="7">
        <v>119.98</v>
      </c>
      <c r="F5" s="7">
        <v>32.99</v>
      </c>
      <c r="G5" s="7">
        <v>7.8</v>
      </c>
      <c r="H5" s="7">
        <v>25.19</v>
      </c>
      <c r="I5" s="9">
        <v>0.42</v>
      </c>
      <c r="J5" s="8" t="s">
        <v>722</v>
      </c>
      <c r="K5" s="8" t="s">
        <v>723</v>
      </c>
      <c r="L5" s="8" t="s">
        <v>724</v>
      </c>
    </row>
    <row r="6" spans="1:12" ht="15" customHeight="1" x14ac:dyDescent="0.3">
      <c r="A6" s="10" t="s">
        <v>21</v>
      </c>
      <c r="B6" s="12" t="s">
        <v>725</v>
      </c>
      <c r="C6" s="11">
        <v>27</v>
      </c>
      <c r="D6" s="11">
        <v>49.99</v>
      </c>
      <c r="E6" s="11">
        <v>99.98</v>
      </c>
      <c r="F6" s="11">
        <v>22.99</v>
      </c>
      <c r="G6" s="11">
        <v>6.5</v>
      </c>
      <c r="H6" s="11">
        <v>16.489999999999998</v>
      </c>
      <c r="I6" s="13">
        <v>0.33</v>
      </c>
      <c r="J6" s="12" t="s">
        <v>189</v>
      </c>
      <c r="K6" s="12" t="s">
        <v>726</v>
      </c>
      <c r="L6" s="12" t="s">
        <v>727</v>
      </c>
    </row>
    <row r="7" spans="1:12" ht="15" customHeight="1" x14ac:dyDescent="0.3">
      <c r="A7" s="6" t="s">
        <v>18</v>
      </c>
      <c r="B7" s="8" t="s">
        <v>362</v>
      </c>
      <c r="C7" s="7">
        <v>23</v>
      </c>
      <c r="D7" s="7">
        <v>49.99</v>
      </c>
      <c r="E7" s="7">
        <v>99.98</v>
      </c>
      <c r="F7" s="7">
        <v>26.99</v>
      </c>
      <c r="G7" s="7">
        <v>6.5</v>
      </c>
      <c r="H7" s="7">
        <v>20.49</v>
      </c>
      <c r="I7" s="9">
        <v>0.41</v>
      </c>
      <c r="J7" s="8" t="s">
        <v>189</v>
      </c>
      <c r="K7" s="8" t="s">
        <v>728</v>
      </c>
      <c r="L7" s="8" t="s">
        <v>729</v>
      </c>
    </row>
    <row r="8" spans="1:12" ht="15" customHeight="1" x14ac:dyDescent="0.3">
      <c r="A8" s="10" t="s">
        <v>18</v>
      </c>
      <c r="B8" s="12" t="s">
        <v>730</v>
      </c>
      <c r="C8" s="11">
        <v>23</v>
      </c>
      <c r="D8" s="11">
        <v>44.99</v>
      </c>
      <c r="E8" s="11">
        <v>89.98</v>
      </c>
      <c r="F8" s="11">
        <v>21.99</v>
      </c>
      <c r="G8" s="11">
        <v>5.85</v>
      </c>
      <c r="H8" s="11">
        <v>16.14</v>
      </c>
      <c r="I8" s="13">
        <v>0.35899999999999999</v>
      </c>
      <c r="J8" s="12" t="s">
        <v>189</v>
      </c>
      <c r="K8" s="12" t="s">
        <v>731</v>
      </c>
      <c r="L8" s="12" t="s">
        <v>732</v>
      </c>
    </row>
    <row r="9" spans="1:12" ht="15" customHeight="1" x14ac:dyDescent="0.3">
      <c r="A9" s="6" t="s">
        <v>635</v>
      </c>
      <c r="B9" s="8" t="s">
        <v>733</v>
      </c>
      <c r="C9" s="7">
        <v>29.5</v>
      </c>
      <c r="D9" s="7">
        <v>64.989999999999995</v>
      </c>
      <c r="E9" s="7">
        <v>129.97999999999999</v>
      </c>
      <c r="F9" s="7">
        <v>35.49</v>
      </c>
      <c r="G9" s="7">
        <v>8.4499999999999993</v>
      </c>
      <c r="H9" s="7">
        <v>27.04</v>
      </c>
      <c r="I9" s="9">
        <v>0.41599999999999998</v>
      </c>
      <c r="J9" s="8" t="s">
        <v>195</v>
      </c>
      <c r="K9" s="8" t="s">
        <v>734</v>
      </c>
      <c r="L9" s="8" t="s">
        <v>735</v>
      </c>
    </row>
    <row r="10" spans="1:12" ht="15" customHeight="1" x14ac:dyDescent="0.3">
      <c r="A10" s="10" t="s">
        <v>43</v>
      </c>
      <c r="B10" s="12" t="s">
        <v>736</v>
      </c>
      <c r="C10" s="11">
        <v>22</v>
      </c>
      <c r="D10" s="11">
        <v>44.99</v>
      </c>
      <c r="E10" s="11">
        <v>89.98</v>
      </c>
      <c r="F10" s="11">
        <v>22.99</v>
      </c>
      <c r="G10" s="11">
        <v>5.85</v>
      </c>
      <c r="H10" s="11">
        <v>17.14</v>
      </c>
      <c r="I10" s="13">
        <v>0.38100000000000001</v>
      </c>
      <c r="J10" s="12" t="s">
        <v>189</v>
      </c>
      <c r="K10" s="12" t="s">
        <v>737</v>
      </c>
      <c r="L10" s="12" t="s">
        <v>738</v>
      </c>
    </row>
    <row r="11" spans="1:12" ht="15" customHeight="1" x14ac:dyDescent="0.3">
      <c r="A11" s="6" t="s">
        <v>41</v>
      </c>
      <c r="B11" s="8" t="s">
        <v>655</v>
      </c>
      <c r="C11" s="7">
        <v>27</v>
      </c>
      <c r="D11" s="7">
        <v>54.99</v>
      </c>
      <c r="E11" s="7">
        <v>109.98</v>
      </c>
      <c r="F11" s="7">
        <v>27.99</v>
      </c>
      <c r="G11" s="7">
        <v>7.15</v>
      </c>
      <c r="H11" s="7">
        <v>20.84</v>
      </c>
      <c r="I11" s="9">
        <v>0.379</v>
      </c>
      <c r="J11" s="8" t="s">
        <v>722</v>
      </c>
      <c r="K11" s="8" t="s">
        <v>734</v>
      </c>
      <c r="L11" s="8" t="s">
        <v>739</v>
      </c>
    </row>
    <row r="12" spans="1:12" ht="15" customHeight="1" x14ac:dyDescent="0.3">
      <c r="A12" s="10" t="s">
        <v>45</v>
      </c>
      <c r="B12" s="12" t="s">
        <v>740</v>
      </c>
      <c r="C12" s="11">
        <v>19.5</v>
      </c>
      <c r="D12" s="11">
        <v>34.99</v>
      </c>
      <c r="E12" s="11">
        <v>69.98</v>
      </c>
      <c r="F12" s="11">
        <v>15.49</v>
      </c>
      <c r="G12" s="11">
        <v>4.55</v>
      </c>
      <c r="H12" s="11">
        <v>10.94</v>
      </c>
      <c r="I12" s="13">
        <v>0.313</v>
      </c>
      <c r="J12" s="12" t="s">
        <v>741</v>
      </c>
      <c r="K12" s="12" t="s">
        <v>742</v>
      </c>
      <c r="L12" s="12" t="s">
        <v>743</v>
      </c>
    </row>
    <row r="13" spans="1:12" ht="15" customHeight="1" x14ac:dyDescent="0.3">
      <c r="A13" s="6" t="s">
        <v>47</v>
      </c>
      <c r="B13" s="8" t="s">
        <v>744</v>
      </c>
      <c r="C13" s="7">
        <v>22.5</v>
      </c>
      <c r="D13" s="7">
        <v>44.99</v>
      </c>
      <c r="E13" s="7">
        <v>89.98</v>
      </c>
      <c r="F13" s="7">
        <v>22.49</v>
      </c>
      <c r="G13" s="7">
        <v>5.85</v>
      </c>
      <c r="H13" s="7">
        <v>16.64</v>
      </c>
      <c r="I13" s="9">
        <v>0.37</v>
      </c>
      <c r="J13" s="8" t="s">
        <v>189</v>
      </c>
      <c r="K13" s="8" t="s">
        <v>731</v>
      </c>
      <c r="L13" s="8" t="s">
        <v>732</v>
      </c>
    </row>
    <row r="14" spans="1:12" ht="15" customHeight="1" x14ac:dyDescent="0.3">
      <c r="A14" s="10" t="s">
        <v>48</v>
      </c>
      <c r="B14" s="12" t="s">
        <v>658</v>
      </c>
      <c r="C14" s="11">
        <v>13</v>
      </c>
      <c r="D14" s="11">
        <v>24.99</v>
      </c>
      <c r="E14" s="11">
        <v>49.98</v>
      </c>
      <c r="F14" s="11">
        <v>11.99</v>
      </c>
      <c r="G14" s="11">
        <v>3.25</v>
      </c>
      <c r="H14" s="11">
        <v>8.74</v>
      </c>
      <c r="I14" s="13">
        <v>0.35</v>
      </c>
      <c r="J14" s="12" t="s">
        <v>183</v>
      </c>
      <c r="K14" s="12" t="s">
        <v>726</v>
      </c>
      <c r="L14" s="12" t="s">
        <v>745</v>
      </c>
    </row>
    <row r="15" spans="1:12" ht="15" customHeight="1" x14ac:dyDescent="0.3">
      <c r="A15" s="6" t="s">
        <v>50</v>
      </c>
      <c r="B15" s="8" t="s">
        <v>746</v>
      </c>
      <c r="C15" s="7">
        <v>14</v>
      </c>
      <c r="D15" s="7">
        <v>24.99</v>
      </c>
      <c r="E15" s="7">
        <v>49.98</v>
      </c>
      <c r="F15" s="7">
        <v>10.99</v>
      </c>
      <c r="G15" s="7">
        <v>3.25</v>
      </c>
      <c r="H15" s="7">
        <v>7.74</v>
      </c>
      <c r="I15" s="9">
        <v>0.31</v>
      </c>
      <c r="J15" s="8" t="s">
        <v>183</v>
      </c>
      <c r="K15" s="8" t="s">
        <v>747</v>
      </c>
      <c r="L15" s="8" t="s">
        <v>748</v>
      </c>
    </row>
  </sheetData>
  <mergeCells count="2">
    <mergeCell ref="A1:L1"/>
    <mergeCell ref="A2:L2"/>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2196F3"/>
  </sheetPr>
  <dimension ref="A1:N17"/>
  <sheetViews>
    <sheetView zoomScaleNormal="100" workbookViewId="0">
      <selection activeCell="E6" sqref="E6:K6"/>
    </sheetView>
  </sheetViews>
  <sheetFormatPr defaultColWidth="8.6640625" defaultRowHeight="15" customHeight="1" x14ac:dyDescent="0.3"/>
  <cols>
    <col min="1" max="1" width="22" style="1" customWidth="1"/>
    <col min="2" max="14" width="10" style="1" customWidth="1"/>
  </cols>
  <sheetData>
    <row r="1" spans="1:14" ht="19.5" customHeight="1" x14ac:dyDescent="0.3">
      <c r="A1" s="58" t="s">
        <v>749</v>
      </c>
      <c r="B1" s="58"/>
      <c r="C1" s="58"/>
      <c r="D1" s="58"/>
      <c r="E1" s="58"/>
      <c r="F1" s="58"/>
      <c r="G1" s="58"/>
      <c r="H1" s="58"/>
      <c r="I1" s="58"/>
      <c r="J1" s="58"/>
      <c r="K1" s="58"/>
      <c r="L1" s="58"/>
      <c r="M1" s="58"/>
      <c r="N1" s="58"/>
    </row>
    <row r="3" spans="1:14" ht="15" customHeight="1" x14ac:dyDescent="0.3">
      <c r="A3" s="5" t="s">
        <v>328</v>
      </c>
      <c r="B3" s="5" t="s">
        <v>360</v>
      </c>
      <c r="C3" s="5" t="s">
        <v>404</v>
      </c>
      <c r="D3" s="5" t="s">
        <v>396</v>
      </c>
      <c r="E3" s="5" t="s">
        <v>414</v>
      </c>
      <c r="F3" s="5" t="s">
        <v>358</v>
      </c>
      <c r="G3" s="5" t="s">
        <v>344</v>
      </c>
      <c r="H3" s="5" t="s">
        <v>378</v>
      </c>
      <c r="I3" s="5" t="s">
        <v>436</v>
      </c>
      <c r="J3" s="5" t="s">
        <v>406</v>
      </c>
      <c r="K3" s="5" t="s">
        <v>357</v>
      </c>
      <c r="L3" s="5" t="s">
        <v>352</v>
      </c>
      <c r="M3" s="5" t="s">
        <v>349</v>
      </c>
    </row>
    <row r="4" spans="1:14" ht="15" customHeight="1" x14ac:dyDescent="0.3">
      <c r="A4" s="6" t="s">
        <v>341</v>
      </c>
      <c r="B4" s="27">
        <v>60500</v>
      </c>
      <c r="C4" s="27">
        <v>49500</v>
      </c>
      <c r="D4" s="27">
        <v>40500</v>
      </c>
      <c r="E4" s="27">
        <v>33100</v>
      </c>
      <c r="F4" s="27">
        <v>27100</v>
      </c>
      <c r="G4" s="27">
        <v>22200</v>
      </c>
      <c r="H4" s="27">
        <v>33100</v>
      </c>
      <c r="I4" s="27">
        <v>49500</v>
      </c>
      <c r="J4" s="27">
        <v>49500</v>
      </c>
      <c r="K4" s="27">
        <v>60500</v>
      </c>
      <c r="L4" s="27">
        <v>90500</v>
      </c>
      <c r="M4" s="27">
        <v>90500</v>
      </c>
    </row>
    <row r="5" spans="1:14" ht="15" customHeight="1" x14ac:dyDescent="0.3">
      <c r="A5" s="10" t="s">
        <v>347</v>
      </c>
      <c r="B5" s="28">
        <v>33100</v>
      </c>
      <c r="C5" s="28">
        <v>22200</v>
      </c>
      <c r="D5" s="28">
        <v>18100</v>
      </c>
      <c r="E5" s="28">
        <v>14800</v>
      </c>
      <c r="F5" s="28">
        <v>14800</v>
      </c>
      <c r="G5" s="28">
        <v>12100</v>
      </c>
      <c r="H5" s="28">
        <v>14800</v>
      </c>
      <c r="I5" s="28">
        <v>90500</v>
      </c>
      <c r="J5" s="28">
        <v>110000</v>
      </c>
      <c r="K5" s="28">
        <v>110000</v>
      </c>
      <c r="L5" s="28">
        <v>90500</v>
      </c>
      <c r="M5" s="28">
        <v>450000</v>
      </c>
    </row>
    <row r="6" spans="1:14" ht="15" customHeight="1" x14ac:dyDescent="0.3">
      <c r="A6" s="6" t="s">
        <v>359</v>
      </c>
      <c r="B6" s="27">
        <v>40500</v>
      </c>
      <c r="C6" s="27">
        <v>18100</v>
      </c>
      <c r="D6" s="27">
        <v>14800</v>
      </c>
      <c r="E6" s="27">
        <v>18100</v>
      </c>
      <c r="F6" s="27">
        <v>14800</v>
      </c>
      <c r="G6" s="27">
        <v>18100</v>
      </c>
      <c r="H6" s="27">
        <v>18100</v>
      </c>
      <c r="I6" s="27">
        <v>18100</v>
      </c>
      <c r="J6" s="27">
        <v>14800</v>
      </c>
      <c r="K6" s="27">
        <v>18100</v>
      </c>
      <c r="L6" s="27">
        <v>22200</v>
      </c>
      <c r="M6" s="27">
        <v>27100</v>
      </c>
    </row>
    <row r="7" spans="1:14" ht="15" customHeight="1" x14ac:dyDescent="0.3">
      <c r="A7" s="10" t="s">
        <v>353</v>
      </c>
      <c r="B7" s="28">
        <v>49500</v>
      </c>
      <c r="C7" s="28">
        <v>40500</v>
      </c>
      <c r="D7" s="28">
        <v>33100</v>
      </c>
      <c r="E7" s="28">
        <v>33100</v>
      </c>
      <c r="F7" s="28">
        <v>27100</v>
      </c>
      <c r="G7" s="28">
        <v>18100</v>
      </c>
      <c r="H7" s="28">
        <v>18100</v>
      </c>
      <c r="I7" s="28">
        <v>27100</v>
      </c>
      <c r="J7" s="28">
        <v>33100</v>
      </c>
      <c r="K7" s="28">
        <v>40500</v>
      </c>
      <c r="L7" s="28">
        <v>49500</v>
      </c>
      <c r="M7" s="28">
        <v>49500</v>
      </c>
    </row>
    <row r="8" spans="1:14" ht="15" customHeight="1" x14ac:dyDescent="0.3">
      <c r="A8" s="6" t="s">
        <v>364</v>
      </c>
      <c r="B8" s="27">
        <v>9900</v>
      </c>
      <c r="C8" s="27">
        <v>6600</v>
      </c>
      <c r="D8" s="27">
        <v>5400</v>
      </c>
      <c r="E8" s="27">
        <v>5400</v>
      </c>
      <c r="F8" s="27">
        <v>6600</v>
      </c>
      <c r="G8" s="27">
        <v>5400</v>
      </c>
      <c r="H8" s="27">
        <v>5400</v>
      </c>
      <c r="I8" s="27">
        <v>6600</v>
      </c>
      <c r="J8" s="27">
        <v>8100</v>
      </c>
      <c r="K8" s="27">
        <v>8100</v>
      </c>
      <c r="L8" s="27">
        <v>14800</v>
      </c>
      <c r="M8" s="27">
        <v>18100</v>
      </c>
    </row>
    <row r="9" spans="1:14" ht="15" customHeight="1" x14ac:dyDescent="0.3">
      <c r="A9" s="10" t="s">
        <v>367</v>
      </c>
      <c r="B9" s="28">
        <v>9900</v>
      </c>
      <c r="C9" s="28">
        <v>8100</v>
      </c>
      <c r="D9" s="28">
        <v>9900</v>
      </c>
      <c r="E9" s="28">
        <v>8100</v>
      </c>
      <c r="F9" s="28">
        <v>8100</v>
      </c>
      <c r="G9" s="28">
        <v>6600</v>
      </c>
      <c r="H9" s="28">
        <v>6600</v>
      </c>
      <c r="I9" s="28">
        <v>8100</v>
      </c>
      <c r="J9" s="28">
        <v>8100</v>
      </c>
      <c r="K9" s="28">
        <v>8100</v>
      </c>
      <c r="L9" s="28">
        <v>12100</v>
      </c>
      <c r="M9" s="28">
        <v>12100</v>
      </c>
    </row>
    <row r="10" spans="1:14" ht="15" customHeight="1" x14ac:dyDescent="0.3">
      <c r="A10" s="6" t="s">
        <v>372</v>
      </c>
      <c r="B10" s="27">
        <v>3600</v>
      </c>
      <c r="C10" s="27">
        <v>2900</v>
      </c>
      <c r="D10" s="27">
        <v>3600</v>
      </c>
      <c r="E10" s="27">
        <v>3600</v>
      </c>
      <c r="F10" s="27">
        <v>3600</v>
      </c>
      <c r="G10" s="27">
        <v>1900</v>
      </c>
      <c r="H10" s="27">
        <v>2400</v>
      </c>
      <c r="I10" s="27">
        <v>2900</v>
      </c>
      <c r="J10" s="27">
        <v>2900</v>
      </c>
      <c r="K10" s="27">
        <v>4400</v>
      </c>
      <c r="L10" s="27">
        <v>5400</v>
      </c>
      <c r="M10" s="27">
        <v>5400</v>
      </c>
    </row>
    <row r="11" spans="1:14" ht="15" customHeight="1" x14ac:dyDescent="0.3">
      <c r="A11" s="10" t="s">
        <v>374</v>
      </c>
      <c r="B11" s="28">
        <v>1900</v>
      </c>
      <c r="C11" s="28">
        <v>2400</v>
      </c>
      <c r="D11" s="28">
        <v>2400</v>
      </c>
      <c r="E11" s="28">
        <v>1900</v>
      </c>
      <c r="F11" s="28">
        <v>2400</v>
      </c>
      <c r="G11" s="28">
        <v>1900</v>
      </c>
      <c r="H11" s="28">
        <v>1900</v>
      </c>
      <c r="I11" s="28">
        <v>2400</v>
      </c>
      <c r="J11" s="28">
        <v>2400</v>
      </c>
      <c r="K11" s="28">
        <v>2400</v>
      </c>
      <c r="L11" s="28">
        <v>6600</v>
      </c>
      <c r="M11" s="28">
        <v>3600</v>
      </c>
    </row>
    <row r="12" spans="1:14" ht="15" customHeight="1" x14ac:dyDescent="0.3">
      <c r="A12" s="6" t="s">
        <v>380</v>
      </c>
      <c r="B12" s="27">
        <v>1900</v>
      </c>
      <c r="C12" s="27">
        <v>2400</v>
      </c>
      <c r="D12" s="27">
        <v>2400</v>
      </c>
      <c r="E12" s="27">
        <v>2400</v>
      </c>
      <c r="F12" s="27">
        <v>2400</v>
      </c>
      <c r="G12" s="27">
        <v>1300</v>
      </c>
      <c r="H12" s="27">
        <v>1600</v>
      </c>
      <c r="I12" s="27">
        <v>2400</v>
      </c>
      <c r="J12" s="27">
        <v>2400</v>
      </c>
      <c r="K12" s="27">
        <v>2400</v>
      </c>
      <c r="L12" s="27">
        <v>2400</v>
      </c>
      <c r="M12" s="27">
        <v>2900</v>
      </c>
    </row>
    <row r="13" spans="1:14" ht="15" customHeight="1" x14ac:dyDescent="0.3">
      <c r="A13" s="10" t="s">
        <v>384</v>
      </c>
      <c r="B13" s="28">
        <v>2900</v>
      </c>
      <c r="C13" s="28">
        <v>1900</v>
      </c>
      <c r="D13" s="28">
        <v>2400</v>
      </c>
      <c r="E13" s="28">
        <v>1600</v>
      </c>
      <c r="F13" s="28">
        <v>1600</v>
      </c>
      <c r="G13" s="28">
        <v>1300</v>
      </c>
      <c r="H13" s="28">
        <v>1300</v>
      </c>
      <c r="I13" s="28">
        <v>1600</v>
      </c>
      <c r="J13" s="28">
        <v>1900</v>
      </c>
      <c r="K13" s="28">
        <v>2400</v>
      </c>
      <c r="L13" s="28">
        <v>2900</v>
      </c>
      <c r="M13" s="28">
        <v>2900</v>
      </c>
    </row>
    <row r="14" spans="1:14" ht="15" customHeight="1" x14ac:dyDescent="0.3">
      <c r="A14" s="6" t="s">
        <v>381</v>
      </c>
      <c r="B14" s="27">
        <v>2900</v>
      </c>
      <c r="C14" s="27">
        <v>1900</v>
      </c>
      <c r="D14" s="27">
        <v>1900</v>
      </c>
      <c r="E14" s="27">
        <v>1600</v>
      </c>
      <c r="F14" s="27">
        <v>1300</v>
      </c>
      <c r="G14" s="27">
        <v>1000</v>
      </c>
      <c r="H14" s="27">
        <v>1600</v>
      </c>
      <c r="I14" s="27">
        <v>1600</v>
      </c>
      <c r="J14" s="27">
        <v>1900</v>
      </c>
      <c r="K14" s="27">
        <v>1900</v>
      </c>
      <c r="L14" s="27">
        <v>2900</v>
      </c>
      <c r="M14" s="27">
        <v>2900</v>
      </c>
    </row>
    <row r="15" spans="1:14" ht="15" customHeight="1" x14ac:dyDescent="0.3">
      <c r="A15" s="10" t="s">
        <v>400</v>
      </c>
      <c r="B15" s="28">
        <v>880</v>
      </c>
      <c r="C15" s="28">
        <v>590</v>
      </c>
      <c r="D15" s="28">
        <v>590</v>
      </c>
      <c r="E15" s="28">
        <v>590</v>
      </c>
      <c r="F15" s="28">
        <v>480</v>
      </c>
      <c r="G15" s="28">
        <v>320</v>
      </c>
      <c r="H15" s="28">
        <v>320</v>
      </c>
      <c r="I15" s="28">
        <v>480</v>
      </c>
      <c r="J15" s="28">
        <v>480</v>
      </c>
      <c r="K15" s="28">
        <v>590</v>
      </c>
      <c r="L15" s="28">
        <v>880</v>
      </c>
      <c r="M15" s="28">
        <v>880</v>
      </c>
    </row>
    <row r="16" spans="1:14" ht="15" customHeight="1" x14ac:dyDescent="0.3">
      <c r="A16" s="6" t="s">
        <v>377</v>
      </c>
      <c r="B16" s="27">
        <v>4400</v>
      </c>
      <c r="C16" s="27">
        <v>2900</v>
      </c>
      <c r="D16" s="27">
        <v>2900</v>
      </c>
      <c r="E16" s="27">
        <v>2900</v>
      </c>
      <c r="F16" s="27">
        <v>2900</v>
      </c>
      <c r="G16" s="27">
        <v>2400</v>
      </c>
      <c r="H16" s="27">
        <v>1900</v>
      </c>
      <c r="I16" s="27">
        <v>2400</v>
      </c>
      <c r="J16" s="27">
        <v>3600</v>
      </c>
      <c r="K16" s="27">
        <v>3600</v>
      </c>
      <c r="L16" s="27">
        <v>2900</v>
      </c>
      <c r="M16" s="27">
        <v>2400</v>
      </c>
    </row>
    <row r="17" spans="1:13" ht="15" customHeight="1" x14ac:dyDescent="0.3">
      <c r="A17" s="10" t="s">
        <v>410</v>
      </c>
      <c r="B17" s="28">
        <v>590</v>
      </c>
      <c r="C17" s="28">
        <v>320</v>
      </c>
      <c r="D17" s="28">
        <v>320</v>
      </c>
      <c r="E17" s="28">
        <v>260</v>
      </c>
      <c r="F17" s="28">
        <v>260</v>
      </c>
      <c r="G17" s="28">
        <v>140</v>
      </c>
      <c r="H17" s="28">
        <v>210</v>
      </c>
      <c r="I17" s="28">
        <v>320</v>
      </c>
      <c r="J17" s="28">
        <v>320</v>
      </c>
      <c r="K17" s="28">
        <v>480</v>
      </c>
      <c r="L17" s="28">
        <v>480</v>
      </c>
      <c r="M17" s="28">
        <v>590</v>
      </c>
    </row>
  </sheetData>
  <mergeCells count="1">
    <mergeCell ref="A1:N1"/>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C27B0"/>
  </sheetPr>
  <dimension ref="A1:I23"/>
  <sheetViews>
    <sheetView tabSelected="1" zoomScaleNormal="100" workbookViewId="0">
      <selection sqref="A1:I1"/>
    </sheetView>
  </sheetViews>
  <sheetFormatPr defaultColWidth="8.6640625" defaultRowHeight="15" customHeight="1" x14ac:dyDescent="0.3"/>
  <cols>
    <col min="1" max="1" width="12" style="1" customWidth="1"/>
    <col min="2" max="2" width="26" style="1" customWidth="1"/>
    <col min="3" max="3" width="18" style="1" customWidth="1"/>
    <col min="4" max="5" width="12" style="1" customWidth="1"/>
    <col min="6" max="7" width="16" style="1" customWidth="1"/>
    <col min="8" max="8" width="20" style="1" customWidth="1"/>
    <col min="9" max="9" width="50" style="1" customWidth="1"/>
  </cols>
  <sheetData>
    <row r="1" spans="1:9" ht="19.5" customHeight="1" x14ac:dyDescent="0.3">
      <c r="A1" s="58" t="s">
        <v>750</v>
      </c>
      <c r="B1" s="58"/>
      <c r="C1" s="58"/>
      <c r="D1" s="58"/>
      <c r="E1" s="58"/>
      <c r="F1" s="58"/>
      <c r="G1" s="58"/>
      <c r="H1" s="58"/>
      <c r="I1" s="58"/>
    </row>
    <row r="3" spans="1:9" ht="23.25" customHeight="1" x14ac:dyDescent="0.3">
      <c r="A3" s="5" t="s">
        <v>751</v>
      </c>
      <c r="B3" s="5" t="s">
        <v>752</v>
      </c>
      <c r="C3" s="5" t="s">
        <v>753</v>
      </c>
      <c r="D3" s="5" t="s">
        <v>331</v>
      </c>
      <c r="E3" s="5" t="s">
        <v>560</v>
      </c>
      <c r="F3" s="5" t="s">
        <v>713</v>
      </c>
      <c r="G3" s="5" t="s">
        <v>754</v>
      </c>
      <c r="H3" s="5" t="s">
        <v>720</v>
      </c>
      <c r="I3" s="5" t="s">
        <v>755</v>
      </c>
    </row>
    <row r="4" spans="1:9" ht="15" customHeight="1" x14ac:dyDescent="0.3">
      <c r="A4" s="37" t="s">
        <v>756</v>
      </c>
      <c r="B4" s="8" t="s">
        <v>757</v>
      </c>
      <c r="C4" s="8" t="s">
        <v>758</v>
      </c>
      <c r="D4" s="8" t="s">
        <v>348</v>
      </c>
      <c r="E4" s="8" t="s">
        <v>759</v>
      </c>
      <c r="F4" s="8" t="s">
        <v>760</v>
      </c>
      <c r="G4" s="8" t="s">
        <v>761</v>
      </c>
      <c r="H4" s="8" t="s">
        <v>762</v>
      </c>
      <c r="I4" s="8" t="s">
        <v>763</v>
      </c>
    </row>
    <row r="5" spans="1:9" ht="15" customHeight="1" x14ac:dyDescent="0.3">
      <c r="A5" s="37" t="s">
        <v>764</v>
      </c>
      <c r="B5" s="12" t="s">
        <v>765</v>
      </c>
      <c r="C5" s="12" t="s">
        <v>766</v>
      </c>
      <c r="D5" s="12" t="s">
        <v>348</v>
      </c>
      <c r="E5" s="12" t="s">
        <v>759</v>
      </c>
      <c r="F5" s="12" t="s">
        <v>767</v>
      </c>
      <c r="G5" s="12" t="s">
        <v>761</v>
      </c>
      <c r="H5" s="12" t="s">
        <v>768</v>
      </c>
      <c r="I5" s="12" t="s">
        <v>769</v>
      </c>
    </row>
    <row r="6" spans="1:9" ht="15" customHeight="1" x14ac:dyDescent="0.3">
      <c r="A6" s="37" t="s">
        <v>770</v>
      </c>
      <c r="B6" s="8" t="s">
        <v>771</v>
      </c>
      <c r="C6" s="8" t="s">
        <v>772</v>
      </c>
      <c r="D6" s="8" t="s">
        <v>342</v>
      </c>
      <c r="E6" s="8" t="s">
        <v>759</v>
      </c>
      <c r="F6" s="8" t="s">
        <v>773</v>
      </c>
      <c r="G6" s="8" t="s">
        <v>761</v>
      </c>
      <c r="H6" s="8" t="s">
        <v>727</v>
      </c>
      <c r="I6" s="8" t="s">
        <v>774</v>
      </c>
    </row>
    <row r="7" spans="1:9" ht="15" customHeight="1" x14ac:dyDescent="0.3">
      <c r="A7" s="38" t="s">
        <v>775</v>
      </c>
      <c r="B7" s="12" t="s">
        <v>776</v>
      </c>
      <c r="C7" s="12" t="s">
        <v>15</v>
      </c>
      <c r="D7" s="12" t="s">
        <v>777</v>
      </c>
      <c r="E7" s="12" t="s">
        <v>778</v>
      </c>
      <c r="F7" s="12" t="s">
        <v>773</v>
      </c>
      <c r="G7" s="12" t="s">
        <v>779</v>
      </c>
      <c r="H7" s="12" t="s">
        <v>729</v>
      </c>
      <c r="I7" s="12" t="s">
        <v>780</v>
      </c>
    </row>
    <row r="8" spans="1:9" ht="15" customHeight="1" x14ac:dyDescent="0.3">
      <c r="A8" s="38" t="s">
        <v>781</v>
      </c>
      <c r="B8" s="8" t="s">
        <v>782</v>
      </c>
      <c r="C8" s="8" t="s">
        <v>783</v>
      </c>
      <c r="D8" s="8" t="s">
        <v>784</v>
      </c>
      <c r="E8" s="8" t="s">
        <v>785</v>
      </c>
      <c r="F8" s="8" t="s">
        <v>786</v>
      </c>
      <c r="G8" s="8" t="s">
        <v>787</v>
      </c>
      <c r="H8" s="8" t="s">
        <v>735</v>
      </c>
      <c r="I8" s="8" t="s">
        <v>788</v>
      </c>
    </row>
    <row r="9" spans="1:9" ht="15" customHeight="1" x14ac:dyDescent="0.3">
      <c r="A9" s="38" t="s">
        <v>789</v>
      </c>
      <c r="B9" s="12" t="s">
        <v>790</v>
      </c>
      <c r="C9" s="12" t="s">
        <v>791</v>
      </c>
      <c r="D9" s="12" t="s">
        <v>430</v>
      </c>
      <c r="E9" s="12" t="s">
        <v>792</v>
      </c>
      <c r="F9" s="12" t="s">
        <v>793</v>
      </c>
      <c r="G9" s="12" t="s">
        <v>779</v>
      </c>
      <c r="H9" s="12" t="s">
        <v>743</v>
      </c>
      <c r="I9" s="12" t="s">
        <v>794</v>
      </c>
    </row>
    <row r="10" spans="1:9" ht="15" customHeight="1" x14ac:dyDescent="0.3">
      <c r="A10" s="39" t="s">
        <v>795</v>
      </c>
      <c r="B10" s="8" t="s">
        <v>796</v>
      </c>
      <c r="C10" s="8" t="s">
        <v>797</v>
      </c>
      <c r="D10" s="8" t="s">
        <v>348</v>
      </c>
      <c r="E10" s="8" t="s">
        <v>798</v>
      </c>
      <c r="F10" s="8" t="s">
        <v>799</v>
      </c>
      <c r="G10" s="8" t="s">
        <v>787</v>
      </c>
      <c r="H10" s="8" t="s">
        <v>800</v>
      </c>
      <c r="I10" s="8" t="s">
        <v>801</v>
      </c>
    </row>
    <row r="11" spans="1:9" ht="15" customHeight="1" x14ac:dyDescent="0.3">
      <c r="A11" s="39" t="s">
        <v>802</v>
      </c>
      <c r="B11" s="12" t="s">
        <v>803</v>
      </c>
      <c r="C11" s="12" t="s">
        <v>791</v>
      </c>
      <c r="D11" s="12" t="s">
        <v>777</v>
      </c>
      <c r="E11" s="12" t="s">
        <v>778</v>
      </c>
      <c r="F11" s="12" t="s">
        <v>799</v>
      </c>
      <c r="G11" s="12" t="s">
        <v>787</v>
      </c>
      <c r="H11" s="12" t="s">
        <v>800</v>
      </c>
      <c r="I11" s="12" t="s">
        <v>804</v>
      </c>
    </row>
    <row r="14" spans="1:9" ht="15.6" x14ac:dyDescent="0.3">
      <c r="A14" s="47" t="s">
        <v>805</v>
      </c>
      <c r="B14" s="47"/>
      <c r="C14" s="47"/>
      <c r="D14" s="47"/>
      <c r="E14" s="47"/>
      <c r="F14" s="47"/>
      <c r="G14" s="47"/>
      <c r="H14" s="47"/>
    </row>
    <row r="15" spans="1:9" ht="46.8" x14ac:dyDescent="0.3">
      <c r="A15" s="14" t="s">
        <v>751</v>
      </c>
      <c r="B15" s="14" t="s">
        <v>752</v>
      </c>
      <c r="C15" s="14" t="s">
        <v>806</v>
      </c>
      <c r="D15" s="14" t="s">
        <v>807</v>
      </c>
      <c r="E15" s="14" t="s">
        <v>808</v>
      </c>
      <c r="F15" s="14" t="s">
        <v>809</v>
      </c>
      <c r="G15" s="14" t="s">
        <v>810</v>
      </c>
      <c r="H15" s="14" t="s">
        <v>811</v>
      </c>
    </row>
    <row r="16" spans="1:9" ht="39.75" customHeight="1" x14ac:dyDescent="0.3">
      <c r="A16" s="20" t="s">
        <v>812</v>
      </c>
      <c r="B16" s="15" t="s">
        <v>757</v>
      </c>
      <c r="C16" s="15" t="s">
        <v>210</v>
      </c>
      <c r="D16" s="15" t="s">
        <v>813</v>
      </c>
      <c r="E16" s="15" t="s">
        <v>786</v>
      </c>
      <c r="F16" s="15" t="s">
        <v>814</v>
      </c>
      <c r="G16" s="15" t="s">
        <v>815</v>
      </c>
      <c r="H16" s="15" t="s">
        <v>816</v>
      </c>
    </row>
    <row r="17" spans="1:8" ht="39.75" customHeight="1" x14ac:dyDescent="0.3">
      <c r="A17" s="20" t="s">
        <v>817</v>
      </c>
      <c r="B17" s="15" t="s">
        <v>818</v>
      </c>
      <c r="C17" s="15" t="s">
        <v>210</v>
      </c>
      <c r="D17" s="15" t="s">
        <v>813</v>
      </c>
      <c r="E17" s="15" t="s">
        <v>786</v>
      </c>
      <c r="F17" s="15" t="s">
        <v>814</v>
      </c>
      <c r="G17" s="15" t="s">
        <v>815</v>
      </c>
      <c r="H17" s="15" t="s">
        <v>819</v>
      </c>
    </row>
    <row r="18" spans="1:8" ht="39.75" customHeight="1" x14ac:dyDescent="0.3">
      <c r="A18" s="20" t="s">
        <v>820</v>
      </c>
      <c r="B18" s="15" t="s">
        <v>821</v>
      </c>
      <c r="C18" s="15" t="s">
        <v>210</v>
      </c>
      <c r="D18" s="15" t="s">
        <v>822</v>
      </c>
      <c r="E18" s="15" t="s">
        <v>823</v>
      </c>
      <c r="F18" s="15" t="s">
        <v>824</v>
      </c>
      <c r="G18" s="15" t="s">
        <v>825</v>
      </c>
      <c r="H18" s="15" t="s">
        <v>826</v>
      </c>
    </row>
    <row r="19" spans="1:8" ht="39.75" customHeight="1" x14ac:dyDescent="0.3">
      <c r="A19" s="40" t="s">
        <v>827</v>
      </c>
      <c r="B19" s="15" t="s">
        <v>828</v>
      </c>
      <c r="C19" s="15" t="s">
        <v>233</v>
      </c>
      <c r="D19" s="15" t="s">
        <v>813</v>
      </c>
      <c r="E19" s="15" t="s">
        <v>786</v>
      </c>
      <c r="F19" s="15" t="s">
        <v>814</v>
      </c>
      <c r="G19" s="15" t="s">
        <v>815</v>
      </c>
      <c r="H19" s="15" t="s">
        <v>829</v>
      </c>
    </row>
    <row r="20" spans="1:8" ht="39.75" customHeight="1" x14ac:dyDescent="0.3">
      <c r="A20" s="40" t="s">
        <v>830</v>
      </c>
      <c r="B20" s="15" t="s">
        <v>831</v>
      </c>
      <c r="C20" s="15" t="s">
        <v>210</v>
      </c>
      <c r="D20" s="15" t="s">
        <v>832</v>
      </c>
      <c r="E20" s="15" t="s">
        <v>833</v>
      </c>
      <c r="F20" s="15" t="s">
        <v>834</v>
      </c>
      <c r="G20" s="15" t="s">
        <v>835</v>
      </c>
      <c r="H20" s="15" t="s">
        <v>836</v>
      </c>
    </row>
    <row r="21" spans="1:8" ht="39.75" customHeight="1" x14ac:dyDescent="0.3">
      <c r="A21" s="21" t="s">
        <v>837</v>
      </c>
      <c r="B21" s="15" t="s">
        <v>838</v>
      </c>
      <c r="C21" s="15" t="s">
        <v>229</v>
      </c>
      <c r="D21" s="15" t="s">
        <v>839</v>
      </c>
      <c r="E21" s="15" t="s">
        <v>840</v>
      </c>
      <c r="F21" s="15" t="s">
        <v>841</v>
      </c>
      <c r="G21" s="15" t="s">
        <v>842</v>
      </c>
      <c r="H21" s="15" t="s">
        <v>843</v>
      </c>
    </row>
    <row r="22" spans="1:8" ht="39.75" customHeight="1" x14ac:dyDescent="0.3">
      <c r="A22" s="21" t="s">
        <v>844</v>
      </c>
      <c r="B22" s="15" t="s">
        <v>796</v>
      </c>
      <c r="C22" s="15" t="s">
        <v>233</v>
      </c>
      <c r="D22" s="15" t="s">
        <v>845</v>
      </c>
      <c r="E22" s="15" t="s">
        <v>773</v>
      </c>
      <c r="F22" s="15" t="s">
        <v>846</v>
      </c>
      <c r="G22" s="15" t="s">
        <v>847</v>
      </c>
      <c r="H22" s="15" t="s">
        <v>848</v>
      </c>
    </row>
    <row r="23" spans="1:8" ht="39.75" customHeight="1" x14ac:dyDescent="0.3">
      <c r="A23" s="16" t="s">
        <v>849</v>
      </c>
      <c r="B23" s="15" t="s">
        <v>850</v>
      </c>
      <c r="C23" s="15" t="s">
        <v>851</v>
      </c>
      <c r="D23" s="15" t="s">
        <v>83</v>
      </c>
      <c r="E23" s="15" t="s">
        <v>83</v>
      </c>
      <c r="F23" s="15" t="s">
        <v>83</v>
      </c>
      <c r="G23" s="15" t="s">
        <v>83</v>
      </c>
      <c r="H23" s="15" t="s">
        <v>852</v>
      </c>
    </row>
  </sheetData>
  <mergeCells count="2">
    <mergeCell ref="A1:I1"/>
    <mergeCell ref="A14:H14"/>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44336"/>
  </sheetPr>
  <dimension ref="A1:J13"/>
  <sheetViews>
    <sheetView zoomScaleNormal="100" workbookViewId="0"/>
  </sheetViews>
  <sheetFormatPr defaultColWidth="8.6640625" defaultRowHeight="15" customHeight="1" x14ac:dyDescent="0.3"/>
  <cols>
    <col min="1" max="1" width="20" style="1" customWidth="1"/>
    <col min="2" max="3" width="12" style="1" customWidth="1"/>
    <col min="4" max="7" width="14" style="1" customWidth="1"/>
    <col min="8" max="9" width="12" style="1" customWidth="1"/>
    <col min="10" max="10" width="24" style="1" customWidth="1"/>
  </cols>
  <sheetData>
    <row r="1" spans="1:10" ht="19.5" customHeight="1" x14ac:dyDescent="0.3">
      <c r="A1" s="58" t="s">
        <v>853</v>
      </c>
      <c r="B1" s="58"/>
      <c r="C1" s="58"/>
      <c r="D1" s="58"/>
      <c r="E1" s="58"/>
      <c r="F1" s="58"/>
      <c r="G1" s="58"/>
      <c r="H1" s="58"/>
      <c r="I1" s="58"/>
      <c r="J1" s="58"/>
    </row>
    <row r="2" spans="1:10" ht="15" customHeight="1" x14ac:dyDescent="0.3">
      <c r="A2" s="61" t="s">
        <v>854</v>
      </c>
      <c r="B2" s="61"/>
      <c r="C2" s="61"/>
      <c r="D2" s="61"/>
      <c r="E2" s="61"/>
      <c r="F2" s="61"/>
      <c r="G2" s="61"/>
      <c r="H2" s="61"/>
      <c r="I2" s="61"/>
      <c r="J2" s="61"/>
    </row>
    <row r="4" spans="1:10" ht="15" customHeight="1" x14ac:dyDescent="0.3">
      <c r="A4" s="5" t="s">
        <v>27</v>
      </c>
      <c r="B4" s="5" t="s">
        <v>855</v>
      </c>
      <c r="C4" s="5" t="s">
        <v>856</v>
      </c>
      <c r="D4" s="5" t="s">
        <v>857</v>
      </c>
      <c r="E4" s="5" t="s">
        <v>858</v>
      </c>
      <c r="F4" s="5" t="s">
        <v>859</v>
      </c>
      <c r="G4" s="5" t="s">
        <v>860</v>
      </c>
      <c r="H4" s="5" t="s">
        <v>861</v>
      </c>
      <c r="I4" s="5" t="s">
        <v>862</v>
      </c>
      <c r="J4" s="5" t="s">
        <v>157</v>
      </c>
    </row>
    <row r="5" spans="1:10" ht="15" customHeight="1" x14ac:dyDescent="0.3">
      <c r="A5" s="6" t="s">
        <v>21</v>
      </c>
      <c r="B5" s="7">
        <v>18</v>
      </c>
      <c r="C5" s="7">
        <v>9</v>
      </c>
      <c r="D5" s="7">
        <v>27</v>
      </c>
      <c r="E5" s="7">
        <v>35.1</v>
      </c>
      <c r="F5" s="7">
        <v>7</v>
      </c>
      <c r="G5" s="7">
        <v>42.1</v>
      </c>
      <c r="H5" s="7">
        <v>15.1</v>
      </c>
      <c r="I5" s="9">
        <v>0.35899999999999999</v>
      </c>
      <c r="J5" s="8" t="s">
        <v>863</v>
      </c>
    </row>
    <row r="6" spans="1:10" ht="15" customHeight="1" x14ac:dyDescent="0.3">
      <c r="A6" s="10" t="s">
        <v>43</v>
      </c>
      <c r="B6" s="11">
        <v>14</v>
      </c>
      <c r="C6" s="11">
        <v>8</v>
      </c>
      <c r="D6" s="11">
        <v>22</v>
      </c>
      <c r="E6" s="11">
        <v>29.31</v>
      </c>
      <c r="F6" s="11">
        <v>6</v>
      </c>
      <c r="G6" s="11">
        <v>35.31</v>
      </c>
      <c r="H6" s="11">
        <v>13.31</v>
      </c>
      <c r="I6" s="13">
        <v>0.377</v>
      </c>
      <c r="J6" s="12" t="s">
        <v>863</v>
      </c>
    </row>
    <row r="7" spans="1:10" ht="15" customHeight="1" x14ac:dyDescent="0.3">
      <c r="A7" s="6" t="s">
        <v>50</v>
      </c>
      <c r="B7" s="7">
        <v>6.5</v>
      </c>
      <c r="C7" s="7">
        <v>7.5</v>
      </c>
      <c r="D7" s="7">
        <v>14</v>
      </c>
      <c r="E7" s="7">
        <v>19.54</v>
      </c>
      <c r="F7" s="7">
        <v>5</v>
      </c>
      <c r="G7" s="7">
        <v>24.54</v>
      </c>
      <c r="H7" s="7">
        <v>10.54</v>
      </c>
      <c r="I7" s="9">
        <v>0.42899999999999999</v>
      </c>
      <c r="J7" s="8" t="s">
        <v>863</v>
      </c>
    </row>
    <row r="8" spans="1:10" ht="15" customHeight="1" x14ac:dyDescent="0.3">
      <c r="A8" s="10" t="s">
        <v>18</v>
      </c>
      <c r="B8" s="11">
        <v>15</v>
      </c>
      <c r="C8" s="11">
        <v>8</v>
      </c>
      <c r="D8" s="11">
        <v>23</v>
      </c>
      <c r="E8" s="11">
        <v>25</v>
      </c>
      <c r="F8" s="11">
        <v>6</v>
      </c>
      <c r="G8" s="11">
        <v>31</v>
      </c>
      <c r="H8" s="11">
        <v>8</v>
      </c>
      <c r="I8" s="13">
        <v>0.25800000000000001</v>
      </c>
      <c r="J8" s="12" t="s">
        <v>864</v>
      </c>
    </row>
    <row r="9" spans="1:10" ht="15" customHeight="1" x14ac:dyDescent="0.3">
      <c r="A9" s="6" t="s">
        <v>39</v>
      </c>
      <c r="B9" s="7">
        <v>20</v>
      </c>
      <c r="C9" s="7">
        <v>9.5</v>
      </c>
      <c r="D9" s="7">
        <v>29.5</v>
      </c>
      <c r="E9" s="7">
        <v>35</v>
      </c>
      <c r="F9" s="7">
        <v>7</v>
      </c>
      <c r="G9" s="7">
        <v>42</v>
      </c>
      <c r="H9" s="7">
        <v>12.5</v>
      </c>
      <c r="I9" s="9">
        <v>0.29799999999999999</v>
      </c>
      <c r="J9" s="8" t="s">
        <v>863</v>
      </c>
    </row>
    <row r="10" spans="1:10" ht="15" customHeight="1" x14ac:dyDescent="0.3">
      <c r="A10" s="10" t="s">
        <v>41</v>
      </c>
      <c r="B10" s="11">
        <v>18</v>
      </c>
      <c r="C10" s="11">
        <v>9</v>
      </c>
      <c r="D10" s="11">
        <v>27</v>
      </c>
      <c r="E10" s="11">
        <v>30</v>
      </c>
      <c r="F10" s="11">
        <v>7</v>
      </c>
      <c r="G10" s="11">
        <v>37</v>
      </c>
      <c r="H10" s="11">
        <v>10</v>
      </c>
      <c r="I10" s="13">
        <v>0.27</v>
      </c>
      <c r="J10" s="12" t="s">
        <v>864</v>
      </c>
    </row>
    <row r="11" spans="1:10" ht="15" customHeight="1" x14ac:dyDescent="0.3">
      <c r="A11" s="6" t="s">
        <v>45</v>
      </c>
      <c r="B11" s="7">
        <v>12</v>
      </c>
      <c r="C11" s="7">
        <v>7.5</v>
      </c>
      <c r="D11" s="7">
        <v>19.5</v>
      </c>
      <c r="E11" s="7">
        <v>21.49</v>
      </c>
      <c r="F11" s="7">
        <v>5</v>
      </c>
      <c r="G11" s="7">
        <v>26.49</v>
      </c>
      <c r="H11" s="7">
        <v>6.99</v>
      </c>
      <c r="I11" s="9">
        <v>0.26400000000000001</v>
      </c>
      <c r="J11" s="8" t="s">
        <v>864</v>
      </c>
    </row>
    <row r="12" spans="1:10" ht="15" customHeight="1" x14ac:dyDescent="0.3">
      <c r="A12" s="10" t="s">
        <v>47</v>
      </c>
      <c r="B12" s="11">
        <v>14</v>
      </c>
      <c r="C12" s="11">
        <v>8.5</v>
      </c>
      <c r="D12" s="11">
        <v>22.5</v>
      </c>
      <c r="E12" s="11">
        <v>25</v>
      </c>
      <c r="F12" s="11">
        <v>6</v>
      </c>
      <c r="G12" s="11">
        <v>31</v>
      </c>
      <c r="H12" s="11">
        <v>8.5</v>
      </c>
      <c r="I12" s="13">
        <v>0.27400000000000002</v>
      </c>
      <c r="J12" s="12" t="s">
        <v>864</v>
      </c>
    </row>
    <row r="13" spans="1:10" ht="15" customHeight="1" x14ac:dyDescent="0.3">
      <c r="A13" s="6" t="s">
        <v>48</v>
      </c>
      <c r="B13" s="7">
        <v>6</v>
      </c>
      <c r="C13" s="7">
        <v>7</v>
      </c>
      <c r="D13" s="7">
        <v>13</v>
      </c>
      <c r="E13" s="7">
        <v>12</v>
      </c>
      <c r="F13" s="7">
        <v>5</v>
      </c>
      <c r="G13" s="7">
        <v>17</v>
      </c>
      <c r="H13" s="7">
        <v>4</v>
      </c>
      <c r="I13" s="9">
        <v>0.23499999999999999</v>
      </c>
      <c r="J13" s="8" t="s">
        <v>864</v>
      </c>
    </row>
  </sheetData>
  <mergeCells count="2">
    <mergeCell ref="A1:J1"/>
    <mergeCell ref="A2:J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Executive Summary</vt:lpstr>
      <vt:lpstr>Visual Design Comparison</vt:lpstr>
      <vt:lpstr>Yoycol Product Catalog</vt:lpstr>
      <vt:lpstr>Keyword Research</vt:lpstr>
      <vt:lpstr>Browser Verified Prices</vt:lpstr>
      <vt:lpstr>Niche &amp; Design Analysis</vt:lpstr>
      <vt:lpstr>Design Styles</vt:lpstr>
      <vt:lpstr>Pricing Strategy</vt:lpstr>
      <vt:lpstr>Seasonal Trends</vt:lpstr>
      <vt:lpstr>Shop Strategy</vt:lpstr>
      <vt:lpstr>Yoycol vs Printify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Owner</cp:lastModifiedBy>
  <cp:revision>0</cp:revision>
  <dcterms:created xsi:type="dcterms:W3CDTF">2026-02-24T11:48:08Z</dcterms:created>
  <dcterms:modified xsi:type="dcterms:W3CDTF">2026-02-27T00:07:43Z</dcterms:modified>
  <dc:language>en-US</dc:language>
</cp:coreProperties>
</file>