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tton Catalog (Google)" sheetId="1" state="visible" r:id="rId3"/>
    <sheet name="Google vs Etsy Fees" sheetId="2" state="visible" r:id="rId4"/>
    <sheet name="Top Opportunities" sheetId="3" state="visible" r:id="rId5"/>
    <sheet name="Ads ROI Model" sheetId="4" state="visible" r:id="rId6"/>
    <sheet name="Launch Playboo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<sst xmlns="http://schemas.openxmlformats.org/spreadsheetml/2006/main" count="401" uniqueCount="286">
  <si>
    <t xml:space="preserve">YOYCOL 100% COTTON — Google Shopping + Shopify Analysis (33 Products)</t>
  </si>
  <si>
    <t xml:space="preserve">Google Shopping: FREE listings, $0 commission. Shopify Payments: 2.9% + $0.30/txn. Shopify Basic: $29/mo.</t>
  </si>
  <si>
    <t xml:space="preserve">Shopify Rate:</t>
  </si>
  <si>
    <t xml:space="preserve">Txn Fee:</t>
  </si>
  <si>
    <t xml:space="preserve">Shopify/mo:</t>
  </si>
  <si>
    <t xml:space="preserve">Est. Sales/mo:</t>
  </si>
  <si>
    <t xml:space="preserve">Shopify/sale:</t>
  </si>
  <si>
    <t xml:space="preserve">Etsy Fee Rate:</t>
  </si>
  <si>
    <t xml:space="preserve">Etsy Listing:</t>
  </si>
  <si>
    <t xml:space="preserve">#</t>
  </si>
  <si>
    <t xml:space="preserve">Product Name</t>
  </si>
  <si>
    <t xml:space="preserve">Cat</t>
  </si>
  <si>
    <t xml:space="preserve">Type</t>
  </si>
  <si>
    <t xml:space="preserve">Yoycol
Cost</t>
  </si>
  <si>
    <t xml:space="preserve">Est.
Ship</t>
  </si>
  <si>
    <t xml:space="preserve">Landed</t>
  </si>
  <si>
    <t xml:space="preserve">Sale
Price</t>
  </si>
  <si>
    <t xml:space="preserve">Shopify
Fees</t>
  </si>
  <si>
    <t xml:space="preserve">Shopify
Amort.</t>
  </si>
  <si>
    <t xml:space="preserve">Google
Profit</t>
  </si>
  <si>
    <t xml:space="preserve">Google
Margin</t>
  </si>
  <si>
    <t xml:space="preserve">Etsy
Fees</t>
  </si>
  <si>
    <t xml:space="preserve">Etsy
Profit</t>
  </si>
  <si>
    <t xml:space="preserve">Etsy
Margin</t>
  </si>
  <si>
    <t xml:space="preserve">Google
Advantage</t>
  </si>
  <si>
    <t xml:space="preserve">Women's Cropped T-shirt</t>
  </si>
  <si>
    <t xml:space="preserve">Tops</t>
  </si>
  <si>
    <t xml:space="preserve">AOP</t>
  </si>
  <si>
    <t xml:space="preserve">Women's Round Neck T-Shirt</t>
  </si>
  <si>
    <t xml:space="preserve">Women's Leisure Blazer</t>
  </si>
  <si>
    <t xml:space="preserve">Outerwear</t>
  </si>
  <si>
    <t xml:space="preserve">Women's Sleeveless Dress With Pocket</t>
  </si>
  <si>
    <t xml:space="preserve">Dresses</t>
  </si>
  <si>
    <t xml:space="preserve">Women's Oversized T-shirt</t>
  </si>
  <si>
    <t xml:space="preserve">Women's Cropped Jacket</t>
  </si>
  <si>
    <t xml:space="preserve">Women's T-Shirt Comfort Colors C1717 Front DTF</t>
  </si>
  <si>
    <t xml:space="preserve">DTF</t>
  </si>
  <si>
    <t xml:space="preserve">Women's Pajamas Set</t>
  </si>
  <si>
    <t xml:space="preserve">Loungewear</t>
  </si>
  <si>
    <t xml:space="preserve">Unisex Boat Neck Sweatshirt w/ Pocket</t>
  </si>
  <si>
    <t xml:space="preserve">Sweatshirts</t>
  </si>
  <si>
    <t xml:space="preserve">Women's Front Mid-slit Skirt</t>
  </si>
  <si>
    <t xml:space="preserve">Bottoms</t>
  </si>
  <si>
    <t xml:space="preserve">Women's Comfort Shirt With Button</t>
  </si>
  <si>
    <t xml:space="preserve">Women's Shirt 125GSM</t>
  </si>
  <si>
    <t xml:space="preserve">Women's Cold Shoulder Dress</t>
  </si>
  <si>
    <t xml:space="preserve">Women's Sports Vest</t>
  </si>
  <si>
    <t xml:space="preserve">Activewear</t>
  </si>
  <si>
    <t xml:space="preserve">Women's T-Shirt Comfort Colors C1717 Front DTG</t>
  </si>
  <si>
    <t xml:space="preserve">DTG</t>
  </si>
  <si>
    <t xml:space="preserve">Women's Racer Vest</t>
  </si>
  <si>
    <t xml:space="preserve">Women's Waist Tight Dress</t>
  </si>
  <si>
    <t xml:space="preserve">Women's T-Shirt C1717 Double DTG</t>
  </si>
  <si>
    <t xml:space="preserve">Women's Round Neck Dress 190GSM</t>
  </si>
  <si>
    <t xml:space="preserve">Women's Bell Sleeve Top</t>
  </si>
  <si>
    <t xml:space="preserve">Women's V Neck Dress 180GSM</t>
  </si>
  <si>
    <t xml:space="preserve">Women's Dress 180GSM</t>
  </si>
  <si>
    <t xml:space="preserve">Women's Bat Sleeves Blouse</t>
  </si>
  <si>
    <t xml:space="preserve">Women's O-neck Cami Dress</t>
  </si>
  <si>
    <t xml:space="preserve">Women's T-Shirt USA Print 200GSM DTF</t>
  </si>
  <si>
    <t xml:space="preserve">Women's Pajama T-shirt</t>
  </si>
  <si>
    <t xml:space="preserve">Women's Formal Vest</t>
  </si>
  <si>
    <t xml:space="preserve">Women's Pajama Pants</t>
  </si>
  <si>
    <t xml:space="preserve">Women's Lace Vest USA Print</t>
  </si>
  <si>
    <t xml:space="preserve">Women's T-Shirt C1717 Back DTG</t>
  </si>
  <si>
    <t xml:space="preserve">Women's T-Shirt C1717 Front DTG</t>
  </si>
  <si>
    <t xml:space="preserve">Unisex Heavyweight T-Shirt C1717 Double DTF</t>
  </si>
  <si>
    <t xml:space="preserve">Unisex Heavyweight T-Shirt C1717 Back DTF</t>
  </si>
  <si>
    <t xml:space="preserve">AVERAGES →</t>
  </si>
  <si>
    <t xml:space="preserve">GOOGLE SHOPPING vs ETSY — Fee Structure Comparison</t>
  </si>
  <si>
    <t xml:space="preserve">Google Shopping charges $0 commission. Etsy takes 24.5% + $0.20. The math is brutal for Etsy sellers.</t>
  </si>
  <si>
    <t xml:space="preserve">Fee Component</t>
  </si>
  <si>
    <t xml:space="preserve">Google Shopping
+ Shopify</t>
  </si>
  <si>
    <t xml:space="preserve">Etsy</t>
  </si>
  <si>
    <t xml:space="preserve">Difference
Per $40 Sale</t>
  </si>
  <si>
    <t xml:space="preserve">Annual Savings
(50 sales/mo)</t>
  </si>
  <si>
    <t xml:space="preserve">Notes</t>
  </si>
  <si>
    <t xml:space="preserve">Platform Commission</t>
  </si>
  <si>
    <t xml:space="preserve">$0 (Google is FREE)</t>
  </si>
  <si>
    <t xml:space="preserve">6.5% = $2.60</t>
  </si>
  <si>
    <t xml:space="preserve">$2.60</t>
  </si>
  <si>
    <t xml:space="preserve">$1,560</t>
  </si>
  <si>
    <t xml:space="preserve">Google charges ZERO commission on sales. Etsy takes 6.5% of every sale.</t>
  </si>
  <si>
    <t xml:space="preserve">Payment Processing</t>
  </si>
  <si>
    <t xml:space="preserve">2.9% + $0.30 = $1.46</t>
  </si>
  <si>
    <t xml:space="preserve">3.0% + $0.25 = $1.45</t>
  </si>
  <si>
    <t xml:space="preserve">-$0.01</t>
  </si>
  <si>
    <t xml:space="preserve">-$6</t>
  </si>
  <si>
    <t xml:space="preserve">Nearly identical. Shopify Payments vs Etsy Payments.</t>
  </si>
  <si>
    <t xml:space="preserve">Offsite Ads Tax</t>
  </si>
  <si>
    <t xml:space="preserve">$0</t>
  </si>
  <si>
    <t xml:space="preserve">15% = $6.00 (if triggered)</t>
  </si>
  <si>
    <t xml:space="preserve">$6.00</t>
  </si>
  <si>
    <t xml:space="preserve">$3,600</t>
  </si>
  <si>
    <t xml:space="preserve">Etsy charges 15% on sales from their ads. You can't opt out above $10K revenue. Google: you control your own ad budget.</t>
  </si>
  <si>
    <t xml:space="preserve">Listing Fee</t>
  </si>
  <si>
    <t xml:space="preserve">$0.20 per listing (renews every 4 months)</t>
  </si>
  <si>
    <t xml:space="preserve">$0.20</t>
  </si>
  <si>
    <t xml:space="preserve">$120</t>
  </si>
  <si>
    <t xml:space="preserve">Google Merchant Center: unlimited free product listings. Etsy charges $0.20/listing.</t>
  </si>
  <si>
    <t xml:space="preserve">Monthly Subscription</t>
  </si>
  <si>
    <t xml:space="preserve">$29/mo (Shopify Basic)</t>
  </si>
  <si>
    <t xml:space="preserve">$0 (included)</t>
  </si>
  <si>
    <t xml:space="preserve">-$29/mo</t>
  </si>
  <si>
    <t xml:space="preserve">-$348</t>
  </si>
  <si>
    <t xml:space="preserve">Shopify is the main fixed cost. But it gives you YOUR OWN store + domain + email.</t>
  </si>
  <si>
    <t xml:space="preserve">Multi-quantity Fee</t>
  </si>
  <si>
    <t xml:space="preserve">$0.20 per additional unit</t>
  </si>
  <si>
    <t xml:space="preserve">Variable</t>
  </si>
  <si>
    <t xml:space="preserve">Etsy charges per-unit listing fees. Shopify: sell unlimited units free.</t>
  </si>
  <si>
    <t xml:space="preserve">Regulatory Fee</t>
  </si>
  <si>
    <t xml:space="preserve">0.27-0.97% (new 2025)</t>
  </si>
  <si>
    <t xml:space="preserve">~$0.16</t>
  </si>
  <si>
    <t xml:space="preserve">~$96</t>
  </si>
  <si>
    <t xml:space="preserve">Etsy added regulatory operating fees in select states.</t>
  </si>
  <si>
    <t xml:space="preserve">Currency Conversion</t>
  </si>
  <si>
    <t xml:space="preserve">1.5% (Shopify)</t>
  </si>
  <si>
    <t xml:space="preserve">2.5% (Etsy)</t>
  </si>
  <si>
    <t xml:space="preserve">-$0.40</t>
  </si>
  <si>
    <t xml:space="preserve">-$240</t>
  </si>
  <si>
    <t xml:space="preserve">Shopify charges less for international sales.</t>
  </si>
  <si>
    <t xml:space="preserve">TOTAL FEE COMPARISON — On a $40 Sale</t>
  </si>
  <si>
    <t xml:space="preserve">Platform</t>
  </si>
  <si>
    <t xml:space="preserve">Total Fees</t>
  </si>
  <si>
    <t xml:space="preserve">Fee %</t>
  </si>
  <si>
    <t xml:space="preserve">Your Profit
(on $40 sale, $20 COGS)</t>
  </si>
  <si>
    <t xml:space="preserve">Your Margin</t>
  </si>
  <si>
    <t xml:space="preserve">Google Shopping + Shopify</t>
  </si>
  <si>
    <t xml:space="preserve">Etsy (with offsite ads)</t>
  </si>
  <si>
    <t xml:space="preserve">YOU SAVE WITH GOOGLE →</t>
  </si>
  <si>
    <t xml:space="preserve">ANNUAL PROJECTION — 50 sales/month × 12 months = 600 sales/year</t>
  </si>
  <si>
    <t xml:space="preserve">Metric</t>
  </si>
  <si>
    <t xml:space="preserve">Google+Shopify</t>
  </si>
  <si>
    <t xml:space="preserve">Difference</t>
  </si>
  <si>
    <t xml:space="preserve">Total Sales (600 × $40)</t>
  </si>
  <si>
    <t xml:space="preserve">Total Fees Paid</t>
  </si>
  <si>
    <t xml:space="preserve">Total Profit</t>
  </si>
  <si>
    <t xml:space="preserve">ANNUAL FEE SAVINGS →</t>
  </si>
  <si>
    <t xml:space="preserve">TOP COTTON OPPORTUNITIES — Ranked for Google Shopping</t>
  </si>
  <si>
    <t xml:space="preserve">With ~5% total fees (vs Etsy's 24.5%), every product is more profitable. USA-printed items get 2-day shipping = Google Shopping advantage.</t>
  </si>
  <si>
    <t xml:space="preserve">★</t>
  </si>
  <si>
    <t xml:space="preserve">Product</t>
  </si>
  <si>
    <t xml:space="preserve">Cost</t>
  </si>
  <si>
    <t xml:space="preserve">Ship</t>
  </si>
  <si>
    <t xml:space="preserve">Price</t>
  </si>
  <si>
    <t xml:space="preserve">Extra $ vs
Etsy</t>
  </si>
  <si>
    <t xml:space="preserve">Why It Wins on Google</t>
  </si>
  <si>
    <t xml:space="preserve">Priority</t>
  </si>
  <si>
    <t xml:space="preserve">★★★</t>
  </si>
  <si>
    <t xml:space="preserve">USA Print DTF Tee ($5.29)</t>
  </si>
  <si>
    <t xml:space="preserve">2-DAY shipping from USA = Google Shopping LOVES fast delivery. $5.29 cost = incredible margin without Etsy's 24.5% tax.</t>
  </si>
  <si>
    <t xml:space="preserve">P1 — NOW</t>
  </si>
  <si>
    <t xml:space="preserve">Lace Vest USA Print ($7.29)</t>
  </si>
  <si>
    <t xml:space="preserve">USA-printed = 2-day ship. Lace detail photographs beautifully for Shopping ads. Low CPC in lace niche.</t>
  </si>
  <si>
    <t xml:space="preserve">Cropped T-shirt AOP ($8.15)</t>
  </si>
  <si>
    <t xml:space="preserve">Crop tops have massive Google Shopping volume. At $29.99 impulse price, conversion rate is high.</t>
  </si>
  <si>
    <t xml:space="preserve">Comfort Colors C1717 Front DTF ($8.29)</t>
  </si>
  <si>
    <t xml:space="preserve">'Comfort Colors' has 40K/mo BRANDED search on Google. Shoppers search the blank name directly. Free organic traffic.</t>
  </si>
  <si>
    <t xml:space="preserve">Round Neck T-Shirt AOP ($8.75)</t>
  </si>
  <si>
    <t xml:space="preserve">S-9XL = show up for plus-size searches. Google Shopping shows size availability = competitive edge.</t>
  </si>
  <si>
    <t xml:space="preserve">Racer Vest AOP ($8.92)</t>
  </si>
  <si>
    <t xml:space="preserve">Racerback tank at $24.99 = impulse buy. Summer seasonal, high Shopping click-through rate.</t>
  </si>
  <si>
    <t xml:space="preserve">★★</t>
  </si>
  <si>
    <t xml:space="preserve">Leisure Blazer AOP ($25.64)</t>
  </si>
  <si>
    <t xml:space="preserve">HIGH TICKET on Google Shopping = higher ad ROI. $69.99 blazer gets fewer but more qualified clicks. The Etsy fee savings of ~$15/sale make this viable.</t>
  </si>
  <si>
    <t xml:space="preserve">P2 — SOON</t>
  </si>
  <si>
    <t xml:space="preserve">Pajamas Set AOP ($23.49)</t>
  </si>
  <si>
    <t xml:space="preserve">Google Shopping CRUSHES for gift searches. 'Matching pajamas gift' peaks Q4. No Etsy offsite ad tax.</t>
  </si>
  <si>
    <t xml:space="preserve">P2 — Q4</t>
  </si>
  <si>
    <t xml:space="preserve">Oversized T-shirt AOP ($14.69)</t>
  </si>
  <si>
    <t xml:space="preserve">'Oversized tee women' = 22K/mo Google search. Trending keyword. At $34.99 with ~5% fees, strong margin.</t>
  </si>
  <si>
    <t xml:space="preserve">Waist Tight Dress AOP ($13.19)</t>
  </si>
  <si>
    <t xml:space="preserve">Bodycon dress 15K/mo search. Google Shopping shows product images = visual-first selling. Great for dark aesthetic.</t>
  </si>
  <si>
    <t xml:space="preserve">Cold Shoulder Dress AOP ($13.29)</t>
  </si>
  <si>
    <t xml:space="preserve">Cold shoulder = visual differentiator in Shopping results. Stands out in image grid vs plain tees.</t>
  </si>
  <si>
    <t xml:space="preserve">O-neck Cami Dress AOP ($13.29)</t>
  </si>
  <si>
    <t xml:space="preserve">Summer cami at $34.99. Google Shopping volume surges Apr-Aug. Low competition in AOP cami niche.</t>
  </si>
  <si>
    <t xml:space="preserve">P2 — SUMMER</t>
  </si>
  <si>
    <t xml:space="preserve">Bat Sleeves Blouse AOP ($19.99)</t>
  </si>
  <si>
    <t xml:space="preserve">Niche 'batwing blouse' keyword = low CPC on Google Shopping ads ($0.15-$0.30). Witchy aesthetic.</t>
  </si>
  <si>
    <t xml:space="preserve">P3</t>
  </si>
  <si>
    <t xml:space="preserve">Bell Sleeve Top AOP ($18.39)</t>
  </si>
  <si>
    <t xml:space="preserve">Bell sleeve = boho Google Shopping searches. Pair with retargeting ads. No Etsy offsite ad cannibalization.</t>
  </si>
  <si>
    <t xml:space="preserve">Boat Neck Sweatshirt 310GSM ($23.09)</t>
  </si>
  <si>
    <t xml:space="preserve">310GSM heavyweight = premium positioning. Google Shopping rewards detailed product specs in structured data.</t>
  </si>
  <si>
    <t xml:space="preserve">GOOGLE SHOPPING ADS — ROI Model &amp; Breakeven Analysis</t>
  </si>
  <si>
    <t xml:space="preserve">Google Shopping Ads are optional but powerful. This model shows when ads become profitable.</t>
  </si>
  <si>
    <t xml:space="preserve">ASSUMPTIONS (adjust blue cells)</t>
  </si>
  <si>
    <t xml:space="preserve">Value</t>
  </si>
  <si>
    <t xml:space="preserve">Monthly Ad Budget</t>
  </si>
  <si>
    <t xml:space="preserve">Avg CPC (Google Shopping)</t>
  </si>
  <si>
    <t xml:space="preserve">Clicks/Month</t>
  </si>
  <si>
    <t xml:space="preserve">Conversion Rate</t>
  </si>
  <si>
    <t xml:space="preserve">Sales from Ads/Month</t>
  </si>
  <si>
    <t xml:space="preserve">Avg Order Value (AOV)</t>
  </si>
  <si>
    <t xml:space="preserve">Avg COGS + Ship (Landed)</t>
  </si>
  <si>
    <t xml:space="preserve">Shopify Fee Rate</t>
  </si>
  <si>
    <t xml:space="preserve">Shopify Txn Fee</t>
  </si>
  <si>
    <t xml:space="preserve">Shopify Monthly (amort.)</t>
  </si>
  <si>
    <t xml:space="preserve">MONTHLY RESULTS</t>
  </si>
  <si>
    <t xml:space="preserve">Amount</t>
  </si>
  <si>
    <t xml:space="preserve">Revenue from Ad Sales</t>
  </si>
  <si>
    <t xml:space="preserve">COGS + Shipping</t>
  </si>
  <si>
    <t xml:space="preserve">Shopify Fees</t>
  </si>
  <si>
    <t xml:space="preserve">Shopify Subscription</t>
  </si>
  <si>
    <t xml:space="preserve">Google Ad Spend</t>
  </si>
  <si>
    <t xml:space="preserve">Total Costs</t>
  </si>
  <si>
    <t xml:space="preserve">NET PROFIT (from ads)</t>
  </si>
  <si>
    <t xml:space="preserve">ROAS (Return on Ad Spend)</t>
  </si>
  <si>
    <t xml:space="preserve">Profit per Ad Sale</t>
  </si>
  <si>
    <t xml:space="preserve">BREAKEVEN ANALYSIS</t>
  </si>
  <si>
    <t xml:space="preserve">Breakeven Conv. Rate</t>
  </si>
  <si>
    <t xml:space="preserve">The conversion rate needed so ad profit = $0</t>
  </si>
  <si>
    <t xml:space="preserve">Breakeven CPC (at current conv.)</t>
  </si>
  <si>
    <t xml:space="preserve">Max CPC you can afford and still break even</t>
  </si>
  <si>
    <t xml:space="preserve">Breakeven AOV (at current CPC/conv.)</t>
  </si>
  <si>
    <t xml:space="preserve">Min AOV needed to break even on ads</t>
  </si>
  <si>
    <t xml:space="preserve">SCENARIO TABLE — Monthly Profit at Different CPC × Conversion Rates</t>
  </si>
  <si>
    <t xml:space="preserve">CPC →
Conv ↓</t>
  </si>
  <si>
    <t xml:space="preserve">GOOGLE SHOPPING LAUNCH PLAYBOOK — Cotton Collection</t>
  </si>
  <si>
    <t xml:space="preserve">Step-by-step plan to launch 100% cotton products on Google Shopping via Shopify. $0 to start (free listings).</t>
  </si>
  <si>
    <t xml:space="preserve">Step</t>
  </si>
  <si>
    <t xml:space="preserve">Action</t>
  </si>
  <si>
    <t xml:space="preserve">Details</t>
  </si>
  <si>
    <t xml:space="preserve">Time</t>
  </si>
  <si>
    <t xml:space="preserve">Expected Result</t>
  </si>
  <si>
    <t xml:space="preserve">Tools</t>
  </si>
  <si>
    <t xml:space="preserve">1</t>
  </si>
  <si>
    <t xml:space="preserve">Set Up Shopify Store</t>
  </si>
  <si>
    <t xml:space="preserve">Create Shopify Basic store ($29/mo). Use a clean, professional theme (Dawn is free). Set up Shopify Payments to avoid extra fees. Add domain (~$14/yr).</t>
  </si>
  <si>
    <t xml:space="preserve">$29/mo
+$14/yr</t>
  </si>
  <si>
    <t xml:space="preserve">1 day</t>
  </si>
  <si>
    <t xml:space="preserve">Live storefront with payment processing</t>
  </si>
  <si>
    <t xml:space="preserve">Shopify, Namecheap</t>
  </si>
  <si>
    <t xml:space="preserve">2</t>
  </si>
  <si>
    <t xml:space="preserve">Connect Google Merchant Center</t>
  </si>
  <si>
    <t xml:space="preserve">Install Shopify's free 'Google &amp; YouTube' app. Sync product catalog. Verify and claim your website URL. Set up shipping rates and tax.</t>
  </si>
  <si>
    <t xml:space="preserve">2 hours</t>
  </si>
  <si>
    <t xml:space="preserve">Products synced to Google Merchant Center</t>
  </si>
  <si>
    <t xml:space="preserve">Google &amp; YouTube app</t>
  </si>
  <si>
    <t xml:space="preserve">3</t>
  </si>
  <si>
    <t xml:space="preserve">Optimize Product Listings</t>
  </si>
  <si>
    <t xml:space="preserve">Use structured data: material (100% cotton), brand, GSM weight, size range. Write Google-optimized titles (front-load keywords). Add GTINs if available.</t>
  </si>
  <si>
    <t xml:space="preserve">Products appear in Google Shopping free listings</t>
  </si>
  <si>
    <t xml:space="preserve">Shopify SEO tools</t>
  </si>
  <si>
    <t xml:space="preserve">4</t>
  </si>
  <si>
    <t xml:space="preserve">Add 6 Phase 1 Cotton Products</t>
  </si>
  <si>
    <t xml:space="preserve">Connect Yoycol via Shopify app or manual fulfillment. Add 6 cheapest cotton products (DTF tees, cropped tee, racer vest). Set competitive prices.</t>
  </si>
  <si>
    <t xml:space="preserve">6 live products on Google Shopping</t>
  </si>
  <si>
    <t xml:space="preserve">Yoycol Shopify app</t>
  </si>
  <si>
    <t xml:space="preserve">5</t>
  </si>
  <si>
    <t xml:space="preserve">Set Up Google Shopping Ads</t>
  </si>
  <si>
    <t xml:space="preserve">Create Performance Max campaign in Google Ads. Set $10/day budget initially. Target women 22-34 in US. Use product-specific bidding.</t>
  </si>
  <si>
    <t xml:space="preserve">$300/mo</t>
  </si>
  <si>
    <t xml:space="preserve">Ads live, driving targeted traffic</t>
  </si>
  <si>
    <t xml:space="preserve">Google Ads</t>
  </si>
  <si>
    <t xml:space="preserve">6</t>
  </si>
  <si>
    <t xml:space="preserve">Launch Free Listings + Ads</t>
  </si>
  <si>
    <t xml:space="preserve">Products appear in both free Shopping tab AND paid Shopping ads. Monitor CTR and conversion rate. Optimize product images (lifestyle &gt; white bg).</t>
  </si>
  <si>
    <t xml:space="preserve">Ongoing</t>
  </si>
  <si>
    <t xml:space="preserve">First sales within 1-2 weeks</t>
  </si>
  <si>
    <t xml:space="preserve">Google Ads, Analytics</t>
  </si>
  <si>
    <t xml:space="preserve">7</t>
  </si>
  <si>
    <t xml:space="preserve">Scale Winners</t>
  </si>
  <si>
    <t xml:space="preserve">After 2 weeks, identify top-performing products by ROAS. Increase budget on winners. Pause underperformers. Add Phase 2 dresses.</t>
  </si>
  <si>
    <t xml:space="preserve">Week 3+</t>
  </si>
  <si>
    <t xml:space="preserve">Positive ROAS, scaling ad spend</t>
  </si>
  <si>
    <t xml:space="preserve">Google Ads dashboard</t>
  </si>
  <si>
    <t xml:space="preserve">8</t>
  </si>
  <si>
    <t xml:space="preserve">Add Retargeting</t>
  </si>
  <si>
    <t xml:space="preserve">Set up Google Display retargeting for cart abandoners. Add YouTube Shopping ads for awareness. Use Performance Max's AI targeting.</t>
  </si>
  <si>
    <t xml:space="preserve">+$100/mo</t>
  </si>
  <si>
    <t xml:space="preserve">Month 2</t>
  </si>
  <si>
    <t xml:space="preserve">Recover 15-25% of abandoned carts</t>
  </si>
  <si>
    <t xml:space="preserve">Google Ads, GA4</t>
  </si>
  <si>
    <t xml:space="preserve">9</t>
  </si>
  <si>
    <t xml:space="preserve">Expand to Multi-Tier Listings</t>
  </si>
  <si>
    <t xml:space="preserve">Add cotton dresses ($39.99) and AOP hoodies ($74.99) as related products. Create product bundles. Implement cross-selling.</t>
  </si>
  <si>
    <t xml:space="preserve">Month 3</t>
  </si>
  <si>
    <t xml:space="preserve">Higher AOV, better ad ROI</t>
  </si>
  <si>
    <t xml:space="preserve">Shopify apps</t>
  </si>
  <si>
    <t xml:space="preserve">10</t>
  </si>
  <si>
    <t xml:space="preserve">SEO + Content Marketing</t>
  </si>
  <si>
    <t xml:space="preserve">Create blog posts targeting 'cotton t-shirt', 'comfort colors tee' keywords. Build backlinks. Google Shopping favors stores with strong SEO.</t>
  </si>
  <si>
    <t xml:space="preserve">Organic traffic growth, lower CAC</t>
  </si>
  <si>
    <t xml:space="preserve">Shopify blog, Ahrefs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</si>
</sst>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\$#,##0.00"/>
    <numFmt numFmtId="167" formatCode="&quot;+$&quot;#,##0.00;&quot;-$&quot;#,##0.00"/>
    <numFmt numFmtId="168" formatCode="&quot;+$&quot;#,##0.00"/>
    <numFmt numFmtId="169" formatCode="\$#,##0"/>
    <numFmt numFmtId="170" formatCode="&quot;+$&quot;#,##0;&quot;-$&quot;#,##0"/>
    <numFmt numFmtId="171" formatCode="&quot;+$&quot;#,##0"/>
    <numFmt numFmtId="172" formatCode="#,##0"/>
    <numFmt numFmtId="173" formatCode="0.0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D700"/>
      <name val="Arial"/>
      <family val="0"/>
      <charset val="1"/>
    </font>
    <font>
      <sz val="10"/>
      <color rgb="FFFF6B6B"/>
      <name val="Arial"/>
      <family val="0"/>
      <charset val="1"/>
    </font>
    <font>
      <b val="true"/>
      <sz val="10"/>
      <color rgb="FF00BFFF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00FF7F"/>
      <name val="Arial"/>
      <family val="0"/>
      <charset val="1"/>
    </font>
    <font>
      <b val="true"/>
      <sz val="10"/>
      <color rgb="FF4285F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6213E"/>
      </patternFill>
    </fill>
    <fill>
      <patternFill patternType="solid">
        <fgColor rgb="FFE94560"/>
        <bgColor rgb="FFFF6B6B"/>
      </patternFill>
    </fill>
    <fill>
      <patternFill patternType="solid">
        <fgColor rgb="FF1A73E8"/>
        <bgColor rgb="FF0066CC"/>
      </patternFill>
    </fill>
    <fill>
      <patternFill patternType="solid">
        <fgColor rgb="FF1B5E20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7F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FFF"/>
      <rgbColor rgb="FFCCFFFF"/>
      <rgbColor rgb="FFCCFFCC"/>
      <rgbColor rgb="FFFFFF99"/>
      <rgbColor rgb="FF99CCFF"/>
      <rgbColor rgb="FFFF99CC"/>
      <rgbColor rgb="FFCC99FF"/>
      <rgbColor rgb="FFFFCC99"/>
      <rgbColor rgb="FF1A73E8"/>
      <rgbColor rgb="FF33CCCC"/>
      <rgbColor rgb="FF99CC00"/>
      <rgbColor rgb="FFFFD700"/>
      <rgbColor rgb="FFFF9900"/>
      <rgbColor rgb="FFE94560"/>
      <rgbColor rgb="FF4285F4"/>
      <rgbColor rgb="FFAAAAAA"/>
      <rgbColor rgb="FF0F3460"/>
      <rgbColor rgb="FF339966"/>
      <rgbColor rgb="FF16213E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3E8"/>
    <pageSetUpPr fitToPage="false"/>
  </sheetPr>
  <dimension ref="A1:P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11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10" min="7" style="0" width="8"/>
    <col collapsed="false" customWidth="true" hidden="false" outlineLevel="0" max="11" min="11" style="0" width="9"/>
    <col collapsed="false" customWidth="true" hidden="false" outlineLevel="0" max="13" min="12" style="0" width="8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6" min="16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3" t="s">
        <v>2</v>
      </c>
      <c r="B3" s="4" t="n">
        <v>0.029</v>
      </c>
      <c r="C3" s="3" t="s">
        <v>3</v>
      </c>
      <c r="D3" s="5" t="n">
        <v>0.3</v>
      </c>
      <c r="E3" s="3" t="s">
        <v>4</v>
      </c>
      <c r="F3" s="5" t="n">
        <v>29</v>
      </c>
      <c r="G3" s="3" t="s">
        <v>5</v>
      </c>
      <c r="H3" s="6" t="n">
        <v>50</v>
      </c>
      <c r="I3" s="3" t="s">
        <v>6</v>
      </c>
      <c r="J3" s="7" t="n">
        <f aca="false">$F$3/$H$3</f>
        <v>0.58</v>
      </c>
      <c r="K3" s="3" t="s">
        <v>7</v>
      </c>
      <c r="L3" s="8" t="n">
        <v>0.245</v>
      </c>
      <c r="M3" s="3" t="s">
        <v>8</v>
      </c>
      <c r="N3" s="9" t="n">
        <v>0.2</v>
      </c>
    </row>
    <row r="5" customFormat="false" ht="23.85" hidden="false" customHeight="false" outlineLevel="0" collapsed="false">
      <c r="A5" s="10" t="s">
        <v>9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0" t="s">
        <v>16</v>
      </c>
      <c r="I5" s="10" t="s">
        <v>17</v>
      </c>
      <c r="J5" s="10" t="s">
        <v>18</v>
      </c>
      <c r="K5" s="10" t="s">
        <v>19</v>
      </c>
      <c r="L5" s="10" t="s">
        <v>20</v>
      </c>
      <c r="M5" s="10" t="s">
        <v>21</v>
      </c>
      <c r="N5" s="10" t="s">
        <v>22</v>
      </c>
      <c r="O5" s="10" t="s">
        <v>23</v>
      </c>
      <c r="P5" s="10" t="s">
        <v>24</v>
      </c>
    </row>
    <row r="6" customFormat="false" ht="15" hidden="false" customHeight="false" outlineLevel="0" collapsed="false">
      <c r="A6" s="11" t="n">
        <v>1</v>
      </c>
      <c r="B6" s="12" t="s">
        <v>25</v>
      </c>
      <c r="C6" s="11" t="s">
        <v>26</v>
      </c>
      <c r="D6" s="11" t="s">
        <v>27</v>
      </c>
      <c r="E6" s="13" t="n">
        <v>8.15</v>
      </c>
      <c r="F6" s="13" t="n">
        <v>6.5</v>
      </c>
      <c r="G6" s="14" t="n">
        <f aca="false">E6+F6</f>
        <v>14.65</v>
      </c>
      <c r="H6" s="13" t="n">
        <v>29.99</v>
      </c>
      <c r="I6" s="15" t="n">
        <f aca="false">H6*$B$3+$D$3</f>
        <v>1.16971</v>
      </c>
      <c r="J6" s="15" t="n">
        <f aca="false">$J$3</f>
        <v>0.58</v>
      </c>
      <c r="K6" s="14" t="n">
        <f aca="false">H6-G6-I6-J6</f>
        <v>13.59029</v>
      </c>
      <c r="L6" s="16" t="n">
        <f aca="false">IF(H6&gt;0,K6/H6,0)</f>
        <v>0.45316072024008</v>
      </c>
      <c r="M6" s="15" t="n">
        <f aca="false">H6*$L$3+$N$3</f>
        <v>7.54755</v>
      </c>
      <c r="N6" s="17" t="n">
        <f aca="false">H6-G6-M6</f>
        <v>7.79245</v>
      </c>
      <c r="O6" s="18" t="n">
        <f aca="false">IF(H6&gt;0,N6/H6,0)</f>
        <v>0.259834944981661</v>
      </c>
      <c r="P6" s="19" t="n">
        <f aca="false">K6-N6</f>
        <v>5.79784</v>
      </c>
    </row>
    <row r="7" customFormat="false" ht="15" hidden="false" customHeight="false" outlineLevel="0" collapsed="false">
      <c r="A7" s="20" t="n">
        <v>2</v>
      </c>
      <c r="B7" s="21" t="s">
        <v>28</v>
      </c>
      <c r="C7" s="20" t="s">
        <v>26</v>
      </c>
      <c r="D7" s="20" t="s">
        <v>27</v>
      </c>
      <c r="E7" s="22" t="n">
        <v>8.75</v>
      </c>
      <c r="F7" s="22" t="n">
        <v>6.5</v>
      </c>
      <c r="G7" s="23" t="n">
        <f aca="false">E7+F7</f>
        <v>15.25</v>
      </c>
      <c r="H7" s="22" t="n">
        <v>29.99</v>
      </c>
      <c r="I7" s="24" t="n">
        <f aca="false">H7*$B$3+$D$3</f>
        <v>1.16971</v>
      </c>
      <c r="J7" s="24" t="n">
        <f aca="false">$J$3</f>
        <v>0.58</v>
      </c>
      <c r="K7" s="23" t="n">
        <f aca="false">H7-G7-I7-J7</f>
        <v>12.99029</v>
      </c>
      <c r="L7" s="25" t="n">
        <f aca="false">IF(H7&gt;0,K7/H7,0)</f>
        <v>0.43315405135045</v>
      </c>
      <c r="M7" s="24" t="n">
        <f aca="false">H7*$L$3+$N$3</f>
        <v>7.54755</v>
      </c>
      <c r="N7" s="26" t="n">
        <f aca="false">H7-G7-M7</f>
        <v>7.19245</v>
      </c>
      <c r="O7" s="27" t="n">
        <f aca="false">IF(H7&gt;0,N7/H7,0)</f>
        <v>0.239828276092031</v>
      </c>
      <c r="P7" s="28" t="n">
        <f aca="false">K7-N7</f>
        <v>5.79784</v>
      </c>
    </row>
    <row r="8" customFormat="false" ht="15" hidden="false" customHeight="false" outlineLevel="0" collapsed="false">
      <c r="A8" s="11" t="n">
        <v>3</v>
      </c>
      <c r="B8" s="12" t="s">
        <v>29</v>
      </c>
      <c r="C8" s="11" t="s">
        <v>30</v>
      </c>
      <c r="D8" s="11" t="s">
        <v>27</v>
      </c>
      <c r="E8" s="13" t="n">
        <v>25.64</v>
      </c>
      <c r="F8" s="13" t="n">
        <v>8.5</v>
      </c>
      <c r="G8" s="14" t="n">
        <f aca="false">E8+F8</f>
        <v>34.14</v>
      </c>
      <c r="H8" s="13" t="n">
        <v>69.99</v>
      </c>
      <c r="I8" s="15" t="n">
        <f aca="false">H8*$B$3+$D$3</f>
        <v>2.32971</v>
      </c>
      <c r="J8" s="15" t="n">
        <f aca="false">$J$3</f>
        <v>0.58</v>
      </c>
      <c r="K8" s="14" t="n">
        <f aca="false">H8-G8-I8-J8</f>
        <v>32.94029</v>
      </c>
      <c r="L8" s="16" t="n">
        <f aca="false">IF(H8&gt;0,K8/H8,0)</f>
        <v>0.470642806115159</v>
      </c>
      <c r="M8" s="15" t="n">
        <f aca="false">H8*$L$3+$N$3</f>
        <v>17.34755</v>
      </c>
      <c r="N8" s="17" t="n">
        <f aca="false">H8-G8-M8</f>
        <v>18.50245</v>
      </c>
      <c r="O8" s="18" t="n">
        <f aca="false">IF(H8&gt;0,N8/H8,0)</f>
        <v>0.264358479782826</v>
      </c>
      <c r="P8" s="19" t="n">
        <f aca="false">K8-N8</f>
        <v>14.43784</v>
      </c>
    </row>
    <row r="9" customFormat="false" ht="15" hidden="false" customHeight="false" outlineLevel="0" collapsed="false">
      <c r="A9" s="20" t="n">
        <v>4</v>
      </c>
      <c r="B9" s="21" t="s">
        <v>31</v>
      </c>
      <c r="C9" s="20" t="s">
        <v>32</v>
      </c>
      <c r="D9" s="20" t="s">
        <v>27</v>
      </c>
      <c r="E9" s="22" t="n">
        <v>23.99</v>
      </c>
      <c r="F9" s="22" t="n">
        <v>7.5</v>
      </c>
      <c r="G9" s="23" t="n">
        <f aca="false">E9+F9</f>
        <v>31.49</v>
      </c>
      <c r="H9" s="22" t="n">
        <v>54.99</v>
      </c>
      <c r="I9" s="24" t="n">
        <f aca="false">H9*$B$3+$D$3</f>
        <v>1.89471</v>
      </c>
      <c r="J9" s="24" t="n">
        <f aca="false">$J$3</f>
        <v>0.58</v>
      </c>
      <c r="K9" s="23" t="n">
        <f aca="false">H9-G9-I9-J9</f>
        <v>21.02529</v>
      </c>
      <c r="L9" s="25" t="n">
        <f aca="false">IF(H9&gt;0,K9/H9,0)</f>
        <v>0.382347517730497</v>
      </c>
      <c r="M9" s="24" t="n">
        <f aca="false">H9*$L$3+$N$3</f>
        <v>13.67255</v>
      </c>
      <c r="N9" s="26" t="n">
        <f aca="false">H9-G9-M9</f>
        <v>9.82745</v>
      </c>
      <c r="O9" s="27" t="n">
        <f aca="false">IF(H9&gt;0,N9/H9,0)</f>
        <v>0.178713402436807</v>
      </c>
      <c r="P9" s="28" t="n">
        <f aca="false">K9-N9</f>
        <v>11.19784</v>
      </c>
    </row>
    <row r="10" customFormat="false" ht="15" hidden="false" customHeight="false" outlineLevel="0" collapsed="false">
      <c r="A10" s="11" t="n">
        <v>5</v>
      </c>
      <c r="B10" s="12" t="s">
        <v>33</v>
      </c>
      <c r="C10" s="11" t="s">
        <v>26</v>
      </c>
      <c r="D10" s="11" t="s">
        <v>27</v>
      </c>
      <c r="E10" s="13" t="n">
        <v>14.69</v>
      </c>
      <c r="F10" s="13" t="n">
        <v>6.5</v>
      </c>
      <c r="G10" s="14" t="n">
        <f aca="false">E10+F10</f>
        <v>21.19</v>
      </c>
      <c r="H10" s="13" t="n">
        <v>34.99</v>
      </c>
      <c r="I10" s="15" t="n">
        <f aca="false">H10*$B$3+$D$3</f>
        <v>1.31471</v>
      </c>
      <c r="J10" s="15" t="n">
        <f aca="false">$J$3</f>
        <v>0.58</v>
      </c>
      <c r="K10" s="14" t="n">
        <f aca="false">H10-G10-I10-J10</f>
        <v>11.90529</v>
      </c>
      <c r="L10" s="16" t="n">
        <f aca="false">IF(H10&gt;0,K10/H10,0)</f>
        <v>0.340248356673335</v>
      </c>
      <c r="M10" s="15" t="n">
        <f aca="false">H10*$L$3+$N$3</f>
        <v>8.77255</v>
      </c>
      <c r="N10" s="17" t="n">
        <f aca="false">H10-G10-M10</f>
        <v>5.02745000000001</v>
      </c>
      <c r="O10" s="18" t="n">
        <f aca="false">IF(H10&gt;0,N10/H10,0)</f>
        <v>0.143682480708774</v>
      </c>
      <c r="P10" s="19" t="n">
        <f aca="false">K10-N10</f>
        <v>6.87784</v>
      </c>
    </row>
    <row r="11" customFormat="false" ht="15" hidden="false" customHeight="false" outlineLevel="0" collapsed="false">
      <c r="A11" s="20" t="n">
        <v>6</v>
      </c>
      <c r="B11" s="21" t="s">
        <v>34</v>
      </c>
      <c r="C11" s="20" t="s">
        <v>30</v>
      </c>
      <c r="D11" s="20" t="s">
        <v>27</v>
      </c>
      <c r="E11" s="22" t="n">
        <v>15.69</v>
      </c>
      <c r="F11" s="22" t="n">
        <v>7.5</v>
      </c>
      <c r="G11" s="23" t="n">
        <f aca="false">E11+F11</f>
        <v>23.19</v>
      </c>
      <c r="H11" s="22" t="n">
        <v>49.99</v>
      </c>
      <c r="I11" s="24" t="n">
        <f aca="false">H11*$B$3+$D$3</f>
        <v>1.74971</v>
      </c>
      <c r="J11" s="24" t="n">
        <f aca="false">$J$3</f>
        <v>0.58</v>
      </c>
      <c r="K11" s="23" t="n">
        <f aca="false">H11-G11-I11-J11</f>
        <v>24.47029</v>
      </c>
      <c r="L11" s="25" t="n">
        <f aca="false">IF(H11&gt;0,K11/H11,0)</f>
        <v>0.489503700740148</v>
      </c>
      <c r="M11" s="24" t="n">
        <f aca="false">H11*$L$3+$N$3</f>
        <v>12.44755</v>
      </c>
      <c r="N11" s="26" t="n">
        <f aca="false">H11-G11-M11</f>
        <v>14.35245</v>
      </c>
      <c r="O11" s="27" t="n">
        <f aca="false">IF(H11&gt;0,N11/H11,0)</f>
        <v>0.287106421284257</v>
      </c>
      <c r="P11" s="28" t="n">
        <f aca="false">K11-N11</f>
        <v>10.11784</v>
      </c>
    </row>
    <row r="12" customFormat="false" ht="23.85" hidden="false" customHeight="false" outlineLevel="0" collapsed="false">
      <c r="A12" s="11" t="n">
        <v>7</v>
      </c>
      <c r="B12" s="12" t="s">
        <v>35</v>
      </c>
      <c r="C12" s="11" t="s">
        <v>26</v>
      </c>
      <c r="D12" s="11" t="s">
        <v>36</v>
      </c>
      <c r="E12" s="13" t="n">
        <v>8.29</v>
      </c>
      <c r="F12" s="13" t="n">
        <v>6.5</v>
      </c>
      <c r="G12" s="14" t="n">
        <f aca="false">E12+F12</f>
        <v>14.79</v>
      </c>
      <c r="H12" s="13" t="n">
        <v>24.99</v>
      </c>
      <c r="I12" s="15" t="n">
        <f aca="false">H12*$B$3+$D$3</f>
        <v>1.02471</v>
      </c>
      <c r="J12" s="15" t="n">
        <f aca="false">$J$3</f>
        <v>0.58</v>
      </c>
      <c r="K12" s="14" t="n">
        <f aca="false">H12-G12-I12-J12</f>
        <v>8.59529</v>
      </c>
      <c r="L12" s="16" t="n">
        <f aca="false">IF(H12&gt;0,K12/H12,0)</f>
        <v>0.343949179671869</v>
      </c>
      <c r="M12" s="15" t="n">
        <f aca="false">H12*$L$3+$N$3</f>
        <v>6.32255</v>
      </c>
      <c r="N12" s="17" t="n">
        <f aca="false">H12-G12-M12</f>
        <v>3.87745</v>
      </c>
      <c r="O12" s="18" t="n">
        <f aca="false">IF(H12&gt;0,N12/H12,0)</f>
        <v>0.15516006402561</v>
      </c>
      <c r="P12" s="19" t="n">
        <f aca="false">K12-N12</f>
        <v>4.71784</v>
      </c>
    </row>
    <row r="13" customFormat="false" ht="15" hidden="false" customHeight="false" outlineLevel="0" collapsed="false">
      <c r="A13" s="20" t="n">
        <v>8</v>
      </c>
      <c r="B13" s="21" t="s">
        <v>37</v>
      </c>
      <c r="C13" s="20" t="s">
        <v>38</v>
      </c>
      <c r="D13" s="20" t="s">
        <v>27</v>
      </c>
      <c r="E13" s="22" t="n">
        <v>23.49</v>
      </c>
      <c r="F13" s="22" t="n">
        <v>7.5</v>
      </c>
      <c r="G13" s="23" t="n">
        <f aca="false">E13+F13</f>
        <v>30.99</v>
      </c>
      <c r="H13" s="22" t="n">
        <v>49.99</v>
      </c>
      <c r="I13" s="24" t="n">
        <f aca="false">H13*$B$3+$D$3</f>
        <v>1.74971</v>
      </c>
      <c r="J13" s="24" t="n">
        <f aca="false">$J$3</f>
        <v>0.58</v>
      </c>
      <c r="K13" s="23" t="n">
        <f aca="false">H13-G13-I13-J13</f>
        <v>16.67029</v>
      </c>
      <c r="L13" s="25" t="n">
        <f aca="false">IF(H13&gt;0,K13/H13,0)</f>
        <v>0.3334724944989</v>
      </c>
      <c r="M13" s="24" t="n">
        <f aca="false">H13*$L$3+$N$3</f>
        <v>12.44755</v>
      </c>
      <c r="N13" s="26" t="n">
        <f aca="false">H13-G13-M13</f>
        <v>6.55245</v>
      </c>
      <c r="O13" s="27" t="n">
        <f aca="false">IF(H13&gt;0,N13/H13,0)</f>
        <v>0.131075215043009</v>
      </c>
      <c r="P13" s="28" t="n">
        <f aca="false">K13-N13</f>
        <v>10.11784</v>
      </c>
    </row>
    <row r="14" customFormat="false" ht="15" hidden="false" customHeight="false" outlineLevel="0" collapsed="false">
      <c r="A14" s="11" t="n">
        <v>9</v>
      </c>
      <c r="B14" s="12" t="s">
        <v>39</v>
      </c>
      <c r="C14" s="11" t="s">
        <v>40</v>
      </c>
      <c r="D14" s="11" t="s">
        <v>27</v>
      </c>
      <c r="E14" s="13" t="n">
        <v>23.09</v>
      </c>
      <c r="F14" s="13" t="n">
        <v>8</v>
      </c>
      <c r="G14" s="14" t="n">
        <f aca="false">E14+F14</f>
        <v>31.09</v>
      </c>
      <c r="H14" s="13" t="n">
        <v>54.99</v>
      </c>
      <c r="I14" s="15" t="n">
        <f aca="false">H14*$B$3+$D$3</f>
        <v>1.89471</v>
      </c>
      <c r="J14" s="15" t="n">
        <f aca="false">$J$3</f>
        <v>0.58</v>
      </c>
      <c r="K14" s="14" t="n">
        <f aca="false">H14-G14-I14-J14</f>
        <v>21.42529</v>
      </c>
      <c r="L14" s="16" t="n">
        <f aca="false">IF(H14&gt;0,K14/H14,0)</f>
        <v>0.389621567557738</v>
      </c>
      <c r="M14" s="15" t="n">
        <f aca="false">H14*$L$3+$N$3</f>
        <v>13.67255</v>
      </c>
      <c r="N14" s="17" t="n">
        <f aca="false">H14-G14-M14</f>
        <v>10.22745</v>
      </c>
      <c r="O14" s="18" t="n">
        <f aca="false">IF(H14&gt;0,N14/H14,0)</f>
        <v>0.185987452264048</v>
      </c>
      <c r="P14" s="19" t="n">
        <f aca="false">K14-N14</f>
        <v>11.19784</v>
      </c>
    </row>
    <row r="15" customFormat="false" ht="15" hidden="false" customHeight="false" outlineLevel="0" collapsed="false">
      <c r="A15" s="20" t="n">
        <v>10</v>
      </c>
      <c r="B15" s="21" t="s">
        <v>41</v>
      </c>
      <c r="C15" s="20" t="s">
        <v>42</v>
      </c>
      <c r="D15" s="20" t="s">
        <v>27</v>
      </c>
      <c r="E15" s="22" t="n">
        <v>17.41</v>
      </c>
      <c r="F15" s="22" t="n">
        <v>7</v>
      </c>
      <c r="G15" s="23" t="n">
        <f aca="false">E15+F15</f>
        <v>24.41</v>
      </c>
      <c r="H15" s="22" t="n">
        <v>39.99</v>
      </c>
      <c r="I15" s="24" t="n">
        <f aca="false">H15*$B$3+$D$3</f>
        <v>1.45971</v>
      </c>
      <c r="J15" s="24" t="n">
        <f aca="false">$J$3</f>
        <v>0.58</v>
      </c>
      <c r="K15" s="23" t="n">
        <f aca="false">H15-G15-I15-J15</f>
        <v>13.54029</v>
      </c>
      <c r="L15" s="25" t="n">
        <f aca="false">IF(H15&gt;0,K15/H15,0)</f>
        <v>0.338591897974494</v>
      </c>
      <c r="M15" s="24" t="n">
        <f aca="false">H15*$L$3+$N$3</f>
        <v>9.99755</v>
      </c>
      <c r="N15" s="26" t="n">
        <f aca="false">H15-G15-M15</f>
        <v>5.58245</v>
      </c>
      <c r="O15" s="27" t="n">
        <f aca="false">IF(H15&gt;0,N15/H15,0)</f>
        <v>0.139596149037259</v>
      </c>
      <c r="P15" s="28" t="n">
        <f aca="false">K15-N15</f>
        <v>7.95784</v>
      </c>
    </row>
    <row r="16" customFormat="false" ht="15" hidden="false" customHeight="false" outlineLevel="0" collapsed="false">
      <c r="A16" s="11" t="n">
        <v>11</v>
      </c>
      <c r="B16" s="12" t="s">
        <v>43</v>
      </c>
      <c r="C16" s="11" t="s">
        <v>26</v>
      </c>
      <c r="D16" s="11" t="s">
        <v>27</v>
      </c>
      <c r="E16" s="13" t="n">
        <v>20.69</v>
      </c>
      <c r="F16" s="13" t="n">
        <v>7</v>
      </c>
      <c r="G16" s="14" t="n">
        <f aca="false">E16+F16</f>
        <v>27.69</v>
      </c>
      <c r="H16" s="13" t="n">
        <v>44.99</v>
      </c>
      <c r="I16" s="15" t="n">
        <f aca="false">H16*$B$3+$D$3</f>
        <v>1.60471</v>
      </c>
      <c r="J16" s="15" t="n">
        <f aca="false">$J$3</f>
        <v>0.58</v>
      </c>
      <c r="K16" s="14" t="n">
        <f aca="false">H16-G16-I16-J16</f>
        <v>15.11529</v>
      </c>
      <c r="L16" s="16" t="n">
        <f aca="false">IF(H16&gt;0,K16/H16,0)</f>
        <v>0.335969993331852</v>
      </c>
      <c r="M16" s="15" t="n">
        <f aca="false">H16*$L$3+$N$3</f>
        <v>11.22255</v>
      </c>
      <c r="N16" s="17" t="n">
        <f aca="false">H16-G16-M16</f>
        <v>6.07745</v>
      </c>
      <c r="O16" s="18" t="n">
        <f aca="false">IF(H16&gt;0,N16/H16,0)</f>
        <v>0.135084463214048</v>
      </c>
      <c r="P16" s="19" t="n">
        <f aca="false">K16-N16</f>
        <v>9.03784</v>
      </c>
    </row>
    <row r="17" customFormat="false" ht="15" hidden="false" customHeight="false" outlineLevel="0" collapsed="false">
      <c r="A17" s="20" t="n">
        <v>12</v>
      </c>
      <c r="B17" s="21" t="s">
        <v>44</v>
      </c>
      <c r="C17" s="20" t="s">
        <v>26</v>
      </c>
      <c r="D17" s="20" t="s">
        <v>27</v>
      </c>
      <c r="E17" s="22" t="n">
        <v>19.89</v>
      </c>
      <c r="F17" s="22" t="n">
        <v>7</v>
      </c>
      <c r="G17" s="23" t="n">
        <f aca="false">E17+F17</f>
        <v>26.89</v>
      </c>
      <c r="H17" s="22" t="n">
        <v>44.99</v>
      </c>
      <c r="I17" s="24" t="n">
        <f aca="false">H17*$B$3+$D$3</f>
        <v>1.60471</v>
      </c>
      <c r="J17" s="24" t="n">
        <f aca="false">$J$3</f>
        <v>0.58</v>
      </c>
      <c r="K17" s="23" t="n">
        <f aca="false">H17-G17-I17-J17</f>
        <v>15.91529</v>
      </c>
      <c r="L17" s="25" t="n">
        <f aca="false">IF(H17&gt;0,K17/H17,0)</f>
        <v>0.353751722605023</v>
      </c>
      <c r="M17" s="24" t="n">
        <f aca="false">H17*$L$3+$N$3</f>
        <v>11.22255</v>
      </c>
      <c r="N17" s="26" t="n">
        <f aca="false">H17-G17-M17</f>
        <v>6.87745</v>
      </c>
      <c r="O17" s="27" t="n">
        <f aca="false">IF(H17&gt;0,N17/H17,0)</f>
        <v>0.152866192487219</v>
      </c>
      <c r="P17" s="28" t="n">
        <f aca="false">K17-N17</f>
        <v>9.03784</v>
      </c>
    </row>
    <row r="18" customFormat="false" ht="15" hidden="false" customHeight="false" outlineLevel="0" collapsed="false">
      <c r="A18" s="11" t="n">
        <v>13</v>
      </c>
      <c r="B18" s="12" t="s">
        <v>45</v>
      </c>
      <c r="C18" s="11" t="s">
        <v>32</v>
      </c>
      <c r="D18" s="11" t="s">
        <v>27</v>
      </c>
      <c r="E18" s="13" t="n">
        <v>13.29</v>
      </c>
      <c r="F18" s="13" t="n">
        <v>7</v>
      </c>
      <c r="G18" s="14" t="n">
        <f aca="false">E18+F18</f>
        <v>20.29</v>
      </c>
      <c r="H18" s="13" t="n">
        <v>39.99</v>
      </c>
      <c r="I18" s="15" t="n">
        <f aca="false">H18*$B$3+$D$3</f>
        <v>1.45971</v>
      </c>
      <c r="J18" s="15" t="n">
        <f aca="false">$J$3</f>
        <v>0.58</v>
      </c>
      <c r="K18" s="14" t="n">
        <f aca="false">H18-G18-I18-J18</f>
        <v>17.66029</v>
      </c>
      <c r="L18" s="16" t="n">
        <f aca="false">IF(H18&gt;0,K18/H18,0)</f>
        <v>0.441617654413603</v>
      </c>
      <c r="M18" s="15" t="n">
        <f aca="false">H18*$L$3+$N$3</f>
        <v>9.99755</v>
      </c>
      <c r="N18" s="17" t="n">
        <f aca="false">H18-G18-M18</f>
        <v>9.70245</v>
      </c>
      <c r="O18" s="18" t="n">
        <f aca="false">IF(H18&gt;0,N18/H18,0)</f>
        <v>0.242621905476369</v>
      </c>
      <c r="P18" s="19" t="n">
        <f aca="false">K18-N18</f>
        <v>7.95784</v>
      </c>
    </row>
    <row r="19" customFormat="false" ht="15" hidden="false" customHeight="false" outlineLevel="0" collapsed="false">
      <c r="A19" s="20" t="n">
        <v>14</v>
      </c>
      <c r="B19" s="21" t="s">
        <v>46</v>
      </c>
      <c r="C19" s="20" t="s">
        <v>47</v>
      </c>
      <c r="D19" s="20" t="s">
        <v>27</v>
      </c>
      <c r="E19" s="22" t="n">
        <v>18.09</v>
      </c>
      <c r="F19" s="22" t="n">
        <v>6.5</v>
      </c>
      <c r="G19" s="23" t="n">
        <f aca="false">E19+F19</f>
        <v>24.59</v>
      </c>
      <c r="H19" s="22" t="n">
        <v>34.99</v>
      </c>
      <c r="I19" s="24" t="n">
        <f aca="false">H19*$B$3+$D$3</f>
        <v>1.31471</v>
      </c>
      <c r="J19" s="24" t="n">
        <f aca="false">$J$3</f>
        <v>0.58</v>
      </c>
      <c r="K19" s="23" t="n">
        <f aca="false">H19-G19-I19-J19</f>
        <v>8.50529</v>
      </c>
      <c r="L19" s="25" t="n">
        <f aca="false">IF(H19&gt;0,K19/H19,0)</f>
        <v>0.243077736496142</v>
      </c>
      <c r="M19" s="24" t="n">
        <f aca="false">H19*$L$3+$N$3</f>
        <v>8.77255</v>
      </c>
      <c r="N19" s="26" t="n">
        <f aca="false">H19-G19-M19</f>
        <v>1.62745</v>
      </c>
      <c r="O19" s="27" t="n">
        <f aca="false">IF(H19&gt;0,N19/H19,0)</f>
        <v>0.0465118605315805</v>
      </c>
      <c r="P19" s="28" t="n">
        <f aca="false">K19-N19</f>
        <v>6.87784</v>
      </c>
    </row>
    <row r="20" customFormat="false" ht="23.85" hidden="false" customHeight="false" outlineLevel="0" collapsed="false">
      <c r="A20" s="11" t="n">
        <v>15</v>
      </c>
      <c r="B20" s="12" t="s">
        <v>48</v>
      </c>
      <c r="C20" s="11" t="s">
        <v>26</v>
      </c>
      <c r="D20" s="11" t="s">
        <v>49</v>
      </c>
      <c r="E20" s="13" t="n">
        <v>9.99</v>
      </c>
      <c r="F20" s="13" t="n">
        <v>6.5</v>
      </c>
      <c r="G20" s="14" t="n">
        <f aca="false">E20+F20</f>
        <v>16.49</v>
      </c>
      <c r="H20" s="13" t="n">
        <v>24.99</v>
      </c>
      <c r="I20" s="15" t="n">
        <f aca="false">H20*$B$3+$D$3</f>
        <v>1.02471</v>
      </c>
      <c r="J20" s="15" t="n">
        <f aca="false">$J$3</f>
        <v>0.58</v>
      </c>
      <c r="K20" s="14" t="n">
        <f aca="false">H20-G20-I20-J20</f>
        <v>6.89529</v>
      </c>
      <c r="L20" s="16" t="n">
        <f aca="false">IF(H20&gt;0,K20/H20,0)</f>
        <v>0.275921968787515</v>
      </c>
      <c r="M20" s="15" t="n">
        <f aca="false">H20*$L$3+$N$3</f>
        <v>6.32255</v>
      </c>
      <c r="N20" s="17" t="n">
        <f aca="false">H20-G20-M20</f>
        <v>2.17745</v>
      </c>
      <c r="O20" s="18" t="n">
        <f aca="false">IF(H20&gt;0,N20/H20,0)</f>
        <v>0.0871328531412564</v>
      </c>
      <c r="P20" s="19" t="n">
        <f aca="false">K20-N20</f>
        <v>4.71784</v>
      </c>
    </row>
    <row r="21" customFormat="false" ht="15" hidden="false" customHeight="false" outlineLevel="0" collapsed="false">
      <c r="A21" s="20" t="n">
        <v>16</v>
      </c>
      <c r="B21" s="21" t="s">
        <v>50</v>
      </c>
      <c r="C21" s="20" t="s">
        <v>26</v>
      </c>
      <c r="D21" s="20" t="s">
        <v>27</v>
      </c>
      <c r="E21" s="22" t="n">
        <v>8.92</v>
      </c>
      <c r="F21" s="22" t="n">
        <v>6.5</v>
      </c>
      <c r="G21" s="23" t="n">
        <f aca="false">E21+F21</f>
        <v>15.42</v>
      </c>
      <c r="H21" s="22" t="n">
        <v>24.99</v>
      </c>
      <c r="I21" s="24" t="n">
        <f aca="false">H21*$B$3+$D$3</f>
        <v>1.02471</v>
      </c>
      <c r="J21" s="24" t="n">
        <f aca="false">$J$3</f>
        <v>0.58</v>
      </c>
      <c r="K21" s="23" t="n">
        <f aca="false">H21-G21-I21-J21</f>
        <v>7.96529</v>
      </c>
      <c r="L21" s="25" t="n">
        <f aca="false">IF(H21&gt;0,K21/H21,0)</f>
        <v>0.318739095638255</v>
      </c>
      <c r="M21" s="24" t="n">
        <f aca="false">H21*$L$3+$N$3</f>
        <v>6.32255</v>
      </c>
      <c r="N21" s="26" t="n">
        <f aca="false">H21-G21-M21</f>
        <v>3.24745</v>
      </c>
      <c r="O21" s="27" t="n">
        <f aca="false">IF(H21&gt;0,N21/H21,0)</f>
        <v>0.129949979991997</v>
      </c>
      <c r="P21" s="28" t="n">
        <f aca="false">K21-N21</f>
        <v>4.71784</v>
      </c>
    </row>
    <row r="22" customFormat="false" ht="15" hidden="false" customHeight="false" outlineLevel="0" collapsed="false">
      <c r="A22" s="11" t="n">
        <v>17</v>
      </c>
      <c r="B22" s="12" t="s">
        <v>51</v>
      </c>
      <c r="C22" s="11" t="s">
        <v>32</v>
      </c>
      <c r="D22" s="11" t="s">
        <v>27</v>
      </c>
      <c r="E22" s="13" t="n">
        <v>13.19</v>
      </c>
      <c r="F22" s="13" t="n">
        <v>7</v>
      </c>
      <c r="G22" s="14" t="n">
        <f aca="false">E22+F22</f>
        <v>20.19</v>
      </c>
      <c r="H22" s="13" t="n">
        <v>39.99</v>
      </c>
      <c r="I22" s="15" t="n">
        <f aca="false">H22*$B$3+$D$3</f>
        <v>1.45971</v>
      </c>
      <c r="J22" s="15" t="n">
        <f aca="false">$J$3</f>
        <v>0.58</v>
      </c>
      <c r="K22" s="14" t="n">
        <f aca="false">H22-G22-I22-J22</f>
        <v>17.76029</v>
      </c>
      <c r="L22" s="16" t="n">
        <f aca="false">IF(H22&gt;0,K22/H22,0)</f>
        <v>0.444118279569893</v>
      </c>
      <c r="M22" s="15" t="n">
        <f aca="false">H22*$L$3+$N$3</f>
        <v>9.99755</v>
      </c>
      <c r="N22" s="17" t="n">
        <f aca="false">H22-G22-M22</f>
        <v>9.80245</v>
      </c>
      <c r="O22" s="18" t="n">
        <f aca="false">IF(H22&gt;0,N22/H22,0)</f>
        <v>0.245122530632658</v>
      </c>
      <c r="P22" s="19" t="n">
        <f aca="false">K22-N22</f>
        <v>7.95784</v>
      </c>
    </row>
    <row r="23" customFormat="false" ht="15" hidden="false" customHeight="false" outlineLevel="0" collapsed="false">
      <c r="A23" s="20" t="n">
        <v>18</v>
      </c>
      <c r="B23" s="21" t="s">
        <v>52</v>
      </c>
      <c r="C23" s="20" t="s">
        <v>26</v>
      </c>
      <c r="D23" s="20" t="s">
        <v>49</v>
      </c>
      <c r="E23" s="22" t="n">
        <v>13.19</v>
      </c>
      <c r="F23" s="22" t="n">
        <v>6.5</v>
      </c>
      <c r="G23" s="23" t="n">
        <f aca="false">E23+F23</f>
        <v>19.69</v>
      </c>
      <c r="H23" s="22" t="n">
        <v>29.99</v>
      </c>
      <c r="I23" s="24" t="n">
        <f aca="false">H23*$B$3+$D$3</f>
        <v>1.16971</v>
      </c>
      <c r="J23" s="24" t="n">
        <f aca="false">$J$3</f>
        <v>0.58</v>
      </c>
      <c r="K23" s="23" t="n">
        <f aca="false">H23-G23-I23-J23</f>
        <v>8.55029</v>
      </c>
      <c r="L23" s="25" t="n">
        <f aca="false">IF(H23&gt;0,K23/H23,0)</f>
        <v>0.285104701567189</v>
      </c>
      <c r="M23" s="24" t="n">
        <f aca="false">H23*$L$3+$N$3</f>
        <v>7.54755</v>
      </c>
      <c r="N23" s="26" t="n">
        <f aca="false">H23-G23-M23</f>
        <v>2.75245</v>
      </c>
      <c r="O23" s="27" t="n">
        <f aca="false">IF(H23&gt;0,N23/H23,0)</f>
        <v>0.0917789263087697</v>
      </c>
      <c r="P23" s="28" t="n">
        <f aca="false">K23-N23</f>
        <v>5.79784</v>
      </c>
    </row>
    <row r="24" customFormat="false" ht="15" hidden="false" customHeight="false" outlineLevel="0" collapsed="false">
      <c r="A24" s="11" t="n">
        <v>19</v>
      </c>
      <c r="B24" s="12" t="s">
        <v>53</v>
      </c>
      <c r="C24" s="11" t="s">
        <v>32</v>
      </c>
      <c r="D24" s="11" t="s">
        <v>27</v>
      </c>
      <c r="E24" s="13" t="n">
        <v>31.79</v>
      </c>
      <c r="F24" s="13" t="n">
        <v>8</v>
      </c>
      <c r="G24" s="14" t="n">
        <f aca="false">E24+F24</f>
        <v>39.79</v>
      </c>
      <c r="H24" s="13" t="n">
        <v>64.99</v>
      </c>
      <c r="I24" s="15" t="n">
        <f aca="false">H24*$B$3+$D$3</f>
        <v>2.18471</v>
      </c>
      <c r="J24" s="15" t="n">
        <f aca="false">$J$3</f>
        <v>0.58</v>
      </c>
      <c r="K24" s="14" t="n">
        <f aca="false">H24-G24-I24-J24</f>
        <v>22.43529</v>
      </c>
      <c r="L24" s="16" t="n">
        <f aca="false">IF(H24&gt;0,K24/H24,0)</f>
        <v>0.345211417141099</v>
      </c>
      <c r="M24" s="15" t="n">
        <f aca="false">H24*$L$3+$N$3</f>
        <v>16.12255</v>
      </c>
      <c r="N24" s="17" t="n">
        <f aca="false">H24-G24-M24</f>
        <v>9.07745</v>
      </c>
      <c r="O24" s="18" t="n">
        <f aca="false">IF(H24&gt;0,N24/H24,0)</f>
        <v>0.139674565317741</v>
      </c>
      <c r="P24" s="19" t="n">
        <f aca="false">K24-N24</f>
        <v>13.35784</v>
      </c>
    </row>
    <row r="25" customFormat="false" ht="15" hidden="false" customHeight="false" outlineLevel="0" collapsed="false">
      <c r="A25" s="20" t="n">
        <v>20</v>
      </c>
      <c r="B25" s="21" t="s">
        <v>54</v>
      </c>
      <c r="C25" s="20" t="s">
        <v>26</v>
      </c>
      <c r="D25" s="20" t="s">
        <v>27</v>
      </c>
      <c r="E25" s="22" t="n">
        <v>18.39</v>
      </c>
      <c r="F25" s="22" t="n">
        <v>7</v>
      </c>
      <c r="G25" s="23" t="n">
        <f aca="false">E25+F25</f>
        <v>25.39</v>
      </c>
      <c r="H25" s="22" t="n">
        <v>39.99</v>
      </c>
      <c r="I25" s="24" t="n">
        <f aca="false">H25*$B$3+$D$3</f>
        <v>1.45971</v>
      </c>
      <c r="J25" s="24" t="n">
        <f aca="false">$J$3</f>
        <v>0.58</v>
      </c>
      <c r="K25" s="23" t="n">
        <f aca="false">H25-G25-I25-J25</f>
        <v>12.56029</v>
      </c>
      <c r="L25" s="25" t="n">
        <f aca="false">IF(H25&gt;0,K25/H25,0)</f>
        <v>0.314085771442861</v>
      </c>
      <c r="M25" s="24" t="n">
        <f aca="false">H25*$L$3+$N$3</f>
        <v>9.99755</v>
      </c>
      <c r="N25" s="26" t="n">
        <f aca="false">H25-G25-M25</f>
        <v>4.60245</v>
      </c>
      <c r="O25" s="27" t="n">
        <f aca="false">IF(H25&gt;0,N25/H25,0)</f>
        <v>0.115090022505626</v>
      </c>
      <c r="P25" s="28" t="n">
        <f aca="false">K25-N25</f>
        <v>7.95784</v>
      </c>
    </row>
    <row r="26" customFormat="false" ht="15" hidden="false" customHeight="false" outlineLevel="0" collapsed="false">
      <c r="A26" s="11" t="n">
        <v>21</v>
      </c>
      <c r="B26" s="12" t="s">
        <v>55</v>
      </c>
      <c r="C26" s="11" t="s">
        <v>32</v>
      </c>
      <c r="D26" s="11" t="s">
        <v>27</v>
      </c>
      <c r="E26" s="13" t="n">
        <v>21.39</v>
      </c>
      <c r="F26" s="13" t="n">
        <v>7.5</v>
      </c>
      <c r="G26" s="14" t="n">
        <f aca="false">E26+F26</f>
        <v>28.89</v>
      </c>
      <c r="H26" s="13" t="n">
        <v>49.99</v>
      </c>
      <c r="I26" s="15" t="n">
        <f aca="false">H26*$B$3+$D$3</f>
        <v>1.74971</v>
      </c>
      <c r="J26" s="15" t="n">
        <f aca="false">$J$3</f>
        <v>0.58</v>
      </c>
      <c r="K26" s="14" t="n">
        <f aca="false">H26-G26-I26-J26</f>
        <v>18.77029</v>
      </c>
      <c r="L26" s="16" t="n">
        <f aca="false">IF(H26&gt;0,K26/H26,0)</f>
        <v>0.375480896179236</v>
      </c>
      <c r="M26" s="15" t="n">
        <f aca="false">H26*$L$3+$N$3</f>
        <v>12.44755</v>
      </c>
      <c r="N26" s="17" t="n">
        <f aca="false">H26-G26-M26</f>
        <v>8.65245</v>
      </c>
      <c r="O26" s="18" t="n">
        <f aca="false">IF(H26&gt;0,N26/H26,0)</f>
        <v>0.173083616723345</v>
      </c>
      <c r="P26" s="19" t="n">
        <f aca="false">K26-N26</f>
        <v>10.11784</v>
      </c>
    </row>
    <row r="27" customFormat="false" ht="15" hidden="false" customHeight="false" outlineLevel="0" collapsed="false">
      <c r="A27" s="20" t="n">
        <v>22</v>
      </c>
      <c r="B27" s="21" t="s">
        <v>56</v>
      </c>
      <c r="C27" s="20" t="s">
        <v>32</v>
      </c>
      <c r="D27" s="20" t="s">
        <v>27</v>
      </c>
      <c r="E27" s="22" t="n">
        <v>30.77</v>
      </c>
      <c r="F27" s="22" t="n">
        <v>8</v>
      </c>
      <c r="G27" s="23" t="n">
        <f aca="false">E27+F27</f>
        <v>38.77</v>
      </c>
      <c r="H27" s="22" t="n">
        <v>59.99</v>
      </c>
      <c r="I27" s="24" t="n">
        <f aca="false">H27*$B$3+$D$3</f>
        <v>2.03971</v>
      </c>
      <c r="J27" s="24" t="n">
        <f aca="false">$J$3</f>
        <v>0.58</v>
      </c>
      <c r="K27" s="23" t="n">
        <f aca="false">H27-G27-I27-J27</f>
        <v>18.60029</v>
      </c>
      <c r="L27" s="25" t="n">
        <f aca="false">IF(H27&gt;0,K27/H27,0)</f>
        <v>0.310056509418237</v>
      </c>
      <c r="M27" s="24" t="n">
        <f aca="false">H27*$L$3+$N$3</f>
        <v>14.89755</v>
      </c>
      <c r="N27" s="26" t="n">
        <f aca="false">H27-G27-M27</f>
        <v>6.32245000000001</v>
      </c>
      <c r="O27" s="27" t="n">
        <f aca="false">IF(H27&gt;0,N27/H27,0)</f>
        <v>0.105391731955326</v>
      </c>
      <c r="P27" s="28" t="n">
        <f aca="false">K27-N27</f>
        <v>12.27784</v>
      </c>
    </row>
    <row r="28" customFormat="false" ht="15" hidden="false" customHeight="false" outlineLevel="0" collapsed="false">
      <c r="A28" s="11" t="n">
        <v>23</v>
      </c>
      <c r="B28" s="12" t="s">
        <v>57</v>
      </c>
      <c r="C28" s="11" t="s">
        <v>26</v>
      </c>
      <c r="D28" s="11" t="s">
        <v>27</v>
      </c>
      <c r="E28" s="13" t="n">
        <v>19.99</v>
      </c>
      <c r="F28" s="13" t="n">
        <v>7</v>
      </c>
      <c r="G28" s="14" t="n">
        <f aca="false">E28+F28</f>
        <v>26.99</v>
      </c>
      <c r="H28" s="13" t="n">
        <v>44.99</v>
      </c>
      <c r="I28" s="15" t="n">
        <f aca="false">H28*$B$3+$D$3</f>
        <v>1.60471</v>
      </c>
      <c r="J28" s="15" t="n">
        <f aca="false">$J$3</f>
        <v>0.58</v>
      </c>
      <c r="K28" s="14" t="n">
        <f aca="false">H28-G28-I28-J28</f>
        <v>15.81529</v>
      </c>
      <c r="L28" s="16" t="n">
        <f aca="false">IF(H28&gt;0,K28/H28,0)</f>
        <v>0.351529006445877</v>
      </c>
      <c r="M28" s="15" t="n">
        <f aca="false">H28*$L$3+$N$3</f>
        <v>11.22255</v>
      </c>
      <c r="N28" s="17" t="n">
        <f aca="false">H28-G28-M28</f>
        <v>6.77745</v>
      </c>
      <c r="O28" s="18" t="n">
        <f aca="false">IF(H28&gt;0,N28/H28,0)</f>
        <v>0.150643476328073</v>
      </c>
      <c r="P28" s="19" t="n">
        <f aca="false">K28-N28</f>
        <v>9.03784</v>
      </c>
    </row>
    <row r="29" customFormat="false" ht="15" hidden="false" customHeight="false" outlineLevel="0" collapsed="false">
      <c r="A29" s="20" t="n">
        <v>24</v>
      </c>
      <c r="B29" s="21" t="s">
        <v>58</v>
      </c>
      <c r="C29" s="20" t="s">
        <v>32</v>
      </c>
      <c r="D29" s="20" t="s">
        <v>27</v>
      </c>
      <c r="E29" s="22" t="n">
        <v>13.29</v>
      </c>
      <c r="F29" s="22" t="n">
        <v>7</v>
      </c>
      <c r="G29" s="23" t="n">
        <f aca="false">E29+F29</f>
        <v>20.29</v>
      </c>
      <c r="H29" s="22" t="n">
        <v>34.99</v>
      </c>
      <c r="I29" s="24" t="n">
        <f aca="false">H29*$B$3+$D$3</f>
        <v>1.31471</v>
      </c>
      <c r="J29" s="24" t="n">
        <f aca="false">$J$3</f>
        <v>0.58</v>
      </c>
      <c r="K29" s="23" t="n">
        <f aca="false">H29-G29-I29-J29</f>
        <v>12.80529</v>
      </c>
      <c r="L29" s="25" t="n">
        <f aca="false">IF(H29&gt;0,K29/H29,0)</f>
        <v>0.365969991426122</v>
      </c>
      <c r="M29" s="24" t="n">
        <f aca="false">H29*$L$3+$N$3</f>
        <v>8.77255</v>
      </c>
      <c r="N29" s="26" t="n">
        <f aca="false">H29-G29-M29</f>
        <v>5.92745</v>
      </c>
      <c r="O29" s="27" t="n">
        <f aca="false">IF(H29&gt;0,N29/H29,0)</f>
        <v>0.169404115461561</v>
      </c>
      <c r="P29" s="28" t="n">
        <f aca="false">K29-N29</f>
        <v>6.87784</v>
      </c>
    </row>
    <row r="30" customFormat="false" ht="15" hidden="false" customHeight="false" outlineLevel="0" collapsed="false">
      <c r="A30" s="11" t="n">
        <v>25</v>
      </c>
      <c r="B30" s="12" t="s">
        <v>59</v>
      </c>
      <c r="C30" s="11" t="s">
        <v>26</v>
      </c>
      <c r="D30" s="11" t="s">
        <v>36</v>
      </c>
      <c r="E30" s="13" t="n">
        <v>5.29</v>
      </c>
      <c r="F30" s="13" t="n">
        <v>5.5</v>
      </c>
      <c r="G30" s="14" t="n">
        <f aca="false">E30+F30</f>
        <v>10.79</v>
      </c>
      <c r="H30" s="13" t="n">
        <v>19.99</v>
      </c>
      <c r="I30" s="15" t="n">
        <f aca="false">H30*$B$3+$D$3</f>
        <v>0.87971</v>
      </c>
      <c r="J30" s="15" t="n">
        <f aca="false">$J$3</f>
        <v>0.58</v>
      </c>
      <c r="K30" s="14" t="n">
        <f aca="false">H30-G30-I30-J30</f>
        <v>7.74029</v>
      </c>
      <c r="L30" s="16" t="n">
        <f aca="false">IF(H30&gt;0,K30/H30,0)</f>
        <v>0.387208104052026</v>
      </c>
      <c r="M30" s="15" t="n">
        <f aca="false">H30*$L$3+$N$3</f>
        <v>5.09755</v>
      </c>
      <c r="N30" s="17" t="n">
        <f aca="false">H30-G30-M30</f>
        <v>4.10245</v>
      </c>
      <c r="O30" s="18" t="n">
        <f aca="false">IF(H30&gt;0,N30/H30,0)</f>
        <v>0.205225112556278</v>
      </c>
      <c r="P30" s="19" t="n">
        <f aca="false">K30-N30</f>
        <v>3.63784</v>
      </c>
    </row>
    <row r="31" customFormat="false" ht="15" hidden="false" customHeight="false" outlineLevel="0" collapsed="false">
      <c r="A31" s="20" t="n">
        <v>26</v>
      </c>
      <c r="B31" s="21" t="s">
        <v>60</v>
      </c>
      <c r="C31" s="20" t="s">
        <v>38</v>
      </c>
      <c r="D31" s="20" t="s">
        <v>27</v>
      </c>
      <c r="E31" s="22" t="n">
        <v>13.39</v>
      </c>
      <c r="F31" s="22" t="n">
        <v>6.5</v>
      </c>
      <c r="G31" s="23" t="n">
        <f aca="false">E31+F31</f>
        <v>19.89</v>
      </c>
      <c r="H31" s="22" t="n">
        <v>29.99</v>
      </c>
      <c r="I31" s="24" t="n">
        <f aca="false">H31*$B$3+$D$3</f>
        <v>1.16971</v>
      </c>
      <c r="J31" s="24" t="n">
        <f aca="false">$J$3</f>
        <v>0.58</v>
      </c>
      <c r="K31" s="23" t="n">
        <f aca="false">H31-G31-I31-J31</f>
        <v>8.35029</v>
      </c>
      <c r="L31" s="25" t="n">
        <f aca="false">IF(H31&gt;0,K31/H31,0)</f>
        <v>0.278435811937312</v>
      </c>
      <c r="M31" s="24" t="n">
        <f aca="false">H31*$L$3+$N$3</f>
        <v>7.54755</v>
      </c>
      <c r="N31" s="26" t="n">
        <f aca="false">H31-G31-M31</f>
        <v>2.55245</v>
      </c>
      <c r="O31" s="27" t="n">
        <f aca="false">IF(H31&gt;0,N31/H31,0)</f>
        <v>0.0851100366788929</v>
      </c>
      <c r="P31" s="28" t="n">
        <f aca="false">K31-N31</f>
        <v>5.79784</v>
      </c>
    </row>
    <row r="32" customFormat="false" ht="15" hidden="false" customHeight="false" outlineLevel="0" collapsed="false">
      <c r="A32" s="11" t="n">
        <v>27</v>
      </c>
      <c r="B32" s="12" t="s">
        <v>61</v>
      </c>
      <c r="C32" s="11" t="s">
        <v>26</v>
      </c>
      <c r="D32" s="11" t="s">
        <v>27</v>
      </c>
      <c r="E32" s="13" t="n">
        <v>10.49</v>
      </c>
      <c r="F32" s="13" t="n">
        <v>6.5</v>
      </c>
      <c r="G32" s="14" t="n">
        <f aca="false">E32+F32</f>
        <v>16.99</v>
      </c>
      <c r="H32" s="13" t="n">
        <v>34.99</v>
      </c>
      <c r="I32" s="15" t="n">
        <f aca="false">H32*$B$3+$D$3</f>
        <v>1.31471</v>
      </c>
      <c r="J32" s="15" t="n">
        <f aca="false">$J$3</f>
        <v>0.58</v>
      </c>
      <c r="K32" s="14" t="n">
        <f aca="false">H32-G32-I32-J32</f>
        <v>16.10529</v>
      </c>
      <c r="L32" s="16" t="n">
        <f aca="false">IF(H32&gt;0,K32/H32,0)</f>
        <v>0.460282652186339</v>
      </c>
      <c r="M32" s="15" t="n">
        <f aca="false">H32*$L$3+$N$3</f>
        <v>8.77255</v>
      </c>
      <c r="N32" s="17" t="n">
        <f aca="false">H32-G32-M32</f>
        <v>9.22745</v>
      </c>
      <c r="O32" s="18" t="n">
        <f aca="false">IF(H32&gt;0,N32/H32,0)</f>
        <v>0.263716776221778</v>
      </c>
      <c r="P32" s="19" t="n">
        <f aca="false">K32-N32</f>
        <v>6.87784</v>
      </c>
    </row>
    <row r="33" customFormat="false" ht="15" hidden="false" customHeight="false" outlineLevel="0" collapsed="false">
      <c r="A33" s="20" t="n">
        <v>28</v>
      </c>
      <c r="B33" s="21" t="s">
        <v>62</v>
      </c>
      <c r="C33" s="20" t="s">
        <v>38</v>
      </c>
      <c r="D33" s="20" t="s">
        <v>27</v>
      </c>
      <c r="E33" s="22" t="n">
        <v>13.39</v>
      </c>
      <c r="F33" s="22" t="n">
        <v>7</v>
      </c>
      <c r="G33" s="23" t="n">
        <f aca="false">E33+F33</f>
        <v>20.39</v>
      </c>
      <c r="H33" s="22" t="n">
        <v>29.99</v>
      </c>
      <c r="I33" s="24" t="n">
        <f aca="false">H33*$B$3+$D$3</f>
        <v>1.16971</v>
      </c>
      <c r="J33" s="24" t="n">
        <f aca="false">$J$3</f>
        <v>0.58</v>
      </c>
      <c r="K33" s="23" t="n">
        <f aca="false">H33-G33-I33-J33</f>
        <v>7.85029</v>
      </c>
      <c r="L33" s="25" t="n">
        <f aca="false">IF(H33&gt;0,K33/H33,0)</f>
        <v>0.261763587862621</v>
      </c>
      <c r="M33" s="24" t="n">
        <f aca="false">H33*$L$3+$N$3</f>
        <v>7.54755</v>
      </c>
      <c r="N33" s="26" t="n">
        <f aca="false">H33-G33-M33</f>
        <v>2.05245</v>
      </c>
      <c r="O33" s="27" t="n">
        <f aca="false">IF(H33&gt;0,N33/H33,0)</f>
        <v>0.0684378126042014</v>
      </c>
      <c r="P33" s="28" t="n">
        <f aca="false">K33-N33</f>
        <v>5.79784</v>
      </c>
    </row>
    <row r="34" customFormat="false" ht="15" hidden="false" customHeight="false" outlineLevel="0" collapsed="false">
      <c r="A34" s="11" t="n">
        <v>29</v>
      </c>
      <c r="B34" s="12" t="s">
        <v>63</v>
      </c>
      <c r="C34" s="11" t="s">
        <v>26</v>
      </c>
      <c r="D34" s="11" t="s">
        <v>36</v>
      </c>
      <c r="E34" s="13" t="n">
        <v>7.29</v>
      </c>
      <c r="F34" s="13" t="n">
        <v>5.5</v>
      </c>
      <c r="G34" s="14" t="n">
        <f aca="false">E34+F34</f>
        <v>12.79</v>
      </c>
      <c r="H34" s="13" t="n">
        <v>24.99</v>
      </c>
      <c r="I34" s="15" t="n">
        <f aca="false">H34*$B$3+$D$3</f>
        <v>1.02471</v>
      </c>
      <c r="J34" s="15" t="n">
        <f aca="false">$J$3</f>
        <v>0.58</v>
      </c>
      <c r="K34" s="14" t="n">
        <f aca="false">H34-G34-I34-J34</f>
        <v>10.59529</v>
      </c>
      <c r="L34" s="16" t="n">
        <f aca="false">IF(H34&gt;0,K34/H34,0)</f>
        <v>0.423981192476991</v>
      </c>
      <c r="M34" s="15" t="n">
        <f aca="false">H34*$L$3+$N$3</f>
        <v>6.32255</v>
      </c>
      <c r="N34" s="17" t="n">
        <f aca="false">H34-G34-M34</f>
        <v>5.87745</v>
      </c>
      <c r="O34" s="18" t="n">
        <f aca="false">IF(H34&gt;0,N34/H34,0)</f>
        <v>0.235192076830732</v>
      </c>
      <c r="P34" s="19" t="n">
        <f aca="false">K34-N34</f>
        <v>4.71784</v>
      </c>
    </row>
    <row r="35" customFormat="false" ht="15" hidden="false" customHeight="false" outlineLevel="0" collapsed="false">
      <c r="A35" s="20" t="n">
        <v>30</v>
      </c>
      <c r="B35" s="21" t="s">
        <v>64</v>
      </c>
      <c r="C35" s="20" t="s">
        <v>26</v>
      </c>
      <c r="D35" s="20" t="s">
        <v>49</v>
      </c>
      <c r="E35" s="22" t="n">
        <v>10.09</v>
      </c>
      <c r="F35" s="22" t="n">
        <v>6.5</v>
      </c>
      <c r="G35" s="23" t="n">
        <f aca="false">E35+F35</f>
        <v>16.59</v>
      </c>
      <c r="H35" s="22" t="n">
        <v>24.99</v>
      </c>
      <c r="I35" s="24" t="n">
        <f aca="false">H35*$B$3+$D$3</f>
        <v>1.02471</v>
      </c>
      <c r="J35" s="24" t="n">
        <f aca="false">$J$3</f>
        <v>0.58</v>
      </c>
      <c r="K35" s="23" t="n">
        <f aca="false">H35-G35-I35-J35</f>
        <v>6.79529</v>
      </c>
      <c r="L35" s="25" t="n">
        <f aca="false">IF(H35&gt;0,K35/H35,0)</f>
        <v>0.271920368147259</v>
      </c>
      <c r="M35" s="24" t="n">
        <f aca="false">H35*$L$3+$N$3</f>
        <v>6.32255</v>
      </c>
      <c r="N35" s="26" t="n">
        <f aca="false">H35-G35-M35</f>
        <v>2.07745</v>
      </c>
      <c r="O35" s="27" t="n">
        <f aca="false">IF(H35&gt;0,N35/H35,0)</f>
        <v>0.0831312525010004</v>
      </c>
      <c r="P35" s="28" t="n">
        <f aca="false">K35-N35</f>
        <v>4.71784</v>
      </c>
    </row>
    <row r="36" customFormat="false" ht="15" hidden="false" customHeight="false" outlineLevel="0" collapsed="false">
      <c r="A36" s="11" t="n">
        <v>31</v>
      </c>
      <c r="B36" s="12" t="s">
        <v>65</v>
      </c>
      <c r="C36" s="11" t="s">
        <v>26</v>
      </c>
      <c r="D36" s="11" t="s">
        <v>49</v>
      </c>
      <c r="E36" s="13" t="n">
        <v>10.09</v>
      </c>
      <c r="F36" s="13" t="n">
        <v>6.5</v>
      </c>
      <c r="G36" s="14" t="n">
        <f aca="false">E36+F36</f>
        <v>16.59</v>
      </c>
      <c r="H36" s="13" t="n">
        <v>24.99</v>
      </c>
      <c r="I36" s="15" t="n">
        <f aca="false">H36*$B$3+$D$3</f>
        <v>1.02471</v>
      </c>
      <c r="J36" s="15" t="n">
        <f aca="false">$J$3</f>
        <v>0.58</v>
      </c>
      <c r="K36" s="14" t="n">
        <f aca="false">H36-G36-I36-J36</f>
        <v>6.79529</v>
      </c>
      <c r="L36" s="16" t="n">
        <f aca="false">IF(H36&gt;0,K36/H36,0)</f>
        <v>0.271920368147259</v>
      </c>
      <c r="M36" s="15" t="n">
        <f aca="false">H36*$L$3+$N$3</f>
        <v>6.32255</v>
      </c>
      <c r="N36" s="17" t="n">
        <f aca="false">H36-G36-M36</f>
        <v>2.07745</v>
      </c>
      <c r="O36" s="18" t="n">
        <f aca="false">IF(H36&gt;0,N36/H36,0)</f>
        <v>0.0831312525010004</v>
      </c>
      <c r="P36" s="19" t="n">
        <f aca="false">K36-N36</f>
        <v>4.71784</v>
      </c>
    </row>
    <row r="37" customFormat="false" ht="23.85" hidden="false" customHeight="false" outlineLevel="0" collapsed="false">
      <c r="A37" s="20" t="n">
        <v>32</v>
      </c>
      <c r="B37" s="21" t="s">
        <v>66</v>
      </c>
      <c r="C37" s="20" t="s">
        <v>26</v>
      </c>
      <c r="D37" s="20" t="s">
        <v>36</v>
      </c>
      <c r="E37" s="22" t="n">
        <v>9.99</v>
      </c>
      <c r="F37" s="22" t="n">
        <v>6.5</v>
      </c>
      <c r="G37" s="23" t="n">
        <f aca="false">E37+F37</f>
        <v>16.49</v>
      </c>
      <c r="H37" s="22" t="n">
        <v>24.99</v>
      </c>
      <c r="I37" s="24" t="n">
        <f aca="false">H37*$B$3+$D$3</f>
        <v>1.02471</v>
      </c>
      <c r="J37" s="24" t="n">
        <f aca="false">$J$3</f>
        <v>0.58</v>
      </c>
      <c r="K37" s="23" t="n">
        <f aca="false">H37-G37-I37-J37</f>
        <v>6.89529</v>
      </c>
      <c r="L37" s="25" t="n">
        <f aca="false">IF(H37&gt;0,K37/H37,0)</f>
        <v>0.275921968787515</v>
      </c>
      <c r="M37" s="24" t="n">
        <f aca="false">H37*$L$3+$N$3</f>
        <v>6.32255</v>
      </c>
      <c r="N37" s="26" t="n">
        <f aca="false">H37-G37-M37</f>
        <v>2.17745</v>
      </c>
      <c r="O37" s="27" t="n">
        <f aca="false">IF(H37&gt;0,N37/H37,0)</f>
        <v>0.0871328531412564</v>
      </c>
      <c r="P37" s="28" t="n">
        <f aca="false">K37-N37</f>
        <v>4.71784</v>
      </c>
    </row>
    <row r="38" customFormat="false" ht="23.85" hidden="false" customHeight="false" outlineLevel="0" collapsed="false">
      <c r="A38" s="11" t="n">
        <v>33</v>
      </c>
      <c r="B38" s="12" t="s">
        <v>67</v>
      </c>
      <c r="C38" s="11" t="s">
        <v>26</v>
      </c>
      <c r="D38" s="11" t="s">
        <v>36</v>
      </c>
      <c r="E38" s="13" t="n">
        <v>8.29</v>
      </c>
      <c r="F38" s="13" t="n">
        <v>6.5</v>
      </c>
      <c r="G38" s="14" t="n">
        <f aca="false">E38+F38</f>
        <v>14.79</v>
      </c>
      <c r="H38" s="13" t="n">
        <v>24.99</v>
      </c>
      <c r="I38" s="15" t="n">
        <f aca="false">H38*$B$3+$D$3</f>
        <v>1.02471</v>
      </c>
      <c r="J38" s="15" t="n">
        <f aca="false">$J$3</f>
        <v>0.58</v>
      </c>
      <c r="K38" s="14" t="n">
        <f aca="false">H38-G38-I38-J38</f>
        <v>8.59529</v>
      </c>
      <c r="L38" s="16" t="n">
        <f aca="false">IF(H38&gt;0,K38/H38,0)</f>
        <v>0.343949179671869</v>
      </c>
      <c r="M38" s="15" t="n">
        <f aca="false">H38*$L$3+$N$3</f>
        <v>6.32255</v>
      </c>
      <c r="N38" s="17" t="n">
        <f aca="false">H38-G38-M38</f>
        <v>3.87745</v>
      </c>
      <c r="O38" s="18" t="n">
        <f aca="false">IF(H38&gt;0,N38/H38,0)</f>
        <v>0.15516006402561</v>
      </c>
      <c r="P38" s="19" t="n">
        <f aca="false">K38-N38</f>
        <v>4.71784</v>
      </c>
    </row>
    <row r="40" customFormat="false" ht="15" hidden="false" customHeight="false" outlineLevel="0" collapsed="false">
      <c r="A40" s="29" t="s">
        <v>68</v>
      </c>
      <c r="B40" s="29"/>
      <c r="C40" s="29"/>
      <c r="D40" s="29"/>
      <c r="E40" s="30" t="n">
        <f aca="false">AVERAGE(E6:E38)</f>
        <v>15.4657575757576</v>
      </c>
      <c r="F40" s="30" t="n">
        <f aca="false">AVERAGE(F6:F38)</f>
        <v>6.89393939393939</v>
      </c>
      <c r="G40" s="30" t="n">
        <f aca="false">AVERAGE(G6:G38)</f>
        <v>22.359696969697</v>
      </c>
      <c r="H40" s="30" t="n">
        <f aca="false">AVERAGE(H6:H38)</f>
        <v>38.1718181818182</v>
      </c>
      <c r="I40" s="30" t="n">
        <f aca="false">AVERAGE(I6:I38)</f>
        <v>1.40698272727273</v>
      </c>
      <c r="J40" s="30" t="n">
        <f aca="false">AVERAGE(J6:J38)</f>
        <v>0.58</v>
      </c>
      <c r="K40" s="30" t="n">
        <f aca="false">AVERAGE(K6:K38)</f>
        <v>13.8251384848485</v>
      </c>
      <c r="L40" s="31" t="n">
        <f aca="false">AVERAGE(L6:L38)</f>
        <v>0.354870008190447</v>
      </c>
      <c r="M40" s="30" t="n">
        <f aca="false">AVERAGE(M6:M38)</f>
        <v>9.55209545454546</v>
      </c>
      <c r="N40" s="30" t="n">
        <f aca="false">AVERAGE(N6:N38)</f>
        <v>6.26002575757576</v>
      </c>
      <c r="O40" s="31" t="n">
        <f aca="false">AVERAGE(O6:O38)</f>
        <v>0.158664738266442</v>
      </c>
      <c r="P40" s="30" t="n">
        <f aca="false">AVERAGE(P6:P38)</f>
        <v>7.56511272727273</v>
      </c>
    </row>
  </sheetData>
  <mergeCells count="3">
    <mergeCell ref="A1:O1"/>
    <mergeCell ref="A2:O2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285F4"/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22"/>
    <col collapsed="false" customWidth="true" hidden="false" outlineLevel="0" max="5" min="4" style="0" width="14"/>
    <col collapsed="false" customWidth="true" hidden="false" outlineLevel="0" max="6" min="6" style="0" width="42"/>
  </cols>
  <sheetData>
    <row r="1" customFormat="false" ht="17.35" hidden="false" customHeight="false" outlineLevel="0" collapsed="false">
      <c r="A1" s="1" t="s">
        <v>69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70</v>
      </c>
      <c r="B2" s="2"/>
      <c r="C2" s="2"/>
      <c r="D2" s="2"/>
      <c r="E2" s="2"/>
      <c r="F2" s="2"/>
      <c r="G2" s="2"/>
    </row>
    <row r="4" customFormat="false" ht="35.05" hidden="false" customHeight="false" outlineLevel="0" collapsed="false">
      <c r="A4" s="10" t="s">
        <v>71</v>
      </c>
      <c r="B4" s="10" t="s">
        <v>72</v>
      </c>
      <c r="C4" s="10" t="s">
        <v>73</v>
      </c>
      <c r="D4" s="10" t="s">
        <v>74</v>
      </c>
      <c r="E4" s="10" t="s">
        <v>75</v>
      </c>
      <c r="F4" s="10" t="s">
        <v>76</v>
      </c>
    </row>
    <row r="5" customFormat="false" ht="23.85" hidden="false" customHeight="false" outlineLevel="0" collapsed="false">
      <c r="A5" s="12" t="s">
        <v>77</v>
      </c>
      <c r="B5" s="32" t="s">
        <v>78</v>
      </c>
      <c r="C5" s="33" t="s">
        <v>79</v>
      </c>
      <c r="D5" s="34" t="s">
        <v>80</v>
      </c>
      <c r="E5" s="34" t="s">
        <v>81</v>
      </c>
      <c r="F5" s="11" t="s">
        <v>82</v>
      </c>
    </row>
    <row r="6" customFormat="false" ht="23.85" hidden="false" customHeight="false" outlineLevel="0" collapsed="false">
      <c r="A6" s="21" t="s">
        <v>83</v>
      </c>
      <c r="B6" s="35" t="s">
        <v>84</v>
      </c>
      <c r="C6" s="36" t="s">
        <v>85</v>
      </c>
      <c r="D6" s="37" t="s">
        <v>86</v>
      </c>
      <c r="E6" s="37" t="s">
        <v>87</v>
      </c>
      <c r="F6" s="20" t="s">
        <v>88</v>
      </c>
    </row>
    <row r="7" customFormat="false" ht="35.05" hidden="false" customHeight="false" outlineLevel="0" collapsed="false">
      <c r="A7" s="12" t="s">
        <v>89</v>
      </c>
      <c r="B7" s="32" t="s">
        <v>90</v>
      </c>
      <c r="C7" s="33" t="s">
        <v>91</v>
      </c>
      <c r="D7" s="34" t="s">
        <v>92</v>
      </c>
      <c r="E7" s="34" t="s">
        <v>93</v>
      </c>
      <c r="F7" s="11" t="s">
        <v>94</v>
      </c>
    </row>
    <row r="8" customFormat="false" ht="23.85" hidden="false" customHeight="false" outlineLevel="0" collapsed="false">
      <c r="A8" s="21" t="s">
        <v>95</v>
      </c>
      <c r="B8" s="35" t="s">
        <v>90</v>
      </c>
      <c r="C8" s="36" t="s">
        <v>96</v>
      </c>
      <c r="D8" s="37" t="s">
        <v>97</v>
      </c>
      <c r="E8" s="37" t="s">
        <v>98</v>
      </c>
      <c r="F8" s="20" t="s">
        <v>99</v>
      </c>
    </row>
    <row r="9" customFormat="false" ht="23.85" hidden="false" customHeight="false" outlineLevel="0" collapsed="false">
      <c r="A9" s="12" t="s">
        <v>100</v>
      </c>
      <c r="B9" s="32" t="s">
        <v>101</v>
      </c>
      <c r="C9" s="33" t="s">
        <v>102</v>
      </c>
      <c r="D9" s="34" t="s">
        <v>103</v>
      </c>
      <c r="E9" s="34" t="s">
        <v>104</v>
      </c>
      <c r="F9" s="11" t="s">
        <v>105</v>
      </c>
    </row>
    <row r="10" customFormat="false" ht="23.85" hidden="false" customHeight="false" outlineLevel="0" collapsed="false">
      <c r="A10" s="21" t="s">
        <v>106</v>
      </c>
      <c r="B10" s="35" t="s">
        <v>90</v>
      </c>
      <c r="C10" s="36" t="s">
        <v>107</v>
      </c>
      <c r="D10" s="37" t="s">
        <v>108</v>
      </c>
      <c r="E10" s="37" t="s">
        <v>108</v>
      </c>
      <c r="F10" s="20" t="s">
        <v>109</v>
      </c>
    </row>
    <row r="11" customFormat="false" ht="23.85" hidden="false" customHeight="false" outlineLevel="0" collapsed="false">
      <c r="A11" s="12" t="s">
        <v>110</v>
      </c>
      <c r="B11" s="32" t="s">
        <v>90</v>
      </c>
      <c r="C11" s="33" t="s">
        <v>111</v>
      </c>
      <c r="D11" s="34" t="s">
        <v>112</v>
      </c>
      <c r="E11" s="34" t="s">
        <v>113</v>
      </c>
      <c r="F11" s="11" t="s">
        <v>114</v>
      </c>
    </row>
    <row r="12" customFormat="false" ht="15" hidden="false" customHeight="false" outlineLevel="0" collapsed="false">
      <c r="A12" s="21" t="s">
        <v>115</v>
      </c>
      <c r="B12" s="35" t="s">
        <v>116</v>
      </c>
      <c r="C12" s="36" t="s">
        <v>117</v>
      </c>
      <c r="D12" s="37" t="s">
        <v>118</v>
      </c>
      <c r="E12" s="37" t="s">
        <v>119</v>
      </c>
      <c r="F12" s="20" t="s">
        <v>120</v>
      </c>
    </row>
    <row r="15" customFormat="false" ht="17.35" hidden="false" customHeight="false" outlineLevel="0" collapsed="false">
      <c r="A15" s="38" t="s">
        <v>121</v>
      </c>
      <c r="B15" s="38"/>
      <c r="C15" s="38"/>
      <c r="D15" s="38"/>
      <c r="E15" s="38"/>
      <c r="F15" s="38"/>
    </row>
    <row r="16" customFormat="false" ht="35.05" hidden="false" customHeight="false" outlineLevel="0" collapsed="false">
      <c r="A16" s="10" t="s">
        <v>122</v>
      </c>
      <c r="B16" s="10" t="s">
        <v>123</v>
      </c>
      <c r="C16" s="10" t="s">
        <v>124</v>
      </c>
      <c r="D16" s="10" t="s">
        <v>125</v>
      </c>
      <c r="E16" s="10" t="s">
        <v>126</v>
      </c>
    </row>
    <row r="17" customFormat="false" ht="23.85" hidden="false" customHeight="false" outlineLevel="0" collapsed="false">
      <c r="A17" s="39" t="s">
        <v>127</v>
      </c>
      <c r="B17" s="40" t="n">
        <f aca="false">40*0.029+0.3+29/50</f>
        <v>2.04</v>
      </c>
      <c r="C17" s="41" t="n">
        <f aca="false">B17/40</f>
        <v>0.051</v>
      </c>
      <c r="D17" s="42" t="n">
        <f aca="false">40-20-B17</f>
        <v>17.96</v>
      </c>
      <c r="E17" s="43" t="n">
        <f aca="false">D17/40</f>
        <v>0.449</v>
      </c>
    </row>
    <row r="18" customFormat="false" ht="15" hidden="false" customHeight="false" outlineLevel="0" collapsed="false">
      <c r="A18" s="44" t="s">
        <v>128</v>
      </c>
      <c r="B18" s="45" t="n">
        <f aca="false">40*0.245+0.2</f>
        <v>10</v>
      </c>
      <c r="C18" s="46" t="n">
        <f aca="false">B18/40</f>
        <v>0.25</v>
      </c>
      <c r="D18" s="47" t="n">
        <f aca="false">40-20-B18</f>
        <v>10</v>
      </c>
      <c r="E18" s="48" t="n">
        <f aca="false">D18/40</f>
        <v>0.25</v>
      </c>
    </row>
    <row r="19" customFormat="false" ht="23.85" hidden="false" customHeight="false" outlineLevel="0" collapsed="false">
      <c r="A19" s="49" t="s">
        <v>129</v>
      </c>
      <c r="B19" s="50" t="n">
        <f aca="false">B18-B17</f>
        <v>7.96</v>
      </c>
      <c r="C19" s="51"/>
      <c r="D19" s="50" t="n">
        <f aca="false">D17-D18</f>
        <v>7.96</v>
      </c>
      <c r="E19" s="51"/>
    </row>
    <row r="21" customFormat="false" ht="17.35" hidden="false" customHeight="false" outlineLevel="0" collapsed="false">
      <c r="A21" s="38" t="s">
        <v>130</v>
      </c>
      <c r="B21" s="38"/>
      <c r="C21" s="38"/>
      <c r="D21" s="38"/>
      <c r="E21" s="38"/>
      <c r="F21" s="38"/>
    </row>
    <row r="22" customFormat="false" ht="15" hidden="false" customHeight="false" outlineLevel="0" collapsed="false">
      <c r="A22" s="10" t="s">
        <v>131</v>
      </c>
      <c r="B22" s="10" t="s">
        <v>132</v>
      </c>
      <c r="C22" s="10" t="s">
        <v>73</v>
      </c>
      <c r="D22" s="10" t="s">
        <v>133</v>
      </c>
    </row>
    <row r="23" customFormat="false" ht="15" hidden="false" customHeight="false" outlineLevel="0" collapsed="false">
      <c r="A23" s="52" t="s">
        <v>134</v>
      </c>
      <c r="B23" s="53" t="n">
        <f aca="false">600*40</f>
        <v>24000</v>
      </c>
      <c r="C23" s="54" t="n">
        <f aca="false">600*40</f>
        <v>24000</v>
      </c>
      <c r="D23" s="55" t="n">
        <f aca="false">B23-C23</f>
        <v>0</v>
      </c>
    </row>
    <row r="24" customFormat="false" ht="15" hidden="false" customHeight="false" outlineLevel="0" collapsed="false">
      <c r="A24" s="56" t="s">
        <v>135</v>
      </c>
      <c r="B24" s="57" t="n">
        <f aca="false">B17*600</f>
        <v>1224</v>
      </c>
      <c r="C24" s="58" t="n">
        <f aca="false">B18*600</f>
        <v>6000</v>
      </c>
      <c r="D24" s="59" t="n">
        <f aca="false">B24-C24</f>
        <v>-4776</v>
      </c>
    </row>
    <row r="25" customFormat="false" ht="15" hidden="false" customHeight="false" outlineLevel="0" collapsed="false">
      <c r="A25" s="52" t="s">
        <v>136</v>
      </c>
      <c r="B25" s="53" t="n">
        <f aca="false">D17*600</f>
        <v>10776</v>
      </c>
      <c r="C25" s="54" t="n">
        <f aca="false">D18*600</f>
        <v>6000</v>
      </c>
      <c r="D25" s="55" t="n">
        <f aca="false">B25-C25</f>
        <v>4776</v>
      </c>
    </row>
    <row r="26" customFormat="false" ht="23.85" hidden="false" customHeight="false" outlineLevel="0" collapsed="false">
      <c r="A26" s="49" t="s">
        <v>137</v>
      </c>
      <c r="B26" s="51"/>
      <c r="C26" s="51"/>
      <c r="D26" s="60" t="n">
        <f aca="false">C24-B24</f>
        <v>4776</v>
      </c>
    </row>
  </sheetData>
  <mergeCells count="4">
    <mergeCell ref="A1:G1"/>
    <mergeCell ref="A2:G2"/>
    <mergeCell ref="A15:F15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7F"/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10" min="9" style="0" width="9"/>
    <col collapsed="false" customWidth="true" hidden="false" outlineLevel="0" max="11" min="11" style="0" width="48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5.05" hidden="false" customHeight="false" outlineLevel="0" collapsed="false">
      <c r="A4" s="10" t="s">
        <v>140</v>
      </c>
      <c r="B4" s="10" t="s">
        <v>141</v>
      </c>
      <c r="C4" s="10" t="s">
        <v>12</v>
      </c>
      <c r="D4" s="10" t="s">
        <v>142</v>
      </c>
      <c r="E4" s="10" t="s">
        <v>143</v>
      </c>
      <c r="F4" s="10" t="s">
        <v>144</v>
      </c>
      <c r="G4" s="10" t="s">
        <v>19</v>
      </c>
      <c r="H4" s="10" t="s">
        <v>20</v>
      </c>
      <c r="I4" s="10" t="s">
        <v>22</v>
      </c>
      <c r="J4" s="10" t="s">
        <v>145</v>
      </c>
      <c r="K4" s="10" t="s">
        <v>146</v>
      </c>
      <c r="L4" s="10" t="s">
        <v>147</v>
      </c>
    </row>
    <row r="5" customFormat="false" ht="35.05" hidden="false" customHeight="false" outlineLevel="0" collapsed="false">
      <c r="A5" s="34" t="s">
        <v>148</v>
      </c>
      <c r="B5" s="12" t="s">
        <v>149</v>
      </c>
      <c r="C5" s="11" t="s">
        <v>36</v>
      </c>
      <c r="D5" s="13" t="n">
        <v>5.29</v>
      </c>
      <c r="E5" s="13" t="n">
        <v>5.5</v>
      </c>
      <c r="F5" s="13" t="n">
        <v>19.99</v>
      </c>
      <c r="G5" s="14" t="n">
        <f aca="false">F5-(D5+E5)-(F5*0.029+0.3)-(29/50)</f>
        <v>7.74029</v>
      </c>
      <c r="H5" s="16" t="n">
        <f aca="false">IF(F5&gt;0,G5/F5,0)</f>
        <v>0.387208104052026</v>
      </c>
      <c r="I5" s="17" t="n">
        <f aca="false">F5-(D5+E5)-(F5*0.245+0.2)</f>
        <v>4.10245</v>
      </c>
      <c r="J5" s="61" t="n">
        <f aca="false">G5-I5</f>
        <v>3.63784</v>
      </c>
      <c r="K5" s="11" t="s">
        <v>150</v>
      </c>
      <c r="L5" s="34" t="s">
        <v>151</v>
      </c>
    </row>
    <row r="6" customFormat="false" ht="23.85" hidden="false" customHeight="false" outlineLevel="0" collapsed="false">
      <c r="A6" s="37" t="s">
        <v>148</v>
      </c>
      <c r="B6" s="21" t="s">
        <v>152</v>
      </c>
      <c r="C6" s="20" t="s">
        <v>36</v>
      </c>
      <c r="D6" s="22" t="n">
        <v>7.29</v>
      </c>
      <c r="E6" s="22" t="n">
        <v>5.5</v>
      </c>
      <c r="F6" s="22" t="n">
        <v>24.99</v>
      </c>
      <c r="G6" s="23" t="n">
        <f aca="false">F6-(D6+E6)-(F6*0.029+0.3)-(29/50)</f>
        <v>10.59529</v>
      </c>
      <c r="H6" s="25" t="n">
        <f aca="false">IF(F6&gt;0,G6/F6,0)</f>
        <v>0.423981192476991</v>
      </c>
      <c r="I6" s="26" t="n">
        <f aca="false">F6-(D6+E6)-(F6*0.245+0.2)</f>
        <v>5.87745</v>
      </c>
      <c r="J6" s="62" t="n">
        <f aca="false">G6-I6</f>
        <v>4.71784</v>
      </c>
      <c r="K6" s="20" t="s">
        <v>153</v>
      </c>
      <c r="L6" s="37" t="s">
        <v>151</v>
      </c>
    </row>
    <row r="7" customFormat="false" ht="23.85" hidden="false" customHeight="false" outlineLevel="0" collapsed="false">
      <c r="A7" s="34" t="s">
        <v>148</v>
      </c>
      <c r="B7" s="12" t="s">
        <v>154</v>
      </c>
      <c r="C7" s="11" t="s">
        <v>27</v>
      </c>
      <c r="D7" s="13" t="n">
        <v>8.15</v>
      </c>
      <c r="E7" s="13" t="n">
        <v>6.5</v>
      </c>
      <c r="F7" s="13" t="n">
        <v>29.99</v>
      </c>
      <c r="G7" s="14" t="n">
        <f aca="false">F7-(D7+E7)-(F7*0.029+0.3)-(29/50)</f>
        <v>13.59029</v>
      </c>
      <c r="H7" s="16" t="n">
        <f aca="false">IF(F7&gt;0,G7/F7,0)</f>
        <v>0.45316072024008</v>
      </c>
      <c r="I7" s="17" t="n">
        <f aca="false">F7-(D7+E7)-(F7*0.245+0.2)</f>
        <v>7.79245</v>
      </c>
      <c r="J7" s="61" t="n">
        <f aca="false">G7-I7</f>
        <v>5.79784</v>
      </c>
      <c r="K7" s="11" t="s">
        <v>155</v>
      </c>
      <c r="L7" s="34" t="s">
        <v>151</v>
      </c>
    </row>
    <row r="8" customFormat="false" ht="35.05" hidden="false" customHeight="false" outlineLevel="0" collapsed="false">
      <c r="A8" s="37" t="s">
        <v>148</v>
      </c>
      <c r="B8" s="21" t="s">
        <v>156</v>
      </c>
      <c r="C8" s="20" t="s">
        <v>36</v>
      </c>
      <c r="D8" s="22" t="n">
        <v>8.29</v>
      </c>
      <c r="E8" s="22" t="n">
        <v>6.5</v>
      </c>
      <c r="F8" s="22" t="n">
        <v>24.99</v>
      </c>
      <c r="G8" s="23" t="n">
        <f aca="false">F8-(D8+E8)-(F8*0.029+0.3)-(29/50)</f>
        <v>8.59529</v>
      </c>
      <c r="H8" s="25" t="n">
        <f aca="false">IF(F8&gt;0,G8/F8,0)</f>
        <v>0.343949179671869</v>
      </c>
      <c r="I8" s="26" t="n">
        <f aca="false">F8-(D8+E8)-(F8*0.245+0.2)</f>
        <v>3.87745</v>
      </c>
      <c r="J8" s="62" t="n">
        <f aca="false">G8-I8</f>
        <v>4.71784</v>
      </c>
      <c r="K8" s="20" t="s">
        <v>157</v>
      </c>
      <c r="L8" s="37" t="s">
        <v>151</v>
      </c>
    </row>
    <row r="9" customFormat="false" ht="23.85" hidden="false" customHeight="false" outlineLevel="0" collapsed="false">
      <c r="A9" s="34" t="s">
        <v>148</v>
      </c>
      <c r="B9" s="12" t="s">
        <v>158</v>
      </c>
      <c r="C9" s="11" t="s">
        <v>27</v>
      </c>
      <c r="D9" s="13" t="n">
        <v>8.75</v>
      </c>
      <c r="E9" s="13" t="n">
        <v>6.5</v>
      </c>
      <c r="F9" s="13" t="n">
        <v>29.99</v>
      </c>
      <c r="G9" s="14" t="n">
        <f aca="false">F9-(D9+E9)-(F9*0.029+0.3)-(29/50)</f>
        <v>12.99029</v>
      </c>
      <c r="H9" s="16" t="n">
        <f aca="false">IF(F9&gt;0,G9/F9,0)</f>
        <v>0.43315405135045</v>
      </c>
      <c r="I9" s="17" t="n">
        <f aca="false">F9-(D9+E9)-(F9*0.245+0.2)</f>
        <v>7.19245</v>
      </c>
      <c r="J9" s="61" t="n">
        <f aca="false">G9-I9</f>
        <v>5.79784</v>
      </c>
      <c r="K9" s="11" t="s">
        <v>159</v>
      </c>
      <c r="L9" s="34" t="s">
        <v>151</v>
      </c>
    </row>
    <row r="10" customFormat="false" ht="23.85" hidden="false" customHeight="false" outlineLevel="0" collapsed="false">
      <c r="A10" s="37" t="s">
        <v>148</v>
      </c>
      <c r="B10" s="21" t="s">
        <v>160</v>
      </c>
      <c r="C10" s="20" t="s">
        <v>27</v>
      </c>
      <c r="D10" s="22" t="n">
        <v>8.92</v>
      </c>
      <c r="E10" s="22" t="n">
        <v>6.5</v>
      </c>
      <c r="F10" s="22" t="n">
        <v>24.99</v>
      </c>
      <c r="G10" s="23" t="n">
        <f aca="false">F10-(D10+E10)-(F10*0.029+0.3)-(29/50)</f>
        <v>7.96529</v>
      </c>
      <c r="H10" s="25" t="n">
        <f aca="false">IF(F10&gt;0,G10/F10,0)</f>
        <v>0.318739095638255</v>
      </c>
      <c r="I10" s="26" t="n">
        <f aca="false">F10-(D10+E10)-(F10*0.245+0.2)</f>
        <v>3.24745</v>
      </c>
      <c r="J10" s="62" t="n">
        <f aca="false">G10-I10</f>
        <v>4.71784</v>
      </c>
      <c r="K10" s="20" t="s">
        <v>161</v>
      </c>
      <c r="L10" s="37" t="s">
        <v>151</v>
      </c>
    </row>
    <row r="11" customFormat="false" ht="35.05" hidden="false" customHeight="false" outlineLevel="0" collapsed="false">
      <c r="A11" s="34" t="s">
        <v>162</v>
      </c>
      <c r="B11" s="12" t="s">
        <v>163</v>
      </c>
      <c r="C11" s="11" t="s">
        <v>27</v>
      </c>
      <c r="D11" s="13" t="n">
        <v>25.64</v>
      </c>
      <c r="E11" s="13" t="n">
        <v>8.5</v>
      </c>
      <c r="F11" s="13" t="n">
        <v>69.99</v>
      </c>
      <c r="G11" s="14" t="n">
        <f aca="false">F11-(D11+E11)-(F11*0.029+0.3)-(29/50)</f>
        <v>32.94029</v>
      </c>
      <c r="H11" s="16" t="n">
        <f aca="false">IF(F11&gt;0,G11/F11,0)</f>
        <v>0.470642806115159</v>
      </c>
      <c r="I11" s="17" t="n">
        <f aca="false">F11-(D11+E11)-(F11*0.245+0.2)</f>
        <v>18.50245</v>
      </c>
      <c r="J11" s="61" t="n">
        <f aca="false">G11-I11</f>
        <v>14.43784</v>
      </c>
      <c r="K11" s="11" t="s">
        <v>164</v>
      </c>
      <c r="L11" s="34" t="s">
        <v>165</v>
      </c>
    </row>
    <row r="12" customFormat="false" ht="23.85" hidden="false" customHeight="false" outlineLevel="0" collapsed="false">
      <c r="A12" s="37" t="s">
        <v>162</v>
      </c>
      <c r="B12" s="21" t="s">
        <v>166</v>
      </c>
      <c r="C12" s="20" t="s">
        <v>27</v>
      </c>
      <c r="D12" s="22" t="n">
        <v>23.49</v>
      </c>
      <c r="E12" s="22" t="n">
        <v>7.5</v>
      </c>
      <c r="F12" s="22" t="n">
        <v>49.99</v>
      </c>
      <c r="G12" s="23" t="n">
        <f aca="false">F12-(D12+E12)-(F12*0.029+0.3)-(29/50)</f>
        <v>16.67029</v>
      </c>
      <c r="H12" s="25" t="n">
        <f aca="false">IF(F12&gt;0,G12/F12,0)</f>
        <v>0.3334724944989</v>
      </c>
      <c r="I12" s="26" t="n">
        <f aca="false">F12-(D12+E12)-(F12*0.245+0.2)</f>
        <v>6.55245</v>
      </c>
      <c r="J12" s="62" t="n">
        <f aca="false">G12-I12</f>
        <v>10.11784</v>
      </c>
      <c r="K12" s="20" t="s">
        <v>167</v>
      </c>
      <c r="L12" s="37" t="s">
        <v>168</v>
      </c>
    </row>
    <row r="13" customFormat="false" ht="23.85" hidden="false" customHeight="false" outlineLevel="0" collapsed="false">
      <c r="A13" s="34" t="s">
        <v>162</v>
      </c>
      <c r="B13" s="12" t="s">
        <v>169</v>
      </c>
      <c r="C13" s="11" t="s">
        <v>27</v>
      </c>
      <c r="D13" s="13" t="n">
        <v>14.69</v>
      </c>
      <c r="E13" s="13" t="n">
        <v>6.5</v>
      </c>
      <c r="F13" s="13" t="n">
        <v>34.99</v>
      </c>
      <c r="G13" s="14" t="n">
        <f aca="false">F13-(D13+E13)-(F13*0.029+0.3)-(29/50)</f>
        <v>11.90529</v>
      </c>
      <c r="H13" s="16" t="n">
        <f aca="false">IF(F13&gt;0,G13/F13,0)</f>
        <v>0.340248356673335</v>
      </c>
      <c r="I13" s="17" t="n">
        <f aca="false">F13-(D13+E13)-(F13*0.245+0.2)</f>
        <v>5.02745000000001</v>
      </c>
      <c r="J13" s="61" t="n">
        <f aca="false">G13-I13</f>
        <v>6.87784</v>
      </c>
      <c r="K13" s="11" t="s">
        <v>170</v>
      </c>
      <c r="L13" s="34" t="s">
        <v>165</v>
      </c>
    </row>
    <row r="14" customFormat="false" ht="35.05" hidden="false" customHeight="false" outlineLevel="0" collapsed="false">
      <c r="A14" s="37" t="s">
        <v>162</v>
      </c>
      <c r="B14" s="21" t="s">
        <v>171</v>
      </c>
      <c r="C14" s="20" t="s">
        <v>27</v>
      </c>
      <c r="D14" s="22" t="n">
        <v>13.19</v>
      </c>
      <c r="E14" s="22" t="n">
        <v>7</v>
      </c>
      <c r="F14" s="22" t="n">
        <v>39.99</v>
      </c>
      <c r="G14" s="23" t="n">
        <f aca="false">F14-(D14+E14)-(F14*0.029+0.3)-(29/50)</f>
        <v>17.76029</v>
      </c>
      <c r="H14" s="25" t="n">
        <f aca="false">IF(F14&gt;0,G14/F14,0)</f>
        <v>0.444118279569893</v>
      </c>
      <c r="I14" s="26" t="n">
        <f aca="false">F14-(D14+E14)-(F14*0.245+0.2)</f>
        <v>9.80245</v>
      </c>
      <c r="J14" s="62" t="n">
        <f aca="false">G14-I14</f>
        <v>7.95784</v>
      </c>
      <c r="K14" s="20" t="s">
        <v>172</v>
      </c>
      <c r="L14" s="37" t="s">
        <v>165</v>
      </c>
    </row>
    <row r="15" customFormat="false" ht="23.85" hidden="false" customHeight="false" outlineLevel="0" collapsed="false">
      <c r="A15" s="34" t="s">
        <v>162</v>
      </c>
      <c r="B15" s="12" t="s">
        <v>173</v>
      </c>
      <c r="C15" s="11" t="s">
        <v>27</v>
      </c>
      <c r="D15" s="13" t="n">
        <v>13.29</v>
      </c>
      <c r="E15" s="13" t="n">
        <v>7</v>
      </c>
      <c r="F15" s="13" t="n">
        <v>39.99</v>
      </c>
      <c r="G15" s="14" t="n">
        <f aca="false">F15-(D15+E15)-(F15*0.029+0.3)-(29/50)</f>
        <v>17.66029</v>
      </c>
      <c r="H15" s="16" t="n">
        <f aca="false">IF(F15&gt;0,G15/F15,0)</f>
        <v>0.441617654413603</v>
      </c>
      <c r="I15" s="17" t="n">
        <f aca="false">F15-(D15+E15)-(F15*0.245+0.2)</f>
        <v>9.70245</v>
      </c>
      <c r="J15" s="61" t="n">
        <f aca="false">G15-I15</f>
        <v>7.95784</v>
      </c>
      <c r="K15" s="11" t="s">
        <v>174</v>
      </c>
      <c r="L15" s="34" t="s">
        <v>165</v>
      </c>
    </row>
    <row r="16" customFormat="false" ht="23.85" hidden="false" customHeight="false" outlineLevel="0" collapsed="false">
      <c r="A16" s="37" t="s">
        <v>162</v>
      </c>
      <c r="B16" s="21" t="s">
        <v>175</v>
      </c>
      <c r="C16" s="20" t="s">
        <v>27</v>
      </c>
      <c r="D16" s="22" t="n">
        <v>13.29</v>
      </c>
      <c r="E16" s="22" t="n">
        <v>7</v>
      </c>
      <c r="F16" s="22" t="n">
        <v>34.99</v>
      </c>
      <c r="G16" s="23" t="n">
        <f aca="false">F16-(D16+E16)-(F16*0.029+0.3)-(29/50)</f>
        <v>12.80529</v>
      </c>
      <c r="H16" s="25" t="n">
        <f aca="false">IF(F16&gt;0,G16/F16,0)</f>
        <v>0.365969991426122</v>
      </c>
      <c r="I16" s="26" t="n">
        <f aca="false">F16-(D16+E16)-(F16*0.245+0.2)</f>
        <v>5.92745</v>
      </c>
      <c r="J16" s="62" t="n">
        <f aca="false">G16-I16</f>
        <v>6.87784</v>
      </c>
      <c r="K16" s="20" t="s">
        <v>176</v>
      </c>
      <c r="L16" s="37" t="s">
        <v>177</v>
      </c>
    </row>
    <row r="17" customFormat="false" ht="23.85" hidden="false" customHeight="false" outlineLevel="0" collapsed="false">
      <c r="A17" s="34" t="s">
        <v>140</v>
      </c>
      <c r="B17" s="12" t="s">
        <v>178</v>
      </c>
      <c r="C17" s="11" t="s">
        <v>27</v>
      </c>
      <c r="D17" s="13" t="n">
        <v>19.99</v>
      </c>
      <c r="E17" s="13" t="n">
        <v>7</v>
      </c>
      <c r="F17" s="13" t="n">
        <v>44.99</v>
      </c>
      <c r="G17" s="14" t="n">
        <f aca="false">F17-(D17+E17)-(F17*0.029+0.3)-(29/50)</f>
        <v>15.81529</v>
      </c>
      <c r="H17" s="16" t="n">
        <f aca="false">IF(F17&gt;0,G17/F17,0)</f>
        <v>0.351529006445877</v>
      </c>
      <c r="I17" s="17" t="n">
        <f aca="false">F17-(D17+E17)-(F17*0.245+0.2)</f>
        <v>6.77745</v>
      </c>
      <c r="J17" s="61" t="n">
        <f aca="false">G17-I17</f>
        <v>9.03784</v>
      </c>
      <c r="K17" s="11" t="s">
        <v>179</v>
      </c>
      <c r="L17" s="34" t="s">
        <v>180</v>
      </c>
    </row>
    <row r="18" customFormat="false" ht="23.85" hidden="false" customHeight="false" outlineLevel="0" collapsed="false">
      <c r="A18" s="37" t="s">
        <v>140</v>
      </c>
      <c r="B18" s="21" t="s">
        <v>181</v>
      </c>
      <c r="C18" s="20" t="s">
        <v>27</v>
      </c>
      <c r="D18" s="22" t="n">
        <v>18.39</v>
      </c>
      <c r="E18" s="22" t="n">
        <v>7</v>
      </c>
      <c r="F18" s="22" t="n">
        <v>39.99</v>
      </c>
      <c r="G18" s="23" t="n">
        <f aca="false">F18-(D18+E18)-(F18*0.029+0.3)-(29/50)</f>
        <v>12.56029</v>
      </c>
      <c r="H18" s="25" t="n">
        <f aca="false">IF(F18&gt;0,G18/F18,0)</f>
        <v>0.314085771442861</v>
      </c>
      <c r="I18" s="26" t="n">
        <f aca="false">F18-(D18+E18)-(F18*0.245+0.2)</f>
        <v>4.60245</v>
      </c>
      <c r="J18" s="62" t="n">
        <f aca="false">G18-I18</f>
        <v>7.95784</v>
      </c>
      <c r="K18" s="20" t="s">
        <v>182</v>
      </c>
      <c r="L18" s="37" t="s">
        <v>180</v>
      </c>
    </row>
    <row r="19" customFormat="false" ht="35.05" hidden="false" customHeight="false" outlineLevel="0" collapsed="false">
      <c r="A19" s="34" t="s">
        <v>140</v>
      </c>
      <c r="B19" s="12" t="s">
        <v>183</v>
      </c>
      <c r="C19" s="11" t="s">
        <v>27</v>
      </c>
      <c r="D19" s="13" t="n">
        <v>23.09</v>
      </c>
      <c r="E19" s="13" t="n">
        <v>8</v>
      </c>
      <c r="F19" s="13" t="n">
        <v>54.99</v>
      </c>
      <c r="G19" s="14" t="n">
        <f aca="false">F19-(D19+E19)-(F19*0.029+0.3)-(29/50)</f>
        <v>21.42529</v>
      </c>
      <c r="H19" s="16" t="n">
        <f aca="false">IF(F19&gt;0,G19/F19,0)</f>
        <v>0.389621567557738</v>
      </c>
      <c r="I19" s="17" t="n">
        <f aca="false">F19-(D19+E19)-(F19*0.245+0.2)</f>
        <v>10.22745</v>
      </c>
      <c r="J19" s="61" t="n">
        <f aca="false">G19-I19</f>
        <v>11.19784</v>
      </c>
      <c r="K19" s="11" t="s">
        <v>184</v>
      </c>
      <c r="L19" s="34" t="s">
        <v>180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6B"/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185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186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63" t="s">
        <v>187</v>
      </c>
      <c r="B4" s="64" t="s">
        <v>188</v>
      </c>
    </row>
    <row r="5" customFormat="false" ht="15" hidden="false" customHeight="false" outlineLevel="0" collapsed="false">
      <c r="A5" s="65" t="s">
        <v>189</v>
      </c>
      <c r="B5" s="66" t="n">
        <v>300</v>
      </c>
    </row>
    <row r="6" customFormat="false" ht="15" hidden="false" customHeight="false" outlineLevel="0" collapsed="false">
      <c r="A6" s="67" t="s">
        <v>190</v>
      </c>
      <c r="B6" s="68" t="n">
        <v>0.65</v>
      </c>
    </row>
    <row r="7" customFormat="false" ht="15" hidden="false" customHeight="false" outlineLevel="0" collapsed="false">
      <c r="A7" s="65" t="s">
        <v>191</v>
      </c>
      <c r="B7" s="69" t="n">
        <f aca="false">B5/B6</f>
        <v>461.538461538462</v>
      </c>
    </row>
    <row r="8" customFormat="false" ht="15" hidden="false" customHeight="false" outlineLevel="0" collapsed="false">
      <c r="A8" s="67" t="s">
        <v>192</v>
      </c>
      <c r="B8" s="70" t="n">
        <v>0.025</v>
      </c>
    </row>
    <row r="9" customFormat="false" ht="15" hidden="false" customHeight="false" outlineLevel="0" collapsed="false">
      <c r="A9" s="65" t="s">
        <v>193</v>
      </c>
      <c r="B9" s="69" t="n">
        <f aca="false">B7*B8</f>
        <v>11.5384615384615</v>
      </c>
    </row>
    <row r="10" customFormat="false" ht="15" hidden="false" customHeight="false" outlineLevel="0" collapsed="false">
      <c r="A10" s="67" t="s">
        <v>194</v>
      </c>
      <c r="B10" s="68" t="n">
        <v>35</v>
      </c>
    </row>
    <row r="11" customFormat="false" ht="15" hidden="false" customHeight="false" outlineLevel="0" collapsed="false">
      <c r="A11" s="65" t="s">
        <v>195</v>
      </c>
      <c r="B11" s="71" t="n">
        <v>18.5</v>
      </c>
    </row>
    <row r="12" customFormat="false" ht="15" hidden="false" customHeight="false" outlineLevel="0" collapsed="false">
      <c r="A12" s="67" t="s">
        <v>196</v>
      </c>
      <c r="B12" s="70" t="n">
        <v>0.029</v>
      </c>
    </row>
    <row r="13" customFormat="false" ht="15" hidden="false" customHeight="false" outlineLevel="0" collapsed="false">
      <c r="A13" s="65" t="s">
        <v>197</v>
      </c>
      <c r="B13" s="71" t="n">
        <v>0.3</v>
      </c>
    </row>
    <row r="14" customFormat="false" ht="15" hidden="false" customHeight="false" outlineLevel="0" collapsed="false">
      <c r="A14" s="67" t="s">
        <v>198</v>
      </c>
      <c r="B14" s="72" t="n">
        <f aca="false">IF(B9&gt;0,29/B9,0)</f>
        <v>2.51333333333333</v>
      </c>
    </row>
    <row r="16" customFormat="false" ht="15" hidden="false" customHeight="false" outlineLevel="0" collapsed="false">
      <c r="A16" s="63" t="s">
        <v>199</v>
      </c>
      <c r="B16" s="63" t="s">
        <v>200</v>
      </c>
    </row>
    <row r="17" customFormat="false" ht="15" hidden="false" customHeight="false" outlineLevel="0" collapsed="false">
      <c r="A17" s="65" t="s">
        <v>201</v>
      </c>
      <c r="B17" s="73" t="n">
        <f aca="false">B9*B10</f>
        <v>403.846153846154</v>
      </c>
    </row>
    <row r="18" customFormat="false" ht="15" hidden="false" customHeight="false" outlineLevel="0" collapsed="false">
      <c r="A18" s="67" t="s">
        <v>202</v>
      </c>
      <c r="B18" s="74" t="n">
        <f aca="false">B9*B11</f>
        <v>213.461538461538</v>
      </c>
    </row>
    <row r="19" customFormat="false" ht="15" hidden="false" customHeight="false" outlineLevel="0" collapsed="false">
      <c r="A19" s="65" t="s">
        <v>203</v>
      </c>
      <c r="B19" s="73" t="n">
        <f aca="false">B9*(B10*B12+B13)</f>
        <v>15.1730769230769</v>
      </c>
    </row>
    <row r="20" customFormat="false" ht="15" hidden="false" customHeight="false" outlineLevel="0" collapsed="false">
      <c r="A20" s="67" t="s">
        <v>204</v>
      </c>
      <c r="B20" s="74" t="n">
        <f aca="false">29</f>
        <v>29</v>
      </c>
    </row>
    <row r="21" customFormat="false" ht="15" hidden="false" customHeight="false" outlineLevel="0" collapsed="false">
      <c r="A21" s="65" t="s">
        <v>205</v>
      </c>
      <c r="B21" s="73" t="n">
        <f aca="false">B5</f>
        <v>300</v>
      </c>
    </row>
    <row r="22" customFormat="false" ht="15" hidden="false" customHeight="false" outlineLevel="0" collapsed="false">
      <c r="A22" s="67" t="s">
        <v>206</v>
      </c>
      <c r="B22" s="74" t="n">
        <f aca="false">B18+B19+B20+B21</f>
        <v>557.634615384616</v>
      </c>
    </row>
    <row r="23" customFormat="false" ht="15" hidden="false" customHeight="false" outlineLevel="0" collapsed="false">
      <c r="A23" s="65" t="s">
        <v>207</v>
      </c>
      <c r="B23" s="75" t="n">
        <f aca="false">B17-B22</f>
        <v>-153.788461538462</v>
      </c>
    </row>
    <row r="24" customFormat="false" ht="15" hidden="false" customHeight="false" outlineLevel="0" collapsed="false">
      <c r="A24" s="76" t="s">
        <v>208</v>
      </c>
      <c r="B24" s="77" t="n">
        <f aca="false">IF(B5&gt;0,B17/B5,0)</f>
        <v>1.34615384615385</v>
      </c>
    </row>
    <row r="25" customFormat="false" ht="15" hidden="false" customHeight="false" outlineLevel="0" collapsed="false">
      <c r="A25" s="78" t="s">
        <v>209</v>
      </c>
      <c r="B25" s="79" t="n">
        <f aca="false">IF(B9&gt;0,B23/B9,0)</f>
        <v>-13.3283333333333</v>
      </c>
    </row>
    <row r="28" customFormat="false" ht="15" hidden="false" customHeight="false" outlineLevel="0" collapsed="false">
      <c r="A28" s="80" t="s">
        <v>210</v>
      </c>
      <c r="B28" s="80"/>
    </row>
    <row r="29" customFormat="false" ht="57.45" hidden="false" customHeight="false" outlineLevel="0" collapsed="false">
      <c r="A29" s="12" t="s">
        <v>211</v>
      </c>
      <c r="B29" s="16" t="n">
        <f aca="false">IF(B10&gt;0,(B5+29)/(B7*(B10-(B10*B12+B13)-B11)),0)</f>
        <v>0.0469432554055537</v>
      </c>
      <c r="C29" s="81" t="s">
        <v>212</v>
      </c>
    </row>
    <row r="30" customFormat="false" ht="46.25" hidden="false" customHeight="false" outlineLevel="0" collapsed="false">
      <c r="A30" s="21" t="s">
        <v>213</v>
      </c>
      <c r="B30" s="82" t="n">
        <f aca="false">IF(B7&gt;0,B9*(B10-(B10*B12+B13)-B11-29/B9)/B7,0)</f>
        <v>0.316791666666667</v>
      </c>
      <c r="C30" s="83" t="s">
        <v>214</v>
      </c>
    </row>
    <row r="31" customFormat="false" ht="46.25" hidden="false" customHeight="false" outlineLevel="0" collapsed="false">
      <c r="A31" s="12" t="s">
        <v>215</v>
      </c>
      <c r="B31" s="84" t="n">
        <f aca="false">IF(B9&gt;0,(B9*B11+B9*(B12*B10+B13)+29+B5)/B9/(1-B12),0)</f>
        <v>49.771713010642</v>
      </c>
      <c r="C31" s="81" t="s">
        <v>216</v>
      </c>
    </row>
    <row r="34" customFormat="false" ht="17.35" hidden="false" customHeight="false" outlineLevel="0" collapsed="false">
      <c r="A34" s="38" t="s">
        <v>217</v>
      </c>
      <c r="B34" s="38"/>
      <c r="C34" s="38"/>
      <c r="D34" s="38"/>
      <c r="E34" s="38"/>
      <c r="F34" s="38"/>
      <c r="G34" s="38"/>
    </row>
    <row r="35" customFormat="false" ht="23.85" hidden="false" customHeight="false" outlineLevel="0" collapsed="false">
      <c r="A35" s="64" t="s">
        <v>218</v>
      </c>
      <c r="B35" s="85" t="n">
        <v>0.3</v>
      </c>
      <c r="C35" s="85" t="n">
        <v>0.45</v>
      </c>
      <c r="D35" s="85" t="n">
        <v>0.65</v>
      </c>
      <c r="E35" s="85" t="n">
        <v>0.85</v>
      </c>
      <c r="F35" s="85" t="n">
        <v>1</v>
      </c>
      <c r="G35" s="85" t="n">
        <v>1.2</v>
      </c>
    </row>
    <row r="36" customFormat="false" ht="15" hidden="false" customHeight="false" outlineLevel="0" collapsed="false">
      <c r="A36" s="86" t="n">
        <v>0.015</v>
      </c>
      <c r="B36" s="87" t="n">
        <f aca="false">($B$5/0.3)*0.015*($B$10-$B$11-($B$10*$B$12+$B$13))-29-$B$5</f>
        <v>-101.225</v>
      </c>
      <c r="C36" s="87" t="n">
        <f aca="false">($B$5/0.45)*0.015*($B$10-$B$11-($B$10*$B$12+$B$13))-29-$B$5</f>
        <v>-177.15</v>
      </c>
      <c r="D36" s="87" t="n">
        <f aca="false">($B$5/0.65)*0.015*($B$10-$B$11-($B$10*$B$12+$B$13))-29-$B$5</f>
        <v>-223.873076923077</v>
      </c>
      <c r="E36" s="87" t="n">
        <f aca="false">($B$5/0.85)*0.015*($B$10-$B$11-($B$10*$B$12+$B$13))-29-$B$5</f>
        <v>-248.608823529412</v>
      </c>
      <c r="F36" s="87" t="n">
        <f aca="false">($B$5/1)*0.015*($B$10-$B$11-($B$10*$B$12+$B$13))-29-$B$5</f>
        <v>-260.6675</v>
      </c>
      <c r="G36" s="87" t="n">
        <f aca="false">($B$5/1.2)*0.015*($B$10-$B$11-($B$10*$B$12+$B$13))-29-$B$5</f>
        <v>-272.05625</v>
      </c>
    </row>
    <row r="37" customFormat="false" ht="15" hidden="false" customHeight="false" outlineLevel="0" collapsed="false">
      <c r="A37" s="88" t="n">
        <v>0.02</v>
      </c>
      <c r="B37" s="89" t="n">
        <f aca="false">($B$5/0.3)*0.02*($B$10-$B$11-($B$10*$B$12+$B$13))-29-$B$5</f>
        <v>-25.3</v>
      </c>
      <c r="C37" s="89" t="n">
        <f aca="false">($B$5/0.45)*0.02*($B$10-$B$11-($B$10*$B$12+$B$13))-29-$B$5</f>
        <v>-126.533333333333</v>
      </c>
      <c r="D37" s="89" t="n">
        <f aca="false">($B$5/0.65)*0.02*($B$10-$B$11-($B$10*$B$12+$B$13))-29-$B$5</f>
        <v>-188.830769230769</v>
      </c>
      <c r="E37" s="89" t="n">
        <f aca="false">($B$5/0.85)*0.02*($B$10-$B$11-($B$10*$B$12+$B$13))-29-$B$5</f>
        <v>-221.811764705882</v>
      </c>
      <c r="F37" s="89" t="n">
        <f aca="false">($B$5/1)*0.02*($B$10-$B$11-($B$10*$B$12+$B$13))-29-$B$5</f>
        <v>-237.89</v>
      </c>
      <c r="G37" s="89" t="n">
        <f aca="false">($B$5/1.2)*0.02*($B$10-$B$11-($B$10*$B$12+$B$13))-29-$B$5</f>
        <v>-253.075</v>
      </c>
    </row>
    <row r="38" customFormat="false" ht="15" hidden="false" customHeight="false" outlineLevel="0" collapsed="false">
      <c r="A38" s="86" t="n">
        <v>0.025</v>
      </c>
      <c r="B38" s="87" t="n">
        <f aca="false">($B$5/0.3)*0.025*($B$10-$B$11-($B$10*$B$12+$B$13))-29-$B$5</f>
        <v>50.625</v>
      </c>
      <c r="C38" s="87" t="n">
        <f aca="false">($B$5/0.45)*0.025*($B$10-$B$11-($B$10*$B$12+$B$13))-29-$B$5</f>
        <v>-75.9166666666666</v>
      </c>
      <c r="D38" s="87" t="n">
        <f aca="false">($B$5/0.65)*0.025*($B$10-$B$11-($B$10*$B$12+$B$13))-29-$B$5</f>
        <v>-153.788461538462</v>
      </c>
      <c r="E38" s="87" t="n">
        <f aca="false">($B$5/0.85)*0.025*($B$10-$B$11-($B$10*$B$12+$B$13))-29-$B$5</f>
        <v>-195.014705882353</v>
      </c>
      <c r="F38" s="87" t="n">
        <f aca="false">($B$5/1)*0.025*($B$10-$B$11-($B$10*$B$12+$B$13))-29-$B$5</f>
        <v>-215.1125</v>
      </c>
      <c r="G38" s="87" t="n">
        <f aca="false">($B$5/1.2)*0.025*($B$10-$B$11-($B$10*$B$12+$B$13))-29-$B$5</f>
        <v>-234.09375</v>
      </c>
    </row>
    <row r="39" customFormat="false" ht="15" hidden="false" customHeight="false" outlineLevel="0" collapsed="false">
      <c r="A39" s="88" t="n">
        <v>0.03</v>
      </c>
      <c r="B39" s="89" t="n">
        <f aca="false">($B$5/0.3)*0.03*($B$10-$B$11-($B$10*$B$12+$B$13))-29-$B$5</f>
        <v>126.55</v>
      </c>
      <c r="C39" s="89" t="n">
        <f aca="false">($B$5/0.45)*0.03*($B$10-$B$11-($B$10*$B$12+$B$13))-29-$B$5</f>
        <v>-25.3000000000001</v>
      </c>
      <c r="D39" s="89" t="n">
        <f aca="false">($B$5/0.65)*0.03*($B$10-$B$11-($B$10*$B$12+$B$13))-29-$B$5</f>
        <v>-118.746153846154</v>
      </c>
      <c r="E39" s="89" t="n">
        <f aca="false">($B$5/0.85)*0.03*($B$10-$B$11-($B$10*$B$12+$B$13))-29-$B$5</f>
        <v>-168.217647058824</v>
      </c>
      <c r="F39" s="89" t="n">
        <f aca="false">($B$5/1)*0.03*($B$10-$B$11-($B$10*$B$12+$B$13))-29-$B$5</f>
        <v>-192.335</v>
      </c>
      <c r="G39" s="89" t="n">
        <f aca="false">($B$5/1.2)*0.03*($B$10-$B$11-($B$10*$B$12+$B$13))-29-$B$5</f>
        <v>-215.1125</v>
      </c>
    </row>
    <row r="40" customFormat="false" ht="15" hidden="false" customHeight="false" outlineLevel="0" collapsed="false">
      <c r="A40" s="86" t="n">
        <v>0.035</v>
      </c>
      <c r="B40" s="87" t="n">
        <f aca="false">($B$5/0.3)*0.035*($B$10-$B$11-($B$10*$B$12+$B$13))-29-$B$5</f>
        <v>202.475</v>
      </c>
      <c r="C40" s="87" t="n">
        <f aca="false">($B$5/0.45)*0.035*($B$10-$B$11-($B$10*$B$12+$B$13))-29-$B$5</f>
        <v>25.3166666666667</v>
      </c>
      <c r="D40" s="87" t="n">
        <f aca="false">($B$5/0.65)*0.035*($B$10-$B$11-($B$10*$B$12+$B$13))-29-$B$5</f>
        <v>-83.7038461538461</v>
      </c>
      <c r="E40" s="87" t="n">
        <f aca="false">($B$5/0.85)*0.035*($B$10-$B$11-($B$10*$B$12+$B$13))-29-$B$5</f>
        <v>-141.420588235294</v>
      </c>
      <c r="F40" s="87" t="n">
        <f aca="false">($B$5/1)*0.035*($B$10-$B$11-($B$10*$B$12+$B$13))-29-$B$5</f>
        <v>-169.5575</v>
      </c>
      <c r="G40" s="87" t="n">
        <f aca="false">($B$5/1.2)*0.035*($B$10-$B$11-($B$10*$B$12+$B$13))-29-$B$5</f>
        <v>-196.13125</v>
      </c>
    </row>
    <row r="41" customFormat="false" ht="15" hidden="false" customHeight="false" outlineLevel="0" collapsed="false">
      <c r="A41" s="88" t="n">
        <v>0.04</v>
      </c>
      <c r="B41" s="89" t="n">
        <f aca="false">($B$5/0.3)*0.04*($B$10-$B$11-($B$10*$B$12+$B$13))-29-$B$5</f>
        <v>278.4</v>
      </c>
      <c r="C41" s="89" t="n">
        <f aca="false">($B$5/0.45)*0.04*($B$10-$B$11-($B$10*$B$12+$B$13))-29-$B$5</f>
        <v>75.9333333333333</v>
      </c>
      <c r="D41" s="89" t="n">
        <f aca="false">($B$5/0.65)*0.04*($B$10-$B$11-($B$10*$B$12+$B$13))-29-$B$5</f>
        <v>-48.6615384615384</v>
      </c>
      <c r="E41" s="89" t="n">
        <f aca="false">($B$5/0.85)*0.04*($B$10-$B$11-($B$10*$B$12+$B$13))-29-$B$5</f>
        <v>-114.623529411765</v>
      </c>
      <c r="F41" s="89" t="n">
        <f aca="false">($B$5/1)*0.04*($B$10-$B$11-($B$10*$B$12+$B$13))-29-$B$5</f>
        <v>-146.78</v>
      </c>
      <c r="G41" s="89" t="n">
        <f aca="false">($B$5/1.2)*0.04*($B$10-$B$11-($B$10*$B$12+$B$13))-29-$B$5</f>
        <v>-177.15</v>
      </c>
    </row>
    <row r="42" customFormat="false" ht="15" hidden="false" customHeight="false" outlineLevel="0" collapsed="false">
      <c r="A42" s="86" t="n">
        <v>0.05</v>
      </c>
      <c r="B42" s="87" t="n">
        <f aca="false">($B$5/0.3)*0.05*($B$10-$B$11-($B$10*$B$12+$B$13))-29-$B$5</f>
        <v>430.25</v>
      </c>
      <c r="C42" s="87" t="n">
        <f aca="false">($B$5/0.45)*0.05*($B$10-$B$11-($B$10*$B$12+$B$13))-29-$B$5</f>
        <v>177.166666666667</v>
      </c>
      <c r="D42" s="87" t="n">
        <f aca="false">($B$5/0.65)*0.05*($B$10-$B$11-($B$10*$B$12+$B$13))-29-$B$5</f>
        <v>21.423076923077</v>
      </c>
      <c r="E42" s="87" t="n">
        <f aca="false">($B$5/0.85)*0.05*($B$10-$B$11-($B$10*$B$12+$B$13))-29-$B$5</f>
        <v>-61.0294117647059</v>
      </c>
      <c r="F42" s="87" t="n">
        <f aca="false">($B$5/1)*0.05*($B$10-$B$11-($B$10*$B$12+$B$13))-29-$B$5</f>
        <v>-101.225</v>
      </c>
      <c r="G42" s="87" t="n">
        <f aca="false">($B$5/1.2)*0.05*($B$10-$B$11-($B$10*$B$12+$B$13))-29-$B$5</f>
        <v>-139.1875</v>
      </c>
    </row>
  </sheetData>
  <mergeCells count="4">
    <mergeCell ref="A1:G1"/>
    <mergeCell ref="A2:G2"/>
    <mergeCell ref="A28:B28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700"/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35"/>
    <col collapsed="false" customWidth="true" hidden="false" outlineLevel="0" max="7" min="7" style="0" width="25"/>
  </cols>
  <sheetData>
    <row r="1" customFormat="false" ht="17.35" hidden="false" customHeight="false" outlineLevel="0" collapsed="false">
      <c r="A1" s="1" t="s">
        <v>219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220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0" t="s">
        <v>221</v>
      </c>
      <c r="B4" s="10" t="s">
        <v>222</v>
      </c>
      <c r="C4" s="10" t="s">
        <v>223</v>
      </c>
      <c r="D4" s="10" t="s">
        <v>142</v>
      </c>
      <c r="E4" s="10" t="s">
        <v>224</v>
      </c>
      <c r="F4" s="10" t="s">
        <v>225</v>
      </c>
      <c r="G4" s="10" t="s">
        <v>226</v>
      </c>
    </row>
    <row r="5" customFormat="false" ht="60" hidden="false" customHeight="true" outlineLevel="0" collapsed="false">
      <c r="A5" s="90" t="s">
        <v>227</v>
      </c>
      <c r="B5" s="91" t="s">
        <v>228</v>
      </c>
      <c r="C5" s="92" t="s">
        <v>229</v>
      </c>
      <c r="D5" s="93" t="s">
        <v>230</v>
      </c>
      <c r="E5" s="92" t="s">
        <v>231</v>
      </c>
      <c r="F5" s="92" t="s">
        <v>232</v>
      </c>
      <c r="G5" s="94" t="s">
        <v>233</v>
      </c>
    </row>
    <row r="6" customFormat="false" ht="60" hidden="false" customHeight="true" outlineLevel="0" collapsed="false">
      <c r="A6" s="95" t="s">
        <v>234</v>
      </c>
      <c r="B6" s="96" t="s">
        <v>235</v>
      </c>
      <c r="C6" s="97" t="s">
        <v>236</v>
      </c>
      <c r="D6" s="98" t="s">
        <v>90</v>
      </c>
      <c r="E6" s="97" t="s">
        <v>237</v>
      </c>
      <c r="F6" s="97" t="s">
        <v>238</v>
      </c>
      <c r="G6" s="99" t="s">
        <v>239</v>
      </c>
    </row>
    <row r="7" customFormat="false" ht="60" hidden="false" customHeight="true" outlineLevel="0" collapsed="false">
      <c r="A7" s="90" t="s">
        <v>240</v>
      </c>
      <c r="B7" s="91" t="s">
        <v>241</v>
      </c>
      <c r="C7" s="92" t="s">
        <v>242</v>
      </c>
      <c r="D7" s="93" t="s">
        <v>90</v>
      </c>
      <c r="E7" s="92" t="s">
        <v>231</v>
      </c>
      <c r="F7" s="92" t="s">
        <v>243</v>
      </c>
      <c r="G7" s="94" t="s">
        <v>244</v>
      </c>
    </row>
    <row r="8" customFormat="false" ht="60" hidden="false" customHeight="true" outlineLevel="0" collapsed="false">
      <c r="A8" s="95" t="s">
        <v>245</v>
      </c>
      <c r="B8" s="96" t="s">
        <v>246</v>
      </c>
      <c r="C8" s="97" t="s">
        <v>247</v>
      </c>
      <c r="D8" s="98" t="s">
        <v>90</v>
      </c>
      <c r="E8" s="97" t="s">
        <v>231</v>
      </c>
      <c r="F8" s="97" t="s">
        <v>248</v>
      </c>
      <c r="G8" s="99" t="s">
        <v>249</v>
      </c>
    </row>
    <row r="9" customFormat="false" ht="60" hidden="false" customHeight="true" outlineLevel="0" collapsed="false">
      <c r="A9" s="90" t="s">
        <v>250</v>
      </c>
      <c r="B9" s="91" t="s">
        <v>251</v>
      </c>
      <c r="C9" s="92" t="s">
        <v>252</v>
      </c>
      <c r="D9" s="93" t="s">
        <v>253</v>
      </c>
      <c r="E9" s="92" t="s">
        <v>237</v>
      </c>
      <c r="F9" s="92" t="s">
        <v>254</v>
      </c>
      <c r="G9" s="94" t="s">
        <v>255</v>
      </c>
    </row>
    <row r="10" customFormat="false" ht="60" hidden="false" customHeight="true" outlineLevel="0" collapsed="false">
      <c r="A10" s="95" t="s">
        <v>256</v>
      </c>
      <c r="B10" s="96" t="s">
        <v>257</v>
      </c>
      <c r="C10" s="97" t="s">
        <v>258</v>
      </c>
      <c r="D10" s="98" t="s">
        <v>253</v>
      </c>
      <c r="E10" s="97" t="s">
        <v>259</v>
      </c>
      <c r="F10" s="97" t="s">
        <v>260</v>
      </c>
      <c r="G10" s="99" t="s">
        <v>261</v>
      </c>
    </row>
    <row r="11" customFormat="false" ht="60" hidden="false" customHeight="true" outlineLevel="0" collapsed="false">
      <c r="A11" s="90" t="s">
        <v>262</v>
      </c>
      <c r="B11" s="91" t="s">
        <v>263</v>
      </c>
      <c r="C11" s="92" t="s">
        <v>264</v>
      </c>
      <c r="D11" s="93" t="s">
        <v>108</v>
      </c>
      <c r="E11" s="92" t="s">
        <v>265</v>
      </c>
      <c r="F11" s="92" t="s">
        <v>266</v>
      </c>
      <c r="G11" s="94" t="s">
        <v>267</v>
      </c>
    </row>
    <row r="12" customFormat="false" ht="60" hidden="false" customHeight="true" outlineLevel="0" collapsed="false">
      <c r="A12" s="95" t="s">
        <v>268</v>
      </c>
      <c r="B12" s="96" t="s">
        <v>269</v>
      </c>
      <c r="C12" s="97" t="s">
        <v>270</v>
      </c>
      <c r="D12" s="98" t="s">
        <v>271</v>
      </c>
      <c r="E12" s="97" t="s">
        <v>272</v>
      </c>
      <c r="F12" s="97" t="s">
        <v>273</v>
      </c>
      <c r="G12" s="99" t="s">
        <v>274</v>
      </c>
    </row>
    <row r="13" customFormat="false" ht="60" hidden="false" customHeight="true" outlineLevel="0" collapsed="false">
      <c r="A13" s="90" t="s">
        <v>275</v>
      </c>
      <c r="B13" s="91" t="s">
        <v>276</v>
      </c>
      <c r="C13" s="92" t="s">
        <v>277</v>
      </c>
      <c r="D13" s="93" t="s">
        <v>90</v>
      </c>
      <c r="E13" s="92" t="s">
        <v>278</v>
      </c>
      <c r="F13" s="92" t="s">
        <v>279</v>
      </c>
      <c r="G13" s="94" t="s">
        <v>280</v>
      </c>
    </row>
    <row r="14" customFormat="false" ht="60" hidden="false" customHeight="true" outlineLevel="0" collapsed="false">
      <c r="A14" s="95" t="s">
        <v>281</v>
      </c>
      <c r="B14" s="96" t="s">
        <v>282</v>
      </c>
      <c r="C14" s="97" t="s">
        <v>283</v>
      </c>
      <c r="D14" s="98" t="s">
        <v>90</v>
      </c>
      <c r="E14" s="97" t="s">
        <v>259</v>
      </c>
      <c r="F14" s="97" t="s">
        <v>284</v>
      </c>
      <c r="G14" s="99" t="s">
        <v>285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2026-02-24T05:34:42Z</dcterms:created>
  <dc:creator>openpyxl</dc:creator>
  <dc:description/>
  <dc:language>en-US</dc:language>
  <cp:lastModifiedBy/>
  <dcterms:modified xsi:type="dcterms:W3CDTF">2026-02-24T05:34:42Z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