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36EFB723-6BB8-4899-8AD3-4A54215F8A3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ariff Assumptions" sheetId="1" r:id="rId1"/>
    <sheet name="Dresses — PeaPrint vs Yoycol" sheetId="2" r:id="rId2"/>
    <sheet name="Hoodies Tees — All 3 Suppliers" sheetId="3" r:id="rId3"/>
    <sheet name="Tariff Sensitivity" sheetId="4" r:id="rId4"/>
    <sheet name="Recommendations" sheetId="5" r:id="rId5"/>
    <sheet name="Delivery Times" sheetId="6" r:id="rId6"/>
    <sheet name="Dress Priority Queue" sheetId="7" r:id="rId7"/>
    <sheet name="Hoodie-Tee Priority Queue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3" i="8" l="1"/>
  <c r="I23" i="8"/>
  <c r="I22" i="8"/>
  <c r="K22" i="8" s="1"/>
  <c r="I21" i="8"/>
  <c r="K21" i="8" s="1"/>
  <c r="I20" i="8"/>
  <c r="K20" i="8" s="1"/>
  <c r="I19" i="8"/>
  <c r="K19" i="8" s="1"/>
  <c r="I18" i="8"/>
  <c r="K18" i="8" s="1"/>
  <c r="I17" i="8"/>
  <c r="K17" i="8" s="1"/>
  <c r="I16" i="8"/>
  <c r="K16" i="8" s="1"/>
  <c r="I15" i="8"/>
  <c r="K15" i="8" s="1"/>
  <c r="I14" i="8"/>
  <c r="K14" i="8" s="1"/>
  <c r="K13" i="8"/>
  <c r="I13" i="8"/>
  <c r="I12" i="8"/>
  <c r="K12" i="8" s="1"/>
  <c r="I11" i="8"/>
  <c r="K11" i="8" s="1"/>
  <c r="I10" i="8"/>
  <c r="K10" i="8" s="1"/>
  <c r="I9" i="8"/>
  <c r="K9" i="8" s="1"/>
  <c r="I8" i="8"/>
  <c r="K8" i="8" s="1"/>
  <c r="I7" i="8"/>
  <c r="K7" i="8" s="1"/>
  <c r="I6" i="8"/>
  <c r="K6" i="8" s="1"/>
  <c r="J20" i="7"/>
  <c r="I20" i="7"/>
  <c r="G20" i="7"/>
  <c r="J19" i="7"/>
  <c r="I19" i="7"/>
  <c r="G19" i="7"/>
  <c r="G18" i="7"/>
  <c r="J18" i="7" s="1"/>
  <c r="G17" i="7"/>
  <c r="J17" i="7" s="1"/>
  <c r="G16" i="7"/>
  <c r="J16" i="7" s="1"/>
  <c r="G15" i="7"/>
  <c r="J14" i="7"/>
  <c r="I14" i="7"/>
  <c r="G14" i="7"/>
  <c r="J13" i="7"/>
  <c r="G13" i="7"/>
  <c r="I13" i="7" s="1"/>
  <c r="J12" i="7"/>
  <c r="G12" i="7"/>
  <c r="I12" i="7" s="1"/>
  <c r="G11" i="7"/>
  <c r="J11" i="7" s="1"/>
  <c r="G10" i="7"/>
  <c r="I10" i="7" s="1"/>
  <c r="G9" i="7"/>
  <c r="J9" i="7" s="1"/>
  <c r="G8" i="7"/>
  <c r="J8" i="7" s="1"/>
  <c r="J7" i="7"/>
  <c r="G7" i="7"/>
  <c r="I7" i="7" s="1"/>
  <c r="I6" i="7"/>
  <c r="G6" i="7"/>
  <c r="J6" i="7" s="1"/>
  <c r="K18" i="4"/>
  <c r="J18" i="4"/>
  <c r="H18" i="4"/>
  <c r="I18" i="4" s="1"/>
  <c r="F18" i="4"/>
  <c r="G18" i="4" s="1"/>
  <c r="J17" i="4"/>
  <c r="K17" i="4" s="1"/>
  <c r="H17" i="4"/>
  <c r="I17" i="4" s="1"/>
  <c r="F17" i="4"/>
  <c r="G17" i="4" s="1"/>
  <c r="L16" i="4"/>
  <c r="J16" i="4"/>
  <c r="K16" i="4" s="1"/>
  <c r="H16" i="4"/>
  <c r="I16" i="4" s="1"/>
  <c r="F16" i="4"/>
  <c r="G16" i="4" s="1"/>
  <c r="L15" i="4"/>
  <c r="K15" i="4"/>
  <c r="J15" i="4"/>
  <c r="H15" i="4"/>
  <c r="I15" i="4" s="1"/>
  <c r="F15" i="4"/>
  <c r="G15" i="4" s="1"/>
  <c r="J14" i="4"/>
  <c r="K14" i="4" s="1"/>
  <c r="H14" i="4"/>
  <c r="I14" i="4" s="1"/>
  <c r="F14" i="4"/>
  <c r="G14" i="4" s="1"/>
  <c r="L13" i="4"/>
  <c r="J13" i="4"/>
  <c r="K13" i="4" s="1"/>
  <c r="H13" i="4"/>
  <c r="I13" i="4" s="1"/>
  <c r="F13" i="4"/>
  <c r="G13" i="4" s="1"/>
  <c r="L12" i="4"/>
  <c r="K12" i="4"/>
  <c r="J12" i="4"/>
  <c r="H12" i="4"/>
  <c r="I12" i="4" s="1"/>
  <c r="F12" i="4"/>
  <c r="G12" i="4" s="1"/>
  <c r="L11" i="4"/>
  <c r="J11" i="4"/>
  <c r="K11" i="4" s="1"/>
  <c r="H11" i="4"/>
  <c r="I11" i="4" s="1"/>
  <c r="F11" i="4"/>
  <c r="G11" i="4" s="1"/>
  <c r="L10" i="4"/>
  <c r="K10" i="4"/>
  <c r="J10" i="4"/>
  <c r="I10" i="4"/>
  <c r="H10" i="4"/>
  <c r="G10" i="4"/>
  <c r="F10" i="4"/>
  <c r="L9" i="4"/>
  <c r="J9" i="4"/>
  <c r="K9" i="4" s="1"/>
  <c r="H9" i="4"/>
  <c r="I9" i="4" s="1"/>
  <c r="F9" i="4"/>
  <c r="G9" i="4" s="1"/>
  <c r="L8" i="4"/>
  <c r="J8" i="4"/>
  <c r="K8" i="4" s="1"/>
  <c r="H8" i="4"/>
  <c r="I8" i="4" s="1"/>
  <c r="F8" i="4"/>
  <c r="G8" i="4" s="1"/>
  <c r="L7" i="4"/>
  <c r="J7" i="4"/>
  <c r="K7" i="4" s="1"/>
  <c r="I7" i="4"/>
  <c r="H7" i="4"/>
  <c r="F7" i="4"/>
  <c r="G7" i="4" s="1"/>
  <c r="L6" i="4"/>
  <c r="J6" i="4"/>
  <c r="K6" i="4" s="1"/>
  <c r="H6" i="4"/>
  <c r="I6" i="4" s="1"/>
  <c r="F6" i="4"/>
  <c r="G6" i="4" s="1"/>
  <c r="O14" i="3"/>
  <c r="J14" i="3"/>
  <c r="H14" i="3"/>
  <c r="K14" i="3" s="1"/>
  <c r="L14" i="3" s="1"/>
  <c r="O13" i="3"/>
  <c r="J13" i="3"/>
  <c r="F13" i="3"/>
  <c r="H13" i="3" s="1"/>
  <c r="O12" i="3"/>
  <c r="J12" i="3"/>
  <c r="F12" i="3"/>
  <c r="H12" i="3" s="1"/>
  <c r="K12" i="3" s="1"/>
  <c r="L12" i="3" s="1"/>
  <c r="O11" i="3"/>
  <c r="J11" i="3"/>
  <c r="H11" i="3"/>
  <c r="K11" i="3" s="1"/>
  <c r="L11" i="3" s="1"/>
  <c r="O10" i="3"/>
  <c r="J10" i="3"/>
  <c r="F10" i="3"/>
  <c r="H10" i="3" s="1"/>
  <c r="K10" i="3" s="1"/>
  <c r="L10" i="3" s="1"/>
  <c r="O9" i="3"/>
  <c r="J9" i="3"/>
  <c r="F9" i="3"/>
  <c r="H9" i="3" s="1"/>
  <c r="K9" i="3" s="1"/>
  <c r="L9" i="3" s="1"/>
  <c r="O8" i="3"/>
  <c r="J8" i="3"/>
  <c r="F8" i="3"/>
  <c r="H8" i="3" s="1"/>
  <c r="K8" i="3" s="1"/>
  <c r="L8" i="3" s="1"/>
  <c r="O7" i="3"/>
  <c r="J7" i="3"/>
  <c r="F7" i="3"/>
  <c r="H7" i="3" s="1"/>
  <c r="K7" i="3" s="1"/>
  <c r="L7" i="3" s="1"/>
  <c r="O6" i="3"/>
  <c r="K6" i="3"/>
  <c r="L6" i="3" s="1"/>
  <c r="J6" i="3"/>
  <c r="H6" i="3"/>
  <c r="L34" i="2"/>
  <c r="I34" i="2"/>
  <c r="E34" i="2"/>
  <c r="G34" i="2" s="1"/>
  <c r="L33" i="2"/>
  <c r="I33" i="2"/>
  <c r="E33" i="2"/>
  <c r="G33" i="2" s="1"/>
  <c r="L32" i="2"/>
  <c r="I32" i="2"/>
  <c r="E32" i="2"/>
  <c r="G32" i="2" s="1"/>
  <c r="L31" i="2"/>
  <c r="I31" i="2"/>
  <c r="E31" i="2"/>
  <c r="G31" i="2" s="1"/>
  <c r="L30" i="2"/>
  <c r="M30" i="2" s="1"/>
  <c r="N30" i="2" s="1"/>
  <c r="I30" i="2"/>
  <c r="J30" i="2" s="1"/>
  <c r="K30" i="2" s="1"/>
  <c r="G30" i="2"/>
  <c r="E30" i="2"/>
  <c r="L29" i="2"/>
  <c r="I29" i="2"/>
  <c r="E29" i="2"/>
  <c r="G29" i="2" s="1"/>
  <c r="L28" i="2"/>
  <c r="I28" i="2"/>
  <c r="E28" i="2"/>
  <c r="G28" i="2" s="1"/>
  <c r="L27" i="2"/>
  <c r="I27" i="2"/>
  <c r="E27" i="2"/>
  <c r="G27" i="2" s="1"/>
  <c r="L26" i="2"/>
  <c r="I26" i="2"/>
  <c r="E26" i="2"/>
  <c r="G26" i="2" s="1"/>
  <c r="L25" i="2"/>
  <c r="M25" i="2" s="1"/>
  <c r="N25" i="2" s="1"/>
  <c r="I25" i="2"/>
  <c r="J25" i="2" s="1"/>
  <c r="K25" i="2" s="1"/>
  <c r="G25" i="2"/>
  <c r="E25" i="2"/>
  <c r="L24" i="2"/>
  <c r="I24" i="2"/>
  <c r="E24" i="2"/>
  <c r="G24" i="2" s="1"/>
  <c r="L23" i="2"/>
  <c r="I23" i="2"/>
  <c r="E23" i="2"/>
  <c r="G23" i="2" s="1"/>
  <c r="L22" i="2"/>
  <c r="I22" i="2"/>
  <c r="E22" i="2"/>
  <c r="G22" i="2" s="1"/>
  <c r="L21" i="2"/>
  <c r="I21" i="2"/>
  <c r="E21" i="2"/>
  <c r="G21" i="2" s="1"/>
  <c r="L20" i="2"/>
  <c r="M20" i="2" s="1"/>
  <c r="N20" i="2" s="1"/>
  <c r="I20" i="2"/>
  <c r="J20" i="2" s="1"/>
  <c r="K20" i="2" s="1"/>
  <c r="G20" i="2"/>
  <c r="E20" i="2"/>
  <c r="L19" i="2"/>
  <c r="I19" i="2"/>
  <c r="E19" i="2"/>
  <c r="G19" i="2" s="1"/>
  <c r="L18" i="2"/>
  <c r="I18" i="2"/>
  <c r="E18" i="2"/>
  <c r="G18" i="2" s="1"/>
  <c r="L17" i="2"/>
  <c r="I17" i="2"/>
  <c r="E17" i="2"/>
  <c r="G17" i="2" s="1"/>
  <c r="L16" i="2"/>
  <c r="I16" i="2"/>
  <c r="E16" i="2"/>
  <c r="G16" i="2" s="1"/>
  <c r="L15" i="2"/>
  <c r="M15" i="2" s="1"/>
  <c r="N15" i="2" s="1"/>
  <c r="I15" i="2"/>
  <c r="J15" i="2" s="1"/>
  <c r="K15" i="2" s="1"/>
  <c r="G15" i="2"/>
  <c r="E15" i="2"/>
  <c r="L14" i="2"/>
  <c r="I14" i="2"/>
  <c r="E14" i="2"/>
  <c r="G14" i="2" s="1"/>
  <c r="L13" i="2"/>
  <c r="I13" i="2"/>
  <c r="E13" i="2"/>
  <c r="G13" i="2" s="1"/>
  <c r="L12" i="2"/>
  <c r="I12" i="2"/>
  <c r="E12" i="2"/>
  <c r="G12" i="2" s="1"/>
  <c r="L11" i="2"/>
  <c r="I11" i="2"/>
  <c r="E11" i="2"/>
  <c r="G11" i="2" s="1"/>
  <c r="L10" i="2"/>
  <c r="M10" i="2" s="1"/>
  <c r="N10" i="2" s="1"/>
  <c r="I10" i="2"/>
  <c r="J10" i="2" s="1"/>
  <c r="K10" i="2" s="1"/>
  <c r="G10" i="2"/>
  <c r="E10" i="2"/>
  <c r="L9" i="2"/>
  <c r="I9" i="2"/>
  <c r="E9" i="2"/>
  <c r="G9" i="2" s="1"/>
  <c r="L8" i="2"/>
  <c r="I8" i="2"/>
  <c r="E8" i="2"/>
  <c r="G8" i="2" s="1"/>
  <c r="L7" i="2"/>
  <c r="I7" i="2"/>
  <c r="E7" i="2"/>
  <c r="G7" i="2" s="1"/>
  <c r="L6" i="2"/>
  <c r="I6" i="2"/>
  <c r="E6" i="2"/>
  <c r="G6" i="2" s="1"/>
  <c r="E19" i="1"/>
  <c r="E18" i="1"/>
  <c r="E17" i="1"/>
  <c r="E16" i="1"/>
  <c r="E15" i="1"/>
  <c r="E14" i="1"/>
  <c r="K13" i="3" l="1"/>
  <c r="L13" i="3" s="1"/>
  <c r="M8" i="2"/>
  <c r="N8" i="2" s="1"/>
  <c r="J8" i="2"/>
  <c r="K8" i="2" s="1"/>
  <c r="M33" i="2"/>
  <c r="N33" i="2" s="1"/>
  <c r="J33" i="2"/>
  <c r="K33" i="2" s="1"/>
  <c r="J28" i="2"/>
  <c r="K28" i="2" s="1"/>
  <c r="M28" i="2"/>
  <c r="N28" i="2" s="1"/>
  <c r="M13" i="2"/>
  <c r="N13" i="2" s="1"/>
  <c r="J13" i="2"/>
  <c r="K13" i="2" s="1"/>
  <c r="J23" i="2"/>
  <c r="K23" i="2" s="1"/>
  <c r="M23" i="2"/>
  <c r="N23" i="2" s="1"/>
  <c r="M18" i="2"/>
  <c r="N18" i="2" s="1"/>
  <c r="J18" i="2"/>
  <c r="K18" i="2" s="1"/>
  <c r="M16" i="2"/>
  <c r="N16" i="2" s="1"/>
  <c r="J16" i="2"/>
  <c r="K16" i="2" s="1"/>
  <c r="M31" i="2"/>
  <c r="N31" i="2" s="1"/>
  <c r="J31" i="2"/>
  <c r="K31" i="2" s="1"/>
  <c r="J15" i="7"/>
  <c r="I15" i="7"/>
  <c r="M12" i="2"/>
  <c r="N12" i="2" s="1"/>
  <c r="J12" i="2"/>
  <c r="K12" i="2" s="1"/>
  <c r="M27" i="2"/>
  <c r="N27" i="2" s="1"/>
  <c r="J27" i="2"/>
  <c r="K27" i="2" s="1"/>
  <c r="M17" i="2"/>
  <c r="N17" i="2" s="1"/>
  <c r="J17" i="2"/>
  <c r="K17" i="2" s="1"/>
  <c r="J9" i="2"/>
  <c r="K9" i="2" s="1"/>
  <c r="M9" i="2"/>
  <c r="N9" i="2" s="1"/>
  <c r="M29" i="2"/>
  <c r="N29" i="2" s="1"/>
  <c r="J29" i="2"/>
  <c r="K29" i="2" s="1"/>
  <c r="I8" i="7"/>
  <c r="M6" i="2"/>
  <c r="N6" i="2" s="1"/>
  <c r="J6" i="2"/>
  <c r="K6" i="2" s="1"/>
  <c r="M11" i="2"/>
  <c r="N11" i="2" s="1"/>
  <c r="J11" i="2"/>
  <c r="K11" i="2" s="1"/>
  <c r="M26" i="2"/>
  <c r="N26" i="2" s="1"/>
  <c r="J26" i="2"/>
  <c r="K26" i="2" s="1"/>
  <c r="M22" i="2"/>
  <c r="N22" i="2" s="1"/>
  <c r="J22" i="2"/>
  <c r="K22" i="2" s="1"/>
  <c r="J14" i="2"/>
  <c r="K14" i="2" s="1"/>
  <c r="M14" i="2"/>
  <c r="N14" i="2" s="1"/>
  <c r="J24" i="2"/>
  <c r="K24" i="2" s="1"/>
  <c r="M24" i="2"/>
  <c r="N24" i="2" s="1"/>
  <c r="M21" i="2"/>
  <c r="N21" i="2" s="1"/>
  <c r="J21" i="2"/>
  <c r="K21" i="2" s="1"/>
  <c r="M7" i="2"/>
  <c r="N7" i="2" s="1"/>
  <c r="J7" i="2"/>
  <c r="K7" i="2" s="1"/>
  <c r="M32" i="2"/>
  <c r="N32" i="2" s="1"/>
  <c r="J32" i="2"/>
  <c r="K32" i="2" s="1"/>
  <c r="M34" i="2"/>
  <c r="N34" i="2" s="1"/>
  <c r="J34" i="2"/>
  <c r="K34" i="2" s="1"/>
  <c r="M19" i="2"/>
  <c r="N19" i="2" s="1"/>
  <c r="J19" i="2"/>
  <c r="K19" i="2" s="1"/>
  <c r="I9" i="7"/>
  <c r="I16" i="7"/>
  <c r="I11" i="7"/>
  <c r="J10" i="7"/>
  <c r="I17" i="7"/>
  <c r="I18" i="7"/>
</calcChain>
</file>

<file path=xl/sharedStrings.xml><?xml version="1.0" encoding="utf-8"?>
<sst xmlns="http://schemas.openxmlformats.org/spreadsheetml/2006/main" count="625" uniqueCount="401">
  <si>
    <t>POD Supplier Comparison — Tariff &amp; Margin Analysis</t>
  </si>
  <si>
    <t>March 3, 2026 | LunarAuraDesignStore | Niches: Floral, Boho, Vintage, Animals</t>
  </si>
  <si>
    <t>Current US Tariff Layers on Chinese Apparel (Post-SCOTUS Feb 20, 2026)</t>
  </si>
  <si>
    <t>Tariff Layer</t>
  </si>
  <si>
    <t>Authority</t>
  </si>
  <si>
    <t>Rate</t>
  </si>
  <si>
    <t>Status</t>
  </si>
  <si>
    <t>Expiry</t>
  </si>
  <si>
    <t>Notes</t>
  </si>
  <si>
    <t>Base HTS Duty</t>
  </si>
  <si>
    <t>HTS Schedule</t>
  </si>
  <si>
    <t>8–16%</t>
  </si>
  <si>
    <t>Permanent</t>
  </si>
  <si>
    <t>—</t>
  </si>
  <si>
    <t>Polyester apparel typically 8-16% depending on HTS code</t>
  </si>
  <si>
    <t>Section 301 (List 4A)</t>
  </si>
  <si>
    <t>USTR / Trade Act</t>
  </si>
  <si>
    <t>7.5%</t>
  </si>
  <si>
    <t>Active</t>
  </si>
  <si>
    <t>Indefinite</t>
  </si>
  <si>
    <t>Applied to most Chinese apparel since 2019</t>
  </si>
  <si>
    <t>Section 122 Global</t>
  </si>
  <si>
    <t>Trade Act of 1974</t>
  </si>
  <si>
    <t>15%</t>
  </si>
  <si>
    <t>Active (NEW)</t>
  </si>
  <si>
    <t>Jul 24, 2026</t>
  </si>
  <si>
    <t>Imposed Feb 24 after SCOTUS struck IEEPA</t>
  </si>
  <si>
    <t>Fentanyl Duty</t>
  </si>
  <si>
    <t>IEEPA (struck down)</t>
  </si>
  <si>
    <t>0%</t>
  </si>
  <si>
    <t>STRUCK DOWN</t>
  </si>
  <si>
    <t>Feb 20, 2026</t>
  </si>
  <si>
    <t>Was 20%; SCOTUS ruled IEEPA tariffs unconstitutional</t>
  </si>
  <si>
    <t>IEEPA Reciprocal</t>
  </si>
  <si>
    <t>Was up to 145%; eliminated by SCOTUS 6-3</t>
  </si>
  <si>
    <t>Estimated Combined Tariff Rate Scenarios</t>
  </si>
  <si>
    <t>Scenario</t>
  </si>
  <si>
    <t>Base HTS</t>
  </si>
  <si>
    <t>Section 301</t>
  </si>
  <si>
    <t>Section 122</t>
  </si>
  <si>
    <t>Total Rate</t>
  </si>
  <si>
    <t>Calculation</t>
  </si>
  <si>
    <t>Low (now)</t>
  </si>
  <si>
    <t>8% + 7.5% + 15% = 30.5%</t>
  </si>
  <si>
    <t>Mid (now) — USED</t>
  </si>
  <si>
    <t>12% + 7.5% + 15% = 34.5%</t>
  </si>
  <si>
    <t>High (now)</t>
  </si>
  <si>
    <t>16% + 7.5% + 15% = 38.5%</t>
  </si>
  <si>
    <t>After Jul 2026 (low)</t>
  </si>
  <si>
    <t>8% + 7.5% + 0% = 15.5%</t>
  </si>
  <si>
    <t>After Jul 2026 (mid)</t>
  </si>
  <si>
    <t>12% + 7.5% + 0% = 19.5%</t>
  </si>
  <si>
    <t>After Jul 2026 (high)</t>
  </si>
  <si>
    <t>16% + 7.5% + 0% = 23.5%</t>
  </si>
  <si>
    <t>Key Assumptions for This Analysis</t>
  </si>
  <si>
    <t>Assumption</t>
  </si>
  <si>
    <t>Value</t>
  </si>
  <si>
    <t>Tariff scenario used</t>
  </si>
  <si>
    <t>Mid estimate (34.5%)</t>
  </si>
  <si>
    <t>Applied to China-sourced suppliers (PeaPrint, Yoycol) only</t>
  </si>
  <si>
    <t>Printify tariff</t>
  </si>
  <si>
    <t>MWW On Demand / Miami Sublimation = US-based production, no import duties</t>
  </si>
  <si>
    <t>Etsy fee rate</t>
  </si>
  <si>
    <t>10.1%</t>
  </si>
  <si>
    <t>Transaction 6.5% + Payment 3% + $0.25 + listing $0.20 (no offsite ads)</t>
  </si>
  <si>
    <t>Google Shopping fee</t>
  </si>
  <si>
    <t>~3%</t>
  </si>
  <si>
    <t>Payment processing only (no marketplace fees)</t>
  </si>
  <si>
    <t>PeaPrint shipping (US)</t>
  </si>
  <si>
    <t>$9.77 flat</t>
  </si>
  <si>
    <t>All products, standard shipping, ~10-15 business days</t>
  </si>
  <si>
    <t>Yoycol shipping (US)</t>
  </si>
  <si>
    <t>$10–15 standard</t>
  </si>
  <si>
    <t>Using $13 mid-estimate for standard (Yun Express / 4PX)</t>
  </si>
  <si>
    <t>Printify shipping (US)</t>
  </si>
  <si>
    <t>$6.09–$8.59</t>
  </si>
  <si>
    <t>Tee $6.09, Hoodie/Sweatshirt $8.59 (domestic)</t>
  </si>
  <si>
    <t>Perpetual 50% sale</t>
  </si>
  <si>
    <t>Yes</t>
  </si>
  <si>
    <t>Listed at 2x, sold at 50% off. All suppliers.</t>
  </si>
  <si>
    <t>Buyer pays shipping</t>
  </si>
  <si>
    <t>Shipping not included in sale price (all channels)</t>
  </si>
  <si>
    <t>De minimis ($800)</t>
  </si>
  <si>
    <t>NOT applied</t>
  </si>
  <si>
    <t>Conservative: assume tariffs apply to all orders</t>
  </si>
  <si>
    <t>PeaPrint production</t>
  </si>
  <si>
    <t>2-5 days</t>
  </si>
  <si>
    <t>China-based, similar to Yoycol</t>
  </si>
  <si>
    <t>Yoycol production</t>
  </si>
  <si>
    <t>2.5 days avg</t>
  </si>
  <si>
    <t>90% within 4 days, guaranteed within 7 days</t>
  </si>
  <si>
    <t>Printify production</t>
  </si>
  <si>
    <t>US-based (MWW NC, Miami FL), domestic shipping 3-7 days</t>
  </si>
  <si>
    <t>AOP Dress Comparison: PeaPrint vs Yoycol</t>
  </si>
  <si>
    <t>Target niches: Dark Floral, Boho, Cottagecore, Celestial, Vintage, Whimsigoth | Channels: Etsy + Google Shopping</t>
  </si>
  <si>
    <t>Tariff Rate (China):</t>
  </si>
  <si>
    <t>Etsy Fee:</t>
  </si>
  <si>
    <t>Google Fee:</t>
  </si>
  <si>
    <t>#</t>
  </si>
  <si>
    <t>Dress Style</t>
  </si>
  <si>
    <t>Supplier</t>
  </si>
  <si>
    <t>COGS</t>
  </si>
  <si>
    <t>Tariff (34.5%)</t>
  </si>
  <si>
    <t>Shipping</t>
  </si>
  <si>
    <t>Landed Cost</t>
  </si>
  <si>
    <t>Sale Price</t>
  </si>
  <si>
    <t>Etsy Fees</t>
  </si>
  <si>
    <t>Etsy Profit</t>
  </si>
  <si>
    <t>Etsy Margin</t>
  </si>
  <si>
    <t>Google Fees</t>
  </si>
  <si>
    <t>Google Profit</t>
  </si>
  <si>
    <t>Google Margin</t>
  </si>
  <si>
    <t>Slim Fit Spaghetti Strap Dress</t>
  </si>
  <si>
    <t>PeaPrint</t>
  </si>
  <si>
    <t>Slip Dress</t>
  </si>
  <si>
    <t>Yoycol</t>
  </si>
  <si>
    <t>Short Cami Dress</t>
  </si>
  <si>
    <t>Midi Spaghetti Strap Dress</t>
  </si>
  <si>
    <t>V-Neck Dress Full Printing</t>
  </si>
  <si>
    <t>Off-shoulder Dress w/ Ruffle</t>
  </si>
  <si>
    <t>Round Neck Flared Dress</t>
  </si>
  <si>
    <t>High Waisted V-Neck Dress</t>
  </si>
  <si>
    <t>Ruffle Sleeve Dress</t>
  </si>
  <si>
    <t>Long Sleeve Dress</t>
  </si>
  <si>
    <t>Long Dress with Slit</t>
  </si>
  <si>
    <t>Shift Dress</t>
  </si>
  <si>
    <t>Tunic Dress</t>
  </si>
  <si>
    <t>Short Sleeve V Neck Midi</t>
  </si>
  <si>
    <t>Ruffled V-Neck Dress</t>
  </si>
  <si>
    <t>Ruffle Hem Dress</t>
  </si>
  <si>
    <t>Side Slit Midi Dress</t>
  </si>
  <si>
    <t>Round Neck 3/4 Sleeve Maxi Dress</t>
  </si>
  <si>
    <t>V-Neck Maxi Dress (Elegant)</t>
  </si>
  <si>
    <t>Sleeveless Ankle Length Maxi Dress</t>
  </si>
  <si>
    <t>Elegant Long Dress</t>
  </si>
  <si>
    <t>Wide Round Neck 3/4 Sleeve Maxi</t>
  </si>
  <si>
    <t>Hoodie Dress</t>
  </si>
  <si>
    <t>Halter Skater Dress</t>
  </si>
  <si>
    <t>Spaghetti Strap Dress</t>
  </si>
  <si>
    <t>Beach Cover-Up Dress</t>
  </si>
  <si>
    <t>Velvet Shine Maxi Dress</t>
  </si>
  <si>
    <t>AOP Hoodie / Tee / Sweatshirt Comparison: PeaPrint vs Printify (+ Yoycol reference)</t>
  </si>
  <si>
    <t>Target niches: Japanese Art, Celestial/Boho, Mushroom, Gothic, Animals, Floral/Vintage | Channel: Etsy</t>
  </si>
  <si>
    <t>Printify Tariff:</t>
  </si>
  <si>
    <t>Product</t>
  </si>
  <si>
    <t>Origin</t>
  </si>
  <si>
    <t>COGS (M)</t>
  </si>
  <si>
    <t>Tariff</t>
  </si>
  <si>
    <t>Profit</t>
  </si>
  <si>
    <t>Margin</t>
  </si>
  <si>
    <t>Ship Days</t>
  </si>
  <si>
    <t>Prod Days</t>
  </si>
  <si>
    <t>Total Days</t>
  </si>
  <si>
    <t>AOP Hoodie (BP450)</t>
  </si>
  <si>
    <t>Printify</t>
  </si>
  <si>
    <t>USA (NC)</t>
  </si>
  <si>
    <t>3-7</t>
  </si>
  <si>
    <t>2-5</t>
  </si>
  <si>
    <t>Graphic Hoodie</t>
  </si>
  <si>
    <t>China</t>
  </si>
  <si>
    <t>10-15</t>
  </si>
  <si>
    <t>V-Neck Long Sleeve Hoodie</t>
  </si>
  <si>
    <t>Lady Hoodie</t>
  </si>
  <si>
    <t>Lightweight Women's Hoodie</t>
  </si>
  <si>
    <t>AOP Sweatshirt (BP449)</t>
  </si>
  <si>
    <t>Ruffled Sweatshirt</t>
  </si>
  <si>
    <t>Turtleneck Sweater</t>
  </si>
  <si>
    <t>AOP Tee (BP1242)</t>
  </si>
  <si>
    <t>USA (FL)</t>
  </si>
  <si>
    <t>Tariff Sensitivity: Now (34.5%) vs After July 2026 (19.5%) vs No Tariff</t>
  </si>
  <si>
    <t>Shows impact on key target products across all suppliers</t>
  </si>
  <si>
    <t>Current Tariff:</t>
  </si>
  <si>
    <t>Post-Jul 2026:</t>
  </si>
  <si>
    <t>Ship</t>
  </si>
  <si>
    <t>Sale</t>
  </si>
  <si>
    <t>Profit (No Tariff)</t>
  </si>
  <si>
    <t>Margin (No Tariff)</t>
  </si>
  <si>
    <t>Profit (34.5%)</t>
  </si>
  <si>
    <t>Margin (34.5%)</t>
  </si>
  <si>
    <t>Profit (19.5%)</t>
  </si>
  <si>
    <t>Margin (19.5%)</t>
  </si>
  <si>
    <t>Tariff Cost Δ (Now vs Post-Jul)</t>
  </si>
  <si>
    <t>Slim Fit Spaghetti Strap</t>
  </si>
  <si>
    <t>Round Neck 3/4 Sleeve Maxi</t>
  </si>
  <si>
    <t>Supplier Recommendation by Product Category</t>
  </si>
  <si>
    <t>Decision factors: Profit margin, Shipping speed, Quality/Print method, Tariff exposure</t>
  </si>
  <si>
    <t>Category</t>
  </si>
  <si>
    <t>Winner</t>
  </si>
  <si>
    <t>Runner-Up</t>
  </si>
  <si>
    <t>Key Reason</t>
  </si>
  <si>
    <t>Margin Advantage</t>
  </si>
  <si>
    <t>Shipping Advantage</t>
  </si>
  <si>
    <t>Tariff Risk</t>
  </si>
  <si>
    <t>Recommendation</t>
  </si>
  <si>
    <t>AOP Dresses (entry $35)</t>
  </si>
  <si>
    <t>Lower COGS ($5-7 vs $7-8) + lower shipping ($9.77 vs $13)</t>
  </si>
  <si>
    <t>+$3-5/unit</t>
  </si>
  <si>
    <t>Similar (China→US)</t>
  </si>
  <si>
    <t>Same (both China)</t>
  </si>
  <si>
    <t>USE PEAPRINT — best margin for entry dresses on Etsy &amp; Google Shopping</t>
  </si>
  <si>
    <t>AOP Dresses (mid $40-45)</t>
  </si>
  <si>
    <t>PeaPrint COGS consistently $3-7 lower for comparable styles</t>
  </si>
  <si>
    <t>+$4-8/unit</t>
  </si>
  <si>
    <t>Similar</t>
  </si>
  <si>
    <t>Same</t>
  </si>
  <si>
    <t>USE PEAPRINT — significant cost advantage at mid tier</t>
  </si>
  <si>
    <t>AOP Dresses (premium $50)</t>
  </si>
  <si>
    <t>PeaPrint maxi dresses $10-13 vs Yoycol $14-16 COGS</t>
  </si>
  <si>
    <t>+$4-6/unit</t>
  </si>
  <si>
    <t>USE PEAPRINT — even Yoycol's "best" dresses are pricier</t>
  </si>
  <si>
    <t>AOP Hoodies</t>
  </si>
  <si>
    <t>PeaPrint $7 COGS vs Printify $45 — massive gap. Lower sale price = more volume</t>
  </si>
  <si>
    <t>+$10-15/unit at same price</t>
  </si>
  <si>
    <t>Printify WINS (US domestic 3-7 days vs 10-15)</t>
  </si>
  <si>
    <t>PeaPrint has tariff exposure</t>
  </si>
  <si>
    <t>MIXED — PeaPrint for margin, Printify for speed. Consider both.</t>
  </si>
  <si>
    <t>AOP Sweatshirts</t>
  </si>
  <si>
    <t>PeaPrint $6-12 vs Printify $29 COGS</t>
  </si>
  <si>
    <t>+$10-18/unit</t>
  </si>
  <si>
    <t>Printify WINS</t>
  </si>
  <si>
    <t>PeaPrint has tariff</t>
  </si>
  <si>
    <t>USE PEAPRINT for margin if 2-3 week delivery is acceptable</t>
  </si>
  <si>
    <t>AOP Tees</t>
  </si>
  <si>
    <t>N/A</t>
  </si>
  <si>
    <t>Only Printify has AOP tees. PeaPrint catalog doesn't include AOP tees.</t>
  </si>
  <si>
    <t>N/A (only option)</t>
  </si>
  <si>
    <t>Printify = US domestic</t>
  </si>
  <si>
    <t>None (US-made)</t>
  </si>
  <si>
    <t>USE PRINTIFY — only viable AOP tee supplier</t>
  </si>
  <si>
    <t>Speed-sensitive orders</t>
  </si>
  <si>
    <t>US-based production = 5-12 day total delivery vs 15-25 from China</t>
  </si>
  <si>
    <t>Lower margin</t>
  </si>
  <si>
    <t>2-3x FASTER</t>
  </si>
  <si>
    <t>None</t>
  </si>
  <si>
    <t>USE PRINTIFY when customer expects fast shipping</t>
  </si>
  <si>
    <t>Google Shopping focus</t>
  </si>
  <si>
    <t>Lower fees (3% vs 10% Etsy), needs maximum margin → lowest COGS wins</t>
  </si>
  <si>
    <t>+$5-8/unit vs Yoycol</t>
  </si>
  <si>
    <t>Less critical (longer accepted)</t>
  </si>
  <si>
    <t>USE PEAPRINT dresses — Google Shopping margins are excellent</t>
  </si>
  <si>
    <t>BOTTOM LINE STRATEGY</t>
  </si>
  <si>
    <t>1. DRESSES → PeaPrint (all tiers). Dramatically cheaper than Yoycol across the board. Same China shipping. Lower COGS = higher margins on both Etsy and Google Shopping.</t>
  </si>
  <si>
    <t>2. HOODIES → Split strategy: PeaPrint for maximum margin ($20+ profit/unit at $39.99), Printify for premium AOP quality + fast US shipping ($22 profit at $74.99).</t>
  </si>
  <si>
    <t>3. SWEATSHIRTS → PeaPrint primary. Printify as premium option only if customer demands fast delivery.</t>
  </si>
  <si>
    <t>4. TEES → Printify only (PeaPrint doesn't offer AOP tees). $16+ profit at $39.99.</t>
  </si>
  <si>
    <t>5. TARIFF HEDGE → Section 122 (15%) expires July 24, 2026. If launching after that, China-sourced margins improve ~$1-2/unit.</t>
  </si>
  <si>
    <t>6. GOOGLE SHOPPING → PeaPrint dresses are the #1 opportunity. 3% fee vs 10% Etsy = $3-4 extra profit per sale. Target dark floral, boho, cottagecore keywords.</t>
  </si>
  <si>
    <t>7. PRINTIFY ROLE → "Premium fast" tier for hoodie/sweatshirt buyers who pay more for US-made + 5-day delivery. NOT cost-competitive on dresses.</t>
  </si>
  <si>
    <t>End-to-End Delivery Time Comparison</t>
  </si>
  <si>
    <t>Stage</t>
  </si>
  <si>
    <t>PeaPrint (China)</t>
  </si>
  <si>
    <t>Yoycol (China)</t>
  </si>
  <si>
    <t>Printify (USA)</t>
  </si>
  <si>
    <t>Production</t>
  </si>
  <si>
    <t>2.5-7 days (avg 2.5)</t>
  </si>
  <si>
    <t>Shipping (Standard)</t>
  </si>
  <si>
    <t>10-15 biz days (~$10)</t>
  </si>
  <si>
    <t>8-15 biz days (~$13)</t>
  </si>
  <si>
    <t>3-7 biz days (~$6-9 domestic)</t>
  </si>
  <si>
    <t>Shipping (Fast)</t>
  </si>
  <si>
    <t>Unknown (likely $17-22)</t>
  </si>
  <si>
    <t>8-10 biz days (~$17-22)</t>
  </si>
  <si>
    <t>N/A (already domestic)</t>
  </si>
  <si>
    <t>Shipping (Express)</t>
  </si>
  <si>
    <t>Unknown (likely $45-55)</t>
  </si>
  <si>
    <t>3-7 biz days (~$45-55)</t>
  </si>
  <si>
    <t>Customs/Import</t>
  </si>
  <si>
    <t>1-3 days</t>
  </si>
  <si>
    <t>None (domestic)</t>
  </si>
  <si>
    <t>TOTAL (Standard)</t>
  </si>
  <si>
    <t>~15-25 calendar days</t>
  </si>
  <si>
    <t>~14-28 calendar days</t>
  </si>
  <si>
    <t>~5-12 calendar days</t>
  </si>
  <si>
    <t>TOTAL (Fast)</t>
  </si>
  <si>
    <t>~12-20 calendar days</t>
  </si>
  <si>
    <t>3-week promise?</t>
  </si>
  <si>
    <t>TIGHT (standard only)</t>
  </si>
  <si>
    <t>TIGHT with Fast shipping</t>
  </si>
  <si>
    <t>YES — easily</t>
  </si>
  <si>
    <t>4-week promise?</t>
  </si>
  <si>
    <t>YES (standard)</t>
  </si>
  <si>
    <t>YES (standard or fast)</t>
  </si>
  <si>
    <t>YES — with huge buffer</t>
  </si>
  <si>
    <t>AOP Dress — Product × Keyword Priority Queue (PeaPrint)</t>
  </si>
  <si>
    <t>Ranked by: Search Volume × Margin × Niche Fit | Supplier: PeaPrint (winner) | Channels: Etsy + Google Shopping</t>
  </si>
  <si>
    <t>Tariff (34.5%):</t>
  </si>
  <si>
    <t>Shipping:</t>
  </si>
  <si>
    <t>Priority</t>
  </si>
  <si>
    <t>Keyword</t>
  </si>
  <si>
    <t>Mo. Volume</t>
  </si>
  <si>
    <t>CPC</t>
  </si>
  <si>
    <t>PeaPrint Product</t>
  </si>
  <si>
    <t>Design Theme</t>
  </si>
  <si>
    <t>Why This Combo</t>
  </si>
  <si>
    <t>boho dress</t>
  </si>
  <si>
    <t>Bohemian Wildflower — cream bg, oversized wildflower print</t>
  </si>
  <si>
    <t>Highest volume dress keyword (33K/mo). Low COGS flared shape = perfect boho silhouette.</t>
  </si>
  <si>
    <t>floral maxi dress</t>
  </si>
  <si>
    <t>English Garden — ivory bg, lush cabbage roses + peonies</t>
  </si>
  <si>
    <t>Tied #1 volume. Maxi + 3/4 sleeve = year-round. Premium price = $25+ profit.</t>
  </si>
  <si>
    <t>gothic dress</t>
  </si>
  <si>
    <t>One Shoulder Slit Asymmetric</t>
  </si>
  <si>
    <t>Gothic Cathedral — black bg, dark roses + thorns + skulls</t>
  </si>
  <si>
    <t>22K/mo + trending UP (27K Feb 2026). Asymmetric cut = dramatic gothic silhouette.</t>
  </si>
  <si>
    <t>dark floral dress</t>
  </si>
  <si>
    <t>Midnight Rose — black bg, crimson peonies + gold accents</t>
  </si>
  <si>
    <t>10K/mo, $5.31 lowest COGS in catalog. Entry price captures impulse buyers.</t>
  </si>
  <si>
    <t>butterfly dress</t>
  </si>
  <si>
    <t>Monarch Migration — dark teal bg, monarch butterflies + wildflowers</t>
  </si>
  <si>
    <t>10K/mo keyword. V-neck = flattering, full print maximizes butterfly impact.</t>
  </si>
  <si>
    <t>Sleeveless Ankle Length Maxi</t>
  </si>
  <si>
    <t>Victorian Midnight — navy bg, vintage roses + gold filigree</t>
  </si>
  <si>
    <t>Premium tier of same keyword. Maxi length = higher price point justification.</t>
  </si>
  <si>
    <t>cottagecore dress</t>
  </si>
  <si>
    <t>Strawberry Fields — cream bg, ditsy strawberries + daisies</t>
  </si>
  <si>
    <t>6.6K/mo, ruffles = quintessential cottagecore. Low CPC = cheap Google ads.</t>
  </si>
  <si>
    <t>celestial dress</t>
  </si>
  <si>
    <t>Cosmic Oracle — black bg, gold moons + constellations</t>
  </si>
  <si>
    <t>High CPC = high buyer intent. Slit midi = dramatic celestial editorial look.</t>
  </si>
  <si>
    <t>mushroom dress</t>
  </si>
  <si>
    <t>Enchanted Forest — sage green bg, mushrooms + ferns + moths</t>
  </si>
  <si>
    <t>Growing niche (2.9K summer peak). Shift dress = relaxed cottagecore crossover.</t>
  </si>
  <si>
    <t>vintage floral dress</t>
  </si>
  <si>
    <t>Button Down Collar Dress</t>
  </si>
  <si>
    <t>Rose Garden Tea — powder blue bg, chintz roses + ribbons</t>
  </si>
  <si>
    <t>Collar dress = vintage/retro shape. Low competition on Google Shopping.</t>
  </si>
  <si>
    <t>whimsigoth dress</t>
  </si>
  <si>
    <t>Tarot Garden — dark purple bg, tarot motifs + moths + mushrooms</t>
  </si>
  <si>
    <t>Small but loyal niche. V-neck flattering. First-mover advantage on Google.</t>
  </si>
  <si>
    <t>boho floral maxi dress</t>
  </si>
  <si>
    <t>Desert Bloom — terracotta bg, desert wildflowers + cacti</t>
  </si>
  <si>
    <t>Long-tail + high intent. Widest size range in catalog. Premium positioning.</t>
  </si>
  <si>
    <t>Dark Cathedral — black bg, gothic arches + dark roses + ravens</t>
  </si>
  <si>
    <t>Hoodie dress = unique differentiator in gothic space. Year-round wearable.</t>
  </si>
  <si>
    <t>Mediterranean V-Neck Robe</t>
  </si>
  <si>
    <t>Riviera Garden — olive bg, Mediterranean tiles + florals</t>
  </si>
  <si>
    <t>Premium boho robe-style. Beach/resort crossover for summer peak.</t>
  </si>
  <si>
    <t>Winter Rose — burgundy bg, blush roses + gold leaf</t>
  </si>
  <si>
    <t>Long sleeve = Q4 peak (Oct-Jan). Extends dark floral into cold season.</t>
  </si>
  <si>
    <t>AOP Hoodie / Sweatshirt / Tee — Product × Keyword Priority Queue</t>
  </si>
  <si>
    <t>Mixed suppliers: PeaPrint (hoodies/sweatshirts) + Printify (tees, premium hoodies) | Channel: Etsy primarily</t>
  </si>
  <si>
    <t>graphic hoodie</t>
  </si>
  <si>
    <t>Death Moth Nocturne — dark bg, death moth + celestial elements</t>
  </si>
  <si>
    <t>49K/mo MASSIVE keyword. PeaPrint at $39.99 undercuts Printify $74.99. Volume play.</t>
  </si>
  <si>
    <t>Death Moth Nocturne — premium AOP, all panels printed</t>
  </si>
  <si>
    <t>Same keyword, premium tier. US-made, fast ship. Higher price = brand positioning.</t>
  </si>
  <si>
    <t>anime hoodie</t>
  </si>
  <si>
    <t>Sakura Dragon — anime-style dragon + cherry blossoms</t>
  </si>
  <si>
    <t>8K/mo, trending UP to 18K (Feb 2026). Huge anime community on Etsy.</t>
  </si>
  <si>
    <t>vintage hoodie</t>
  </si>
  <si>
    <t>Retro Botanical — faded florals + vintage wash aesthetic</t>
  </si>
  <si>
    <t>8K/mo, V-neck = fashion-forward vintage look. Low CPC = cheap ads.</t>
  </si>
  <si>
    <t>skeleton hoodie</t>
  </si>
  <si>
    <t>Skeleton Garden — skeleton + dark florals + mushrooms</t>
  </si>
  <si>
    <t>4.4K/mo with 14.8K Dec spike. Perfect for Halloween → holiday season.</t>
  </si>
  <si>
    <t>wolf hoodie</t>
  </si>
  <si>
    <t>Moonlit Wolf Pack — wolf portrait + full moon + forest</t>
  </si>
  <si>
    <t>3.6K/mo trending UP to 5.4K. Animal niche = loyal repeat buyers. High CPC = intent.</t>
  </si>
  <si>
    <t>japanese hoodie</t>
  </si>
  <si>
    <t>Ukiyo-e Koi — traditional wave + koi fish pattern</t>
  </si>
  <si>
    <t>1.9K/mo, highest CPC ($0.71) = premium buyers. Japanese art = brand differentiator.</t>
  </si>
  <si>
    <t>floral hoodie</t>
  </si>
  <si>
    <t>Dark Garden — dark bg, bold peonies + roses</t>
  </si>
  <si>
    <t>1.9K/mo, cross-niche with dark floral dress audience. V-neck = women's fashion.</t>
  </si>
  <si>
    <t>skull hoodie</t>
  </si>
  <si>
    <t>Skull &amp; Roses — sugar skull + dark roses + butterflies</t>
  </si>
  <si>
    <t>1.9K/mo. Crosses gothic + Day of the Dead. Year-round seller with Oct spike.</t>
  </si>
  <si>
    <t>gothic hoodie</t>
  </si>
  <si>
    <t>Cathedral Shadows — gothic arches + ravens + dark roses</t>
  </si>
  <si>
    <t>1.6K/mo trending to 2.4K. Natural extension of gothic dress line. Cross-sell.</t>
  </si>
  <si>
    <t>mushroom hoodie</t>
  </si>
  <si>
    <t>Enchanted Mycelium — mushrooms + ferns + moth + moon phases</t>
  </si>
  <si>
    <t>590/mo but loyal cottagecore/whimsigoth crossover buyers. High repeat rate.</t>
  </si>
  <si>
    <t>butterfly hoodie</t>
  </si>
  <si>
    <t>Monarch Migration — monarchs + wildflowers + stars</t>
  </si>
  <si>
    <t>Lowest COGS ($4.84). Entry price $34.99 = impulse buy. Cross-sell with dress line.</t>
  </si>
  <si>
    <t>raven hoodie</t>
  </si>
  <si>
    <t>Raven's Garden — ravens perched among dark roses + moons</t>
  </si>
  <si>
    <t>590/mo. Niche but passionate buyers. Proven winner in existing catalog.</t>
  </si>
  <si>
    <t>moth hoodie</t>
  </si>
  <si>
    <t>Luna Moth Oracle — luna moth + moon phases + botanicals</t>
  </si>
  <si>
    <t>Highest CPC after Japanese = premium intent. Whimsigoth core audience.</t>
  </si>
  <si>
    <t>floral sweatshirt</t>
  </si>
  <si>
    <t>Rose Garden Bloom — allover rose print, soft palette</t>
  </si>
  <si>
    <t>1.3K/mo. Ruffled = unique differentiator. Cross-sell with floral hoodie + dress.</t>
  </si>
  <si>
    <t>vintage sweatshirt women</t>
  </si>
  <si>
    <t>Retro Wildflower — faded vintage wildflower + aged texture</t>
  </si>
  <si>
    <t>880/mo. Women-specific keyword. Ruffled cut = feminine vintage aesthetic.</t>
  </si>
  <si>
    <t>AOP Tee (all niches)</t>
  </si>
  <si>
    <t>Multiple — use same designs as hoodies/dresses</t>
  </si>
  <si>
    <t>Printify only option for AOP tees. Reuse designs. Entry tier for all niches.</t>
  </si>
  <si>
    <t>AOP Sweatshirt (premium)</t>
  </si>
  <si>
    <t>Multiple — premium US-made, fast shipping</t>
  </si>
  <si>
    <t>Premium fast-ship option. $24+ profit. Offer alongside PeaPrint budget sweatshirt.</t>
  </si>
  <si>
    <t>Short Sleeve V-Neck Lovely Dress</t>
  </si>
  <si>
    <t>https://peaprint.com/products/detail/ankle-length-slip-dress-bdq-full-printing-multi-image-splicing</t>
  </si>
  <si>
    <t>Ankle-length Slip Dress</t>
  </si>
  <si>
    <t>Round Neck Sleeveless Dress Style</t>
  </si>
  <si>
    <t>https://peaprint.com/products/detail/round-neck-sleeveless-dress-styles</t>
  </si>
  <si>
    <t>170gsm Women's Casual Blazer(All-Over Printing)</t>
  </si>
  <si>
    <t>https://peaprint.com/products/detail/womens-casual-blazer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</si>
</sst>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18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b/>
      <sz val="11"/>
      <color rgb="FF6B7280"/>
      <name val="Arial"/>
      <charset val="1"/>
    </font>
    <font>
      <b/>
      <sz val="12"/>
      <color rgb="FF1F2937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3"/>
      <color rgb="FF1F2937"/>
      <name val="Arial"/>
      <charset val="1"/>
    </font>
    <font>
      <b/>
      <sz val="10"/>
      <color rgb="FFFFFFFF"/>
      <name val="Arial"/>
      <charset val="1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charset val="1"/>
    </font>
    <font>
      <b/>
      <sz val="10"/>
      <color rgb="FF7030A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Inter-Medium"/>
    </font>
    <font>
      <b/>
      <sz val="10"/>
      <color rgb="FFFF0000"/>
      <name val="Inter-Regular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DE9FE"/>
        <bgColor rgb="FFFCE7F3"/>
      </patternFill>
    </fill>
    <fill>
      <patternFill patternType="solid">
        <fgColor rgb="FFDBEAFE"/>
        <bgColor rgb="FFEDE9FE"/>
      </patternFill>
    </fill>
    <fill>
      <patternFill patternType="solid">
        <fgColor rgb="FFFCE7F3"/>
        <bgColor rgb="FFEDE9FE"/>
      </patternFill>
    </fill>
    <fill>
      <patternFill patternType="solid">
        <fgColor rgb="FFFEF3C7"/>
        <bgColor rgb="FFFCE7F3"/>
      </patternFill>
    </fill>
    <fill>
      <patternFill patternType="solid">
        <fgColor rgb="FFD1FAE5"/>
        <bgColor rgb="FFDBEAFE"/>
      </patternFill>
    </fill>
    <fill>
      <patternFill patternType="solid">
        <fgColor rgb="FFF9FAFB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0" fontId="6" fillId="0" borderId="0" xfId="0" applyFont="1" applyAlignment="1"/>
    <xf numFmtId="164" fontId="7" fillId="3" borderId="0" xfId="0" applyNumberFormat="1" applyFont="1" applyFill="1" applyAlignment="1"/>
    <xf numFmtId="0" fontId="5" fillId="4" borderId="1" xfId="0" applyFont="1" applyFill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164" fontId="7" fillId="3" borderId="0" xfId="0" applyNumberFormat="1" applyFont="1" applyFill="1"/>
    <xf numFmtId="165" fontId="7" fillId="3" borderId="0" xfId="0" applyNumberFormat="1" applyFont="1" applyFill="1"/>
    <xf numFmtId="0" fontId="9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3" fontId="5" fillId="9" borderId="1" xfId="0" applyNumberFormat="1" applyFont="1" applyFill="1" applyBorder="1" applyAlignment="1">
      <alignment vertical="center" wrapText="1"/>
    </xf>
    <xf numFmtId="165" fontId="5" fillId="9" borderId="1" xfId="0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/>
    <xf numFmtId="0" fontId="14" fillId="0" borderId="1" xfId="0" applyFont="1" applyBorder="1" applyAlignment="1">
      <alignment vertical="center" wrapText="1"/>
    </xf>
    <xf numFmtId="0" fontId="15" fillId="0" borderId="0" xfId="0" applyFont="1" applyAlignment="1"/>
    <xf numFmtId="0" fontId="16" fillId="0" borderId="0" xfId="0" applyFont="1"/>
    <xf numFmtId="0" fontId="17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/>
    <xf numFmtId="0" fontId="8" fillId="0" borderId="0" xfId="0" applyFont="1" applyBorder="1" applyAlignment="1"/>
    <xf numFmtId="0" fontId="1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EF3C7"/>
      <rgbColor rgb="FFDBEAFE"/>
      <rgbColor rgb="FF660066"/>
      <rgbColor rgb="FFFF6B6B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9FAFB"/>
      <rgbColor rgb="FF99CCFF"/>
      <rgbColor rgb="FFF472B6"/>
      <rgbColor rgb="FFCC99FF"/>
      <rgbColor rgb="FFFCE7F3"/>
      <rgbColor rgb="FF3B82F6"/>
      <rgbColor rgb="FF33CCCC"/>
      <rgbColor rgb="FF99CC00"/>
      <rgbColor rgb="FFFBBF24"/>
      <rgbColor rgb="FFFF9900"/>
      <rgbColor rgb="FFFF6600"/>
      <rgbColor rgb="FF6B7280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B6B"/>
  </sheetPr>
  <dimension ref="A1:F35"/>
  <sheetViews>
    <sheetView topLeftCell="A22" zoomScaleNormal="100" workbookViewId="0">
      <selection activeCell="C31" sqref="C31"/>
    </sheetView>
  </sheetViews>
  <sheetFormatPr defaultColWidth="8.6640625" defaultRowHeight="15" customHeight="1"/>
  <cols>
    <col min="1" max="1" width="30" style="1" customWidth="1"/>
    <col min="2" max="5" width="16" style="1" customWidth="1"/>
    <col min="6" max="6" width="55" style="1" customWidth="1"/>
  </cols>
  <sheetData>
    <row r="1" spans="1:6" ht="17.25" customHeight="1">
      <c r="A1" s="31" t="s">
        <v>0</v>
      </c>
      <c r="B1" s="31"/>
      <c r="C1" s="31"/>
      <c r="D1" s="31"/>
      <c r="E1" s="31"/>
      <c r="F1" s="31"/>
    </row>
    <row r="2" spans="1:6" ht="15" customHeight="1">
      <c r="A2" s="32" t="s">
        <v>1</v>
      </c>
      <c r="B2" s="32"/>
      <c r="C2" s="32"/>
      <c r="D2" s="32"/>
      <c r="E2" s="32"/>
      <c r="F2" s="32"/>
    </row>
    <row r="4" spans="1:6" ht="15" customHeight="1">
      <c r="A4" s="33" t="s">
        <v>2</v>
      </c>
      <c r="B4" s="33"/>
      <c r="C4" s="33"/>
      <c r="D4" s="33"/>
      <c r="E4" s="33"/>
      <c r="F4" s="33"/>
    </row>
    <row r="5" spans="1:6" ht="1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5" customHeigh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ht="15" customHeight="1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</row>
    <row r="8" spans="1:6" ht="15" customHeight="1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 ht="23.25" customHeight="1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</row>
    <row r="10" spans="1:6" ht="23.25" customHeight="1">
      <c r="A10" s="3" t="s">
        <v>33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34</v>
      </c>
    </row>
    <row r="12" spans="1:6" ht="15" customHeight="1">
      <c r="A12" s="33" t="s">
        <v>35</v>
      </c>
      <c r="B12" s="33"/>
      <c r="C12" s="33"/>
      <c r="D12" s="33"/>
      <c r="E12" s="33"/>
      <c r="F12" s="33"/>
    </row>
    <row r="13" spans="1:6" ht="15" customHeight="1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41</v>
      </c>
    </row>
    <row r="14" spans="1:6" ht="15" customHeight="1">
      <c r="A14" s="3" t="s">
        <v>42</v>
      </c>
      <c r="B14" s="4">
        <v>0.08</v>
      </c>
      <c r="C14" s="4">
        <v>7.4999999999999997E-2</v>
      </c>
      <c r="D14" s="4">
        <v>0.15</v>
      </c>
      <c r="E14" s="4">
        <f t="shared" ref="E14:E19" si="0">B14+C14+D14</f>
        <v>0.30499999999999999</v>
      </c>
      <c r="F14" s="3" t="s">
        <v>43</v>
      </c>
    </row>
    <row r="15" spans="1:6" ht="15" customHeight="1">
      <c r="A15" s="5" t="s">
        <v>44</v>
      </c>
      <c r="B15" s="6">
        <v>0.12</v>
      </c>
      <c r="C15" s="6">
        <v>7.4999999999999997E-2</v>
      </c>
      <c r="D15" s="6">
        <v>0.15</v>
      </c>
      <c r="E15" s="6">
        <f t="shared" si="0"/>
        <v>0.34499999999999997</v>
      </c>
      <c r="F15" s="5" t="s">
        <v>45</v>
      </c>
    </row>
    <row r="16" spans="1:6" ht="15" customHeight="1">
      <c r="A16" s="3" t="s">
        <v>46</v>
      </c>
      <c r="B16" s="4">
        <v>0.16</v>
      </c>
      <c r="C16" s="4">
        <v>7.4999999999999997E-2</v>
      </c>
      <c r="D16" s="4">
        <v>0.15</v>
      </c>
      <c r="E16" s="4">
        <f t="shared" si="0"/>
        <v>0.38500000000000001</v>
      </c>
      <c r="F16" s="3" t="s">
        <v>47</v>
      </c>
    </row>
    <row r="17" spans="1:6" ht="15" customHeight="1">
      <c r="A17" s="3" t="s">
        <v>48</v>
      </c>
      <c r="B17" s="4">
        <v>0.08</v>
      </c>
      <c r="C17" s="4">
        <v>7.4999999999999997E-2</v>
      </c>
      <c r="D17" s="4">
        <v>0</v>
      </c>
      <c r="E17" s="4">
        <f t="shared" si="0"/>
        <v>0.155</v>
      </c>
      <c r="F17" s="3" t="s">
        <v>49</v>
      </c>
    </row>
    <row r="18" spans="1:6" ht="15" customHeight="1">
      <c r="A18" s="3" t="s">
        <v>50</v>
      </c>
      <c r="B18" s="4">
        <v>0.12</v>
      </c>
      <c r="C18" s="4">
        <v>7.4999999999999997E-2</v>
      </c>
      <c r="D18" s="4">
        <v>0</v>
      </c>
      <c r="E18" s="4">
        <f t="shared" si="0"/>
        <v>0.19500000000000001</v>
      </c>
      <c r="F18" s="3" t="s">
        <v>51</v>
      </c>
    </row>
    <row r="19" spans="1:6" ht="15" customHeight="1">
      <c r="A19" s="3" t="s">
        <v>52</v>
      </c>
      <c r="B19" s="4">
        <v>0.16</v>
      </c>
      <c r="C19" s="4">
        <v>7.4999999999999997E-2</v>
      </c>
      <c r="D19" s="4">
        <v>0</v>
      </c>
      <c r="E19" s="4">
        <f t="shared" si="0"/>
        <v>0.23499999999999999</v>
      </c>
      <c r="F19" s="3" t="s">
        <v>53</v>
      </c>
    </row>
    <row r="21" spans="1:6" ht="15" customHeight="1">
      <c r="A21" s="33" t="s">
        <v>54</v>
      </c>
      <c r="B21" s="33"/>
      <c r="C21" s="33"/>
      <c r="D21" s="33"/>
      <c r="E21" s="33"/>
      <c r="F21" s="33"/>
    </row>
    <row r="22" spans="1:6" ht="15" customHeight="1">
      <c r="A22" s="2" t="s">
        <v>55</v>
      </c>
      <c r="B22" s="2" t="s">
        <v>56</v>
      </c>
      <c r="C22" s="2" t="s">
        <v>8</v>
      </c>
    </row>
    <row r="23" spans="1:6" ht="45.75" customHeight="1">
      <c r="A23" s="3" t="s">
        <v>57</v>
      </c>
      <c r="B23" s="3" t="s">
        <v>58</v>
      </c>
      <c r="C23" s="3" t="s">
        <v>59</v>
      </c>
      <c r="D23" s="3"/>
      <c r="E23" s="3"/>
      <c r="F23" s="3"/>
    </row>
    <row r="24" spans="1:6" ht="57" customHeight="1">
      <c r="A24" s="3" t="s">
        <v>60</v>
      </c>
      <c r="B24" s="3" t="s">
        <v>29</v>
      </c>
      <c r="C24" s="3" t="s">
        <v>61</v>
      </c>
      <c r="D24" s="3"/>
      <c r="E24" s="3"/>
      <c r="F24" s="3"/>
    </row>
    <row r="25" spans="1:6" ht="57" customHeight="1">
      <c r="A25" s="3" t="s">
        <v>62</v>
      </c>
      <c r="B25" s="3" t="s">
        <v>63</v>
      </c>
      <c r="C25" s="3" t="s">
        <v>64</v>
      </c>
      <c r="D25" s="3"/>
      <c r="E25" s="3"/>
      <c r="F25" s="3"/>
    </row>
    <row r="26" spans="1:6" ht="45.75" customHeight="1">
      <c r="A26" s="3" t="s">
        <v>65</v>
      </c>
      <c r="B26" s="3" t="s">
        <v>66</v>
      </c>
      <c r="C26" s="3" t="s">
        <v>67</v>
      </c>
      <c r="D26" s="3"/>
      <c r="E26" s="3"/>
      <c r="F26" s="3"/>
    </row>
    <row r="27" spans="1:6" ht="45.75" customHeight="1">
      <c r="A27" s="3" t="s">
        <v>68</v>
      </c>
      <c r="B27" s="3" t="s">
        <v>69</v>
      </c>
      <c r="C27" s="3" t="s">
        <v>70</v>
      </c>
      <c r="D27" s="3"/>
      <c r="E27" s="3"/>
      <c r="F27" s="3"/>
    </row>
    <row r="28" spans="1:6" ht="45.75" customHeight="1">
      <c r="A28" s="3" t="s">
        <v>71</v>
      </c>
      <c r="B28" s="3" t="s">
        <v>72</v>
      </c>
      <c r="C28" s="3" t="s">
        <v>73</v>
      </c>
      <c r="D28" s="3"/>
      <c r="E28" s="3"/>
      <c r="F28" s="3"/>
    </row>
    <row r="29" spans="1:6" ht="34.5" customHeight="1">
      <c r="A29" s="3" t="s">
        <v>74</v>
      </c>
      <c r="B29" s="3" t="s">
        <v>75</v>
      </c>
      <c r="C29" s="3" t="s">
        <v>76</v>
      </c>
      <c r="D29" s="3"/>
      <c r="E29" s="3"/>
      <c r="F29" s="3"/>
    </row>
    <row r="30" spans="1:6" ht="34.5" customHeight="1">
      <c r="A30" s="3" t="s">
        <v>77</v>
      </c>
      <c r="B30" s="3" t="s">
        <v>78</v>
      </c>
      <c r="C30" s="3" t="s">
        <v>79</v>
      </c>
      <c r="D30" s="3"/>
      <c r="E30" s="3"/>
      <c r="F30" s="3"/>
    </row>
    <row r="31" spans="1:6" ht="34.5" customHeight="1">
      <c r="A31" s="3" t="s">
        <v>80</v>
      </c>
      <c r="B31" s="3" t="s">
        <v>78</v>
      </c>
      <c r="C31" s="3" t="s">
        <v>81</v>
      </c>
      <c r="D31" s="3"/>
      <c r="E31" s="3"/>
      <c r="F31" s="3"/>
    </row>
    <row r="32" spans="1:6" ht="34.5" customHeight="1">
      <c r="A32" s="3" t="s">
        <v>82</v>
      </c>
      <c r="B32" s="3" t="s">
        <v>83</v>
      </c>
      <c r="C32" s="3" t="s">
        <v>84</v>
      </c>
      <c r="D32" s="3"/>
      <c r="E32" s="3"/>
      <c r="F32" s="3"/>
    </row>
    <row r="33" spans="1:6" ht="23.25" customHeight="1">
      <c r="A33" s="3" t="s">
        <v>85</v>
      </c>
      <c r="B33" s="3" t="s">
        <v>86</v>
      </c>
      <c r="C33" s="3" t="s">
        <v>87</v>
      </c>
      <c r="D33" s="3"/>
      <c r="E33" s="3"/>
      <c r="F33" s="3"/>
    </row>
    <row r="34" spans="1:6" ht="34.5" customHeight="1">
      <c r="A34" s="3" t="s">
        <v>88</v>
      </c>
      <c r="B34" s="3" t="s">
        <v>89</v>
      </c>
      <c r="C34" s="3" t="s">
        <v>90</v>
      </c>
      <c r="D34" s="3"/>
      <c r="E34" s="3"/>
      <c r="F34" s="3"/>
    </row>
    <row r="35" spans="1:6" ht="45.75" customHeight="1">
      <c r="A35" s="3" t="s">
        <v>91</v>
      </c>
      <c r="B35" s="3" t="s">
        <v>86</v>
      </c>
      <c r="C35" s="3" t="s">
        <v>92</v>
      </c>
      <c r="D35" s="3"/>
      <c r="E35" s="3"/>
      <c r="F35" s="3"/>
    </row>
  </sheetData>
  <mergeCells count="5">
    <mergeCell ref="A1:F1"/>
    <mergeCell ref="A2:F2"/>
    <mergeCell ref="A4:F4"/>
    <mergeCell ref="A12:F12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8BFA"/>
  </sheetPr>
  <dimension ref="A1:S40"/>
  <sheetViews>
    <sheetView tabSelected="1" topLeftCell="A13" zoomScaleNormal="100" workbookViewId="0">
      <selection activeCell="B30" sqref="B30"/>
    </sheetView>
  </sheetViews>
  <sheetFormatPr defaultColWidth="8.6640625" defaultRowHeight="15" customHeight="1"/>
  <cols>
    <col min="1" max="1" width="4" style="1" customWidth="1"/>
    <col min="2" max="2" width="38" style="1" customWidth="1"/>
    <col min="3" max="3" width="12" style="1" customWidth="1"/>
    <col min="4" max="4" width="10" style="1" customWidth="1"/>
    <col min="5" max="5" width="12" style="1" customWidth="1"/>
    <col min="6" max="6" width="10" style="1" customWidth="1"/>
    <col min="7" max="7" width="12" style="1" customWidth="1"/>
    <col min="8" max="9" width="10" style="1" customWidth="1"/>
    <col min="10" max="12" width="11" style="1" customWidth="1"/>
    <col min="13" max="14" width="12" style="1" customWidth="1"/>
  </cols>
  <sheetData>
    <row r="1" spans="1:19" ht="17.25" customHeight="1">
      <c r="A1" s="31" t="s">
        <v>93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9" ht="15" customHeight="1">
      <c r="A2" s="32" t="s">
        <v>94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9" ht="15" customHeight="1">
      <c r="A3" s="7" t="s">
        <v>95</v>
      </c>
      <c r="B3" s="8">
        <v>0.34499999999999997</v>
      </c>
      <c r="C3" s="7" t="s">
        <v>96</v>
      </c>
      <c r="D3" s="8">
        <v>0.10100000000000001</v>
      </c>
      <c r="E3" s="7" t="s">
        <v>97</v>
      </c>
      <c r="F3" s="8">
        <v>0.03</v>
      </c>
    </row>
    <row r="5" spans="1:19" ht="26.25" customHeight="1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2" t="s">
        <v>110</v>
      </c>
      <c r="N5" s="2" t="s">
        <v>111</v>
      </c>
    </row>
    <row r="6" spans="1:19" ht="15" customHeight="1">
      <c r="A6" s="3">
        <v>1</v>
      </c>
      <c r="B6" s="23" t="s">
        <v>112</v>
      </c>
      <c r="C6" s="9" t="s">
        <v>113</v>
      </c>
      <c r="D6" s="10">
        <v>5.31</v>
      </c>
      <c r="E6" s="10">
        <f t="shared" ref="E6:E34" si="0">D6*$B$3</f>
        <v>1.8319499999999997</v>
      </c>
      <c r="F6" s="10">
        <v>9.77</v>
      </c>
      <c r="G6" s="10">
        <f t="shared" ref="G6:G34" si="1">D6+E6+F6</f>
        <v>16.911949999999997</v>
      </c>
      <c r="H6" s="10">
        <v>34.99</v>
      </c>
      <c r="I6" s="10">
        <f t="shared" ref="I6:I34" si="2">H6*$D$3+0.45</f>
        <v>3.9839900000000008</v>
      </c>
      <c r="J6" s="10">
        <f t="shared" ref="J6:J34" si="3">H6-G6-I6</f>
        <v>14.094060000000004</v>
      </c>
      <c r="K6" s="4">
        <f t="shared" ref="K6:K34" si="4">IF(H6&gt;0,J6/H6,0)</f>
        <v>0.40280251500428704</v>
      </c>
      <c r="L6" s="10">
        <f t="shared" ref="L6:L34" si="5">H6*$F$3+0.3</f>
        <v>1.3497000000000001</v>
      </c>
      <c r="M6" s="10">
        <f t="shared" ref="M6:M34" si="6">H6-G6-L6</f>
        <v>16.728350000000006</v>
      </c>
      <c r="N6" s="4">
        <f t="shared" ref="N6:N34" si="7">IF(H6&gt;0,M6/H6,0)</f>
        <v>0.47808945412975151</v>
      </c>
    </row>
    <row r="7" spans="1:19" ht="15" customHeight="1">
      <c r="A7" s="3">
        <v>2</v>
      </c>
      <c r="B7" s="3" t="s">
        <v>114</v>
      </c>
      <c r="C7" s="11" t="s">
        <v>115</v>
      </c>
      <c r="D7" s="10">
        <v>7.11</v>
      </c>
      <c r="E7" s="10">
        <f t="shared" si="0"/>
        <v>2.45295</v>
      </c>
      <c r="F7" s="10">
        <v>13</v>
      </c>
      <c r="G7" s="10">
        <f t="shared" si="1"/>
        <v>22.562950000000001</v>
      </c>
      <c r="H7" s="10">
        <v>34.99</v>
      </c>
      <c r="I7" s="10">
        <f t="shared" si="2"/>
        <v>3.9839900000000008</v>
      </c>
      <c r="J7" s="10">
        <f t="shared" si="3"/>
        <v>8.4430600000000009</v>
      </c>
      <c r="K7" s="4">
        <f t="shared" si="4"/>
        <v>0.24129922835095743</v>
      </c>
      <c r="L7" s="10">
        <f t="shared" si="5"/>
        <v>1.3497000000000001</v>
      </c>
      <c r="M7" s="10">
        <f t="shared" si="6"/>
        <v>11.077350000000001</v>
      </c>
      <c r="N7" s="4">
        <f t="shared" si="7"/>
        <v>0.31658616747642182</v>
      </c>
    </row>
    <row r="8" spans="1:19" ht="15" customHeight="1">
      <c r="A8" s="3">
        <v>3</v>
      </c>
      <c r="B8" s="23" t="s">
        <v>116</v>
      </c>
      <c r="C8" s="9" t="s">
        <v>113</v>
      </c>
      <c r="D8" s="10">
        <v>6.17</v>
      </c>
      <c r="E8" s="10">
        <f t="shared" si="0"/>
        <v>2.1286499999999999</v>
      </c>
      <c r="F8" s="10">
        <v>9.77</v>
      </c>
      <c r="G8" s="10">
        <f t="shared" si="1"/>
        <v>18.068649999999998</v>
      </c>
      <c r="H8" s="10">
        <v>34.99</v>
      </c>
      <c r="I8" s="10">
        <f t="shared" si="2"/>
        <v>3.9839900000000008</v>
      </c>
      <c r="J8" s="10">
        <f t="shared" si="3"/>
        <v>12.937360000000004</v>
      </c>
      <c r="K8" s="4">
        <f t="shared" si="4"/>
        <v>0.3697444984281224</v>
      </c>
      <c r="L8" s="10">
        <f t="shared" si="5"/>
        <v>1.3497000000000001</v>
      </c>
      <c r="M8" s="10">
        <f t="shared" si="6"/>
        <v>15.571650000000004</v>
      </c>
      <c r="N8" s="4">
        <f t="shared" si="7"/>
        <v>0.44503143755358682</v>
      </c>
    </row>
    <row r="9" spans="1:19" ht="15" customHeight="1">
      <c r="A9" s="3">
        <v>4</v>
      </c>
      <c r="B9" s="23" t="s">
        <v>117</v>
      </c>
      <c r="C9" s="9" t="s">
        <v>113</v>
      </c>
      <c r="D9" s="10">
        <v>6.6</v>
      </c>
      <c r="E9" s="10">
        <f t="shared" si="0"/>
        <v>2.2769999999999997</v>
      </c>
      <c r="F9" s="10">
        <v>9.77</v>
      </c>
      <c r="G9" s="10">
        <f t="shared" si="1"/>
        <v>18.646999999999998</v>
      </c>
      <c r="H9" s="10">
        <v>39.99</v>
      </c>
      <c r="I9" s="10">
        <f t="shared" si="2"/>
        <v>4.4889900000000003</v>
      </c>
      <c r="J9" s="10">
        <f t="shared" si="3"/>
        <v>16.854010000000002</v>
      </c>
      <c r="K9" s="4">
        <f t="shared" si="4"/>
        <v>0.42145561390347591</v>
      </c>
      <c r="L9" s="10">
        <f t="shared" si="5"/>
        <v>1.4997</v>
      </c>
      <c r="M9" s="10">
        <f t="shared" si="6"/>
        <v>19.843300000000003</v>
      </c>
      <c r="N9" s="4">
        <f t="shared" si="7"/>
        <v>0.4962065516379095</v>
      </c>
    </row>
    <row r="10" spans="1:19" ht="15" customHeight="1">
      <c r="A10" s="3">
        <v>5</v>
      </c>
      <c r="B10" s="23" t="s">
        <v>118</v>
      </c>
      <c r="C10" s="9" t="s">
        <v>113</v>
      </c>
      <c r="D10" s="10">
        <v>7.2</v>
      </c>
      <c r="E10" s="10">
        <f t="shared" si="0"/>
        <v>2.484</v>
      </c>
      <c r="F10" s="10">
        <v>9.77</v>
      </c>
      <c r="G10" s="10">
        <f t="shared" si="1"/>
        <v>19.454000000000001</v>
      </c>
      <c r="H10" s="10">
        <v>39.99</v>
      </c>
      <c r="I10" s="10">
        <f t="shared" si="2"/>
        <v>4.4889900000000003</v>
      </c>
      <c r="J10" s="10">
        <f t="shared" si="3"/>
        <v>16.04701</v>
      </c>
      <c r="K10" s="4">
        <f t="shared" si="4"/>
        <v>0.40127556889222304</v>
      </c>
      <c r="L10" s="10">
        <f t="shared" si="5"/>
        <v>1.4997</v>
      </c>
      <c r="M10" s="10">
        <f t="shared" si="6"/>
        <v>19.036300000000001</v>
      </c>
      <c r="N10" s="4">
        <f t="shared" si="7"/>
        <v>0.47602650662665663</v>
      </c>
      <c r="Q10" s="3" t="s">
        <v>114</v>
      </c>
      <c r="S10" s="23" t="s">
        <v>112</v>
      </c>
    </row>
    <row r="11" spans="1:19" ht="15" customHeight="1">
      <c r="A11" s="3">
        <v>6</v>
      </c>
      <c r="B11" s="3" t="s">
        <v>119</v>
      </c>
      <c r="C11" s="11" t="s">
        <v>115</v>
      </c>
      <c r="D11" s="10">
        <v>7.25</v>
      </c>
      <c r="E11" s="10">
        <f t="shared" si="0"/>
        <v>2.5012499999999998</v>
      </c>
      <c r="F11" s="10">
        <v>13</v>
      </c>
      <c r="G11" s="10">
        <f t="shared" si="1"/>
        <v>22.751249999999999</v>
      </c>
      <c r="H11" s="10">
        <v>39.99</v>
      </c>
      <c r="I11" s="10">
        <f t="shared" si="2"/>
        <v>4.4889900000000003</v>
      </c>
      <c r="J11" s="10">
        <f t="shared" si="3"/>
        <v>12.749760000000002</v>
      </c>
      <c r="K11" s="4">
        <f t="shared" si="4"/>
        <v>0.31882370592648163</v>
      </c>
      <c r="L11" s="10">
        <f t="shared" si="5"/>
        <v>1.4997</v>
      </c>
      <c r="M11" s="10">
        <f t="shared" si="6"/>
        <v>15.739050000000002</v>
      </c>
      <c r="N11" s="4">
        <f t="shared" si="7"/>
        <v>0.39357464366091527</v>
      </c>
      <c r="Q11" s="3" t="s">
        <v>119</v>
      </c>
      <c r="S11" s="23" t="s">
        <v>116</v>
      </c>
    </row>
    <row r="12" spans="1:19" ht="15" customHeight="1">
      <c r="A12" s="3">
        <v>7</v>
      </c>
      <c r="B12" s="24" t="s">
        <v>120</v>
      </c>
      <c r="C12" s="9" t="s">
        <v>113</v>
      </c>
      <c r="D12" s="10">
        <v>6.84</v>
      </c>
      <c r="E12" s="10">
        <f t="shared" si="0"/>
        <v>2.3597999999999999</v>
      </c>
      <c r="F12" s="10">
        <v>9.77</v>
      </c>
      <c r="G12" s="10">
        <f t="shared" si="1"/>
        <v>18.969799999999999</v>
      </c>
      <c r="H12" s="10">
        <v>39.99</v>
      </c>
      <c r="I12" s="10">
        <f t="shared" si="2"/>
        <v>4.4889900000000003</v>
      </c>
      <c r="J12" s="10">
        <f t="shared" si="3"/>
        <v>16.531210000000002</v>
      </c>
      <c r="K12" s="4">
        <f t="shared" si="4"/>
        <v>0.41338359589897478</v>
      </c>
      <c r="L12" s="10">
        <f t="shared" si="5"/>
        <v>1.4997</v>
      </c>
      <c r="M12" s="10">
        <f t="shared" si="6"/>
        <v>19.520500000000002</v>
      </c>
      <c r="N12" s="4">
        <f t="shared" si="7"/>
        <v>0.48813453363340836</v>
      </c>
      <c r="Q12" s="3" t="s">
        <v>124</v>
      </c>
      <c r="S12" s="23" t="s">
        <v>117</v>
      </c>
    </row>
    <row r="13" spans="1:19" ht="15" customHeight="1">
      <c r="A13" s="3">
        <v>8</v>
      </c>
      <c r="B13" s="24" t="s">
        <v>121</v>
      </c>
      <c r="C13" s="9" t="s">
        <v>113</v>
      </c>
      <c r="D13" s="10">
        <v>7.03</v>
      </c>
      <c r="E13" s="10">
        <f t="shared" si="0"/>
        <v>2.4253499999999999</v>
      </c>
      <c r="F13" s="10">
        <v>9.77</v>
      </c>
      <c r="G13" s="10">
        <f t="shared" si="1"/>
        <v>19.225349999999999</v>
      </c>
      <c r="H13" s="10">
        <v>39.99</v>
      </c>
      <c r="I13" s="10">
        <f t="shared" si="2"/>
        <v>4.4889900000000003</v>
      </c>
      <c r="J13" s="10">
        <f t="shared" si="3"/>
        <v>16.275660000000002</v>
      </c>
      <c r="K13" s="4">
        <f t="shared" si="4"/>
        <v>0.40699324831207806</v>
      </c>
      <c r="L13" s="10">
        <f t="shared" si="5"/>
        <v>1.4997</v>
      </c>
      <c r="M13" s="10">
        <f t="shared" si="6"/>
        <v>19.264950000000002</v>
      </c>
      <c r="N13" s="4">
        <f t="shared" si="7"/>
        <v>0.48174418604651165</v>
      </c>
      <c r="Q13" s="3" t="s">
        <v>127</v>
      </c>
      <c r="S13" s="23" t="s">
        <v>118</v>
      </c>
    </row>
    <row r="14" spans="1:19" ht="15" customHeight="1">
      <c r="A14" s="3">
        <v>9</v>
      </c>
      <c r="B14" s="23" t="s">
        <v>122</v>
      </c>
      <c r="C14" s="9" t="s">
        <v>113</v>
      </c>
      <c r="D14" s="10">
        <v>7.41</v>
      </c>
      <c r="E14" s="10">
        <f t="shared" si="0"/>
        <v>2.5564499999999999</v>
      </c>
      <c r="F14" s="10">
        <v>9.77</v>
      </c>
      <c r="G14" s="10">
        <f t="shared" si="1"/>
        <v>19.736449999999998</v>
      </c>
      <c r="H14" s="10">
        <v>39.99</v>
      </c>
      <c r="I14" s="10">
        <f t="shared" si="2"/>
        <v>4.4889900000000003</v>
      </c>
      <c r="J14" s="10">
        <f t="shared" si="3"/>
        <v>15.764560000000003</v>
      </c>
      <c r="K14" s="4">
        <f t="shared" si="4"/>
        <v>0.39421255313828463</v>
      </c>
      <c r="L14" s="10">
        <f t="shared" si="5"/>
        <v>1.4997</v>
      </c>
      <c r="M14" s="10">
        <f t="shared" si="6"/>
        <v>18.753850000000003</v>
      </c>
      <c r="N14" s="4">
        <f t="shared" si="7"/>
        <v>0.46896349087271827</v>
      </c>
      <c r="Q14" s="3" t="s">
        <v>129</v>
      </c>
      <c r="S14" s="23" t="s">
        <v>122</v>
      </c>
    </row>
    <row r="15" spans="1:19" ht="15" customHeight="1">
      <c r="A15" s="3">
        <v>10</v>
      </c>
      <c r="B15" s="23" t="s">
        <v>123</v>
      </c>
      <c r="C15" s="9" t="s">
        <v>113</v>
      </c>
      <c r="D15" s="10">
        <v>7.41</v>
      </c>
      <c r="E15" s="10">
        <f t="shared" si="0"/>
        <v>2.5564499999999999</v>
      </c>
      <c r="F15" s="10">
        <v>9.77</v>
      </c>
      <c r="G15" s="10">
        <f t="shared" si="1"/>
        <v>19.736449999999998</v>
      </c>
      <c r="H15" s="10">
        <v>39.99</v>
      </c>
      <c r="I15" s="10">
        <f t="shared" si="2"/>
        <v>4.4889900000000003</v>
      </c>
      <c r="J15" s="10">
        <f t="shared" si="3"/>
        <v>15.764560000000003</v>
      </c>
      <c r="K15" s="4">
        <f t="shared" si="4"/>
        <v>0.39421255313828463</v>
      </c>
      <c r="L15" s="10">
        <f t="shared" si="5"/>
        <v>1.4997</v>
      </c>
      <c r="M15" s="10">
        <f t="shared" si="6"/>
        <v>18.753850000000003</v>
      </c>
      <c r="N15" s="4">
        <f t="shared" si="7"/>
        <v>0.46896349087271827</v>
      </c>
      <c r="Q15" s="3" t="s">
        <v>132</v>
      </c>
      <c r="S15" s="23" t="s">
        <v>123</v>
      </c>
    </row>
    <row r="16" spans="1:19" ht="15" customHeight="1">
      <c r="A16" s="3">
        <v>11</v>
      </c>
      <c r="B16" s="3" t="s">
        <v>124</v>
      </c>
      <c r="C16" s="11" t="s">
        <v>115</v>
      </c>
      <c r="D16" s="10">
        <v>8.33</v>
      </c>
      <c r="E16" s="10">
        <f t="shared" si="0"/>
        <v>2.87385</v>
      </c>
      <c r="F16" s="10">
        <v>13</v>
      </c>
      <c r="G16" s="10">
        <f t="shared" si="1"/>
        <v>24.203849999999999</v>
      </c>
      <c r="H16" s="10">
        <v>44.99</v>
      </c>
      <c r="I16" s="10">
        <f t="shared" si="2"/>
        <v>4.993990000000001</v>
      </c>
      <c r="J16" s="10">
        <f t="shared" si="3"/>
        <v>15.792160000000003</v>
      </c>
      <c r="K16" s="4">
        <f t="shared" si="4"/>
        <v>0.35101489219826632</v>
      </c>
      <c r="L16" s="10">
        <f t="shared" si="5"/>
        <v>1.6496999999999999</v>
      </c>
      <c r="M16" s="10">
        <f t="shared" si="6"/>
        <v>19.136450000000004</v>
      </c>
      <c r="N16" s="4">
        <f t="shared" si="7"/>
        <v>0.42534896643698605</v>
      </c>
      <c r="Q16" s="3" t="s">
        <v>134</v>
      </c>
      <c r="S16" s="23" t="s">
        <v>394</v>
      </c>
    </row>
    <row r="17" spans="1:19" ht="15" customHeight="1">
      <c r="A17" s="3">
        <v>12</v>
      </c>
      <c r="B17" s="24" t="s">
        <v>125</v>
      </c>
      <c r="C17" s="9" t="s">
        <v>113</v>
      </c>
      <c r="D17" s="10">
        <v>7.84</v>
      </c>
      <c r="E17" s="10">
        <f t="shared" si="0"/>
        <v>2.7047999999999996</v>
      </c>
      <c r="F17" s="10">
        <v>9.77</v>
      </c>
      <c r="G17" s="10">
        <f t="shared" si="1"/>
        <v>20.314799999999998</v>
      </c>
      <c r="H17" s="10">
        <v>39.99</v>
      </c>
      <c r="I17" s="10">
        <f t="shared" si="2"/>
        <v>4.4889900000000003</v>
      </c>
      <c r="J17" s="10">
        <f t="shared" si="3"/>
        <v>15.186210000000003</v>
      </c>
      <c r="K17" s="4">
        <f t="shared" si="4"/>
        <v>0.37975018754688677</v>
      </c>
      <c r="L17" s="10">
        <f t="shared" si="5"/>
        <v>1.4997</v>
      </c>
      <c r="M17" s="10">
        <f t="shared" si="6"/>
        <v>18.175500000000003</v>
      </c>
      <c r="N17" s="4">
        <f t="shared" si="7"/>
        <v>0.45450112528132036</v>
      </c>
      <c r="Q17" s="3" t="s">
        <v>137</v>
      </c>
      <c r="S17" s="23" t="s">
        <v>128</v>
      </c>
    </row>
    <row r="18" spans="1:19" ht="15" customHeight="1">
      <c r="A18" s="3">
        <v>13</v>
      </c>
      <c r="B18" s="24" t="s">
        <v>126</v>
      </c>
      <c r="C18" s="9" t="s">
        <v>113</v>
      </c>
      <c r="D18" s="10">
        <v>8.06</v>
      </c>
      <c r="E18" s="10">
        <f t="shared" si="0"/>
        <v>2.7806999999999999</v>
      </c>
      <c r="F18" s="10">
        <v>9.77</v>
      </c>
      <c r="G18" s="10">
        <f t="shared" si="1"/>
        <v>20.610700000000001</v>
      </c>
      <c r="H18" s="10">
        <v>39.99</v>
      </c>
      <c r="I18" s="10">
        <f t="shared" si="2"/>
        <v>4.4889900000000003</v>
      </c>
      <c r="J18" s="10">
        <f t="shared" si="3"/>
        <v>14.890309999999999</v>
      </c>
      <c r="K18" s="4">
        <f t="shared" si="4"/>
        <v>0.37235083770942734</v>
      </c>
      <c r="L18" s="10">
        <f t="shared" si="5"/>
        <v>1.4997</v>
      </c>
      <c r="M18" s="10">
        <f t="shared" si="6"/>
        <v>17.8796</v>
      </c>
      <c r="N18" s="4">
        <f t="shared" si="7"/>
        <v>0.44710177544386093</v>
      </c>
      <c r="Q18" s="25" t="s">
        <v>123</v>
      </c>
      <c r="S18" s="23" t="s">
        <v>130</v>
      </c>
    </row>
    <row r="19" spans="1:19" ht="15" customHeight="1">
      <c r="A19" s="3">
        <v>14</v>
      </c>
      <c r="B19" s="23" t="s">
        <v>394</v>
      </c>
      <c r="C19" s="9" t="s">
        <v>113</v>
      </c>
      <c r="D19" s="10">
        <v>10.78</v>
      </c>
      <c r="E19" s="10">
        <f t="shared" si="0"/>
        <v>3.7190999999999996</v>
      </c>
      <c r="F19" s="10">
        <v>9.77</v>
      </c>
      <c r="G19" s="10">
        <f t="shared" si="1"/>
        <v>24.269099999999998</v>
      </c>
      <c r="H19" s="10">
        <v>44.99</v>
      </c>
      <c r="I19" s="10">
        <f t="shared" si="2"/>
        <v>4.993990000000001</v>
      </c>
      <c r="J19" s="10">
        <f t="shared" si="3"/>
        <v>15.726910000000004</v>
      </c>
      <c r="K19" s="4">
        <f t="shared" si="4"/>
        <v>0.34956456990442325</v>
      </c>
      <c r="L19" s="10">
        <f t="shared" si="5"/>
        <v>1.6496999999999999</v>
      </c>
      <c r="M19" s="10">
        <f t="shared" si="6"/>
        <v>19.071200000000005</v>
      </c>
      <c r="N19" s="4">
        <f t="shared" si="7"/>
        <v>0.42389864414314299</v>
      </c>
      <c r="Q19" s="3" t="s">
        <v>140</v>
      </c>
      <c r="S19" s="23" t="s">
        <v>131</v>
      </c>
    </row>
    <row r="20" spans="1:19" ht="15" customHeight="1">
      <c r="A20" s="3">
        <v>15</v>
      </c>
      <c r="B20" s="3" t="s">
        <v>127</v>
      </c>
      <c r="C20" s="11" t="s">
        <v>115</v>
      </c>
      <c r="D20" s="10">
        <v>12.74</v>
      </c>
      <c r="E20" s="10">
        <f t="shared" si="0"/>
        <v>4.3952999999999998</v>
      </c>
      <c r="F20" s="10">
        <v>13</v>
      </c>
      <c r="G20" s="10">
        <f t="shared" si="1"/>
        <v>30.135300000000001</v>
      </c>
      <c r="H20" s="10">
        <v>44.99</v>
      </c>
      <c r="I20" s="10">
        <f t="shared" si="2"/>
        <v>4.993990000000001</v>
      </c>
      <c r="J20" s="10">
        <f t="shared" si="3"/>
        <v>9.860710000000001</v>
      </c>
      <c r="K20" s="4">
        <f t="shared" si="4"/>
        <v>0.2191755945765726</v>
      </c>
      <c r="L20" s="10">
        <f t="shared" si="5"/>
        <v>1.6496999999999999</v>
      </c>
      <c r="M20" s="10">
        <f t="shared" si="6"/>
        <v>13.205000000000002</v>
      </c>
      <c r="N20" s="4">
        <f t="shared" si="7"/>
        <v>0.29350966881529233</v>
      </c>
      <c r="S20" s="27" t="s">
        <v>133</v>
      </c>
    </row>
    <row r="21" spans="1:19" ht="15" customHeight="1">
      <c r="A21" s="3">
        <v>16</v>
      </c>
      <c r="B21" s="23" t="s">
        <v>128</v>
      </c>
      <c r="C21" s="9" t="s">
        <v>113</v>
      </c>
      <c r="D21" s="10">
        <v>9.56</v>
      </c>
      <c r="E21" s="10">
        <f t="shared" si="0"/>
        <v>3.2982</v>
      </c>
      <c r="F21" s="10">
        <v>9.77</v>
      </c>
      <c r="G21" s="10">
        <f t="shared" si="1"/>
        <v>22.6282</v>
      </c>
      <c r="H21" s="10">
        <v>44.99</v>
      </c>
      <c r="I21" s="10">
        <f t="shared" si="2"/>
        <v>4.993990000000001</v>
      </c>
      <c r="J21" s="10">
        <f t="shared" si="3"/>
        <v>17.367810000000002</v>
      </c>
      <c r="K21" s="4">
        <f t="shared" si="4"/>
        <v>0.38603711935985779</v>
      </c>
      <c r="L21" s="10">
        <f t="shared" si="5"/>
        <v>1.6496999999999999</v>
      </c>
      <c r="M21" s="10">
        <f t="shared" si="6"/>
        <v>20.712100000000003</v>
      </c>
      <c r="N21" s="4">
        <f t="shared" si="7"/>
        <v>0.46037119359857753</v>
      </c>
      <c r="S21" s="23" t="s">
        <v>135</v>
      </c>
    </row>
    <row r="22" spans="1:19" ht="15" customHeight="1">
      <c r="A22" s="3">
        <v>17</v>
      </c>
      <c r="B22" s="3" t="s">
        <v>129</v>
      </c>
      <c r="C22" s="11" t="s">
        <v>115</v>
      </c>
      <c r="D22" s="10">
        <v>14.3</v>
      </c>
      <c r="E22" s="10">
        <f t="shared" si="0"/>
        <v>4.9334999999999996</v>
      </c>
      <c r="F22" s="10">
        <v>13</v>
      </c>
      <c r="G22" s="10">
        <f t="shared" si="1"/>
        <v>32.233499999999999</v>
      </c>
      <c r="H22" s="10">
        <v>44.99</v>
      </c>
      <c r="I22" s="10">
        <f t="shared" si="2"/>
        <v>4.993990000000001</v>
      </c>
      <c r="J22" s="10">
        <f t="shared" si="3"/>
        <v>7.7625100000000016</v>
      </c>
      <c r="K22" s="4">
        <f t="shared" si="4"/>
        <v>0.17253856412536123</v>
      </c>
      <c r="L22" s="10">
        <f t="shared" si="5"/>
        <v>1.6496999999999999</v>
      </c>
      <c r="M22" s="10">
        <f t="shared" si="6"/>
        <v>11.106800000000003</v>
      </c>
      <c r="N22" s="4">
        <f t="shared" si="7"/>
        <v>0.24687263836408097</v>
      </c>
      <c r="S22" s="23" t="s">
        <v>136</v>
      </c>
    </row>
    <row r="23" spans="1:19" ht="15" customHeight="1">
      <c r="A23" s="3">
        <v>18</v>
      </c>
      <c r="B23" s="23" t="s">
        <v>130</v>
      </c>
      <c r="C23" s="9" t="s">
        <v>113</v>
      </c>
      <c r="D23" s="10">
        <v>9.39</v>
      </c>
      <c r="E23" s="10">
        <f t="shared" si="0"/>
        <v>3.2395499999999999</v>
      </c>
      <c r="F23" s="10">
        <v>9.77</v>
      </c>
      <c r="G23" s="10">
        <f t="shared" si="1"/>
        <v>22.399549999999998</v>
      </c>
      <c r="H23" s="10">
        <v>44.99</v>
      </c>
      <c r="I23" s="10">
        <f t="shared" si="2"/>
        <v>4.993990000000001</v>
      </c>
      <c r="J23" s="10">
        <f t="shared" si="3"/>
        <v>17.596460000000004</v>
      </c>
      <c r="K23" s="4">
        <f t="shared" si="4"/>
        <v>0.39111935985774626</v>
      </c>
      <c r="L23" s="10">
        <f t="shared" si="5"/>
        <v>1.6496999999999999</v>
      </c>
      <c r="M23" s="10">
        <f t="shared" si="6"/>
        <v>20.940750000000005</v>
      </c>
      <c r="N23" s="4">
        <f t="shared" si="7"/>
        <v>0.46545343409646595</v>
      </c>
      <c r="S23" s="23" t="s">
        <v>138</v>
      </c>
    </row>
    <row r="24" spans="1:19" ht="15" customHeight="1">
      <c r="A24" s="3">
        <v>19</v>
      </c>
      <c r="B24" s="23" t="s">
        <v>131</v>
      </c>
      <c r="C24" s="9" t="s">
        <v>113</v>
      </c>
      <c r="D24" s="10">
        <v>10.46</v>
      </c>
      <c r="E24" s="10">
        <f t="shared" si="0"/>
        <v>3.6086999999999998</v>
      </c>
      <c r="F24" s="10">
        <v>9.77</v>
      </c>
      <c r="G24" s="10">
        <f t="shared" si="1"/>
        <v>23.838699999999999</v>
      </c>
      <c r="H24" s="10">
        <v>49.99</v>
      </c>
      <c r="I24" s="10">
        <f t="shared" si="2"/>
        <v>5.4989900000000009</v>
      </c>
      <c r="J24" s="10">
        <f t="shared" si="3"/>
        <v>20.65231</v>
      </c>
      <c r="K24" s="4">
        <f t="shared" si="4"/>
        <v>0.41312882576515303</v>
      </c>
      <c r="L24" s="10">
        <f t="shared" si="5"/>
        <v>1.7997000000000001</v>
      </c>
      <c r="M24" s="10">
        <f t="shared" si="6"/>
        <v>24.351600000000001</v>
      </c>
      <c r="N24" s="4">
        <f t="shared" si="7"/>
        <v>0.48712942588517705</v>
      </c>
      <c r="S24" s="23" t="s">
        <v>139</v>
      </c>
    </row>
    <row r="25" spans="1:19" ht="15" customHeight="1">
      <c r="A25" s="3">
        <v>20</v>
      </c>
      <c r="B25" s="3" t="s">
        <v>132</v>
      </c>
      <c r="C25" s="11" t="s">
        <v>115</v>
      </c>
      <c r="D25" s="10">
        <v>14.89</v>
      </c>
      <c r="E25" s="10">
        <f t="shared" si="0"/>
        <v>5.1370499999999995</v>
      </c>
      <c r="F25" s="10">
        <v>13</v>
      </c>
      <c r="G25" s="10">
        <f t="shared" si="1"/>
        <v>33.027050000000003</v>
      </c>
      <c r="H25" s="10">
        <v>49.99</v>
      </c>
      <c r="I25" s="10">
        <f t="shared" si="2"/>
        <v>5.4989900000000009</v>
      </c>
      <c r="J25" s="10">
        <f t="shared" si="3"/>
        <v>11.463959999999998</v>
      </c>
      <c r="K25" s="4">
        <f t="shared" si="4"/>
        <v>0.22932506501300257</v>
      </c>
      <c r="L25" s="10">
        <f t="shared" si="5"/>
        <v>1.7997000000000001</v>
      </c>
      <c r="M25" s="10">
        <f t="shared" si="6"/>
        <v>15.16325</v>
      </c>
      <c r="N25" s="4">
        <f t="shared" si="7"/>
        <v>0.30332566513302661</v>
      </c>
    </row>
    <row r="26" spans="1:19" ht="15" customHeight="1">
      <c r="A26" s="3">
        <v>21</v>
      </c>
      <c r="B26" s="27" t="s">
        <v>133</v>
      </c>
      <c r="C26" s="9" t="s">
        <v>113</v>
      </c>
      <c r="D26" s="10">
        <v>10.67</v>
      </c>
      <c r="E26" s="10">
        <f t="shared" si="0"/>
        <v>3.6811499999999997</v>
      </c>
      <c r="F26" s="10">
        <v>9.77</v>
      </c>
      <c r="G26" s="10">
        <f t="shared" si="1"/>
        <v>24.12115</v>
      </c>
      <c r="H26" s="10">
        <v>49.99</v>
      </c>
      <c r="I26" s="10">
        <f t="shared" si="2"/>
        <v>5.4989900000000009</v>
      </c>
      <c r="J26" s="10">
        <f t="shared" si="3"/>
        <v>20.369860000000003</v>
      </c>
      <c r="K26" s="4">
        <f t="shared" si="4"/>
        <v>0.40747869573914786</v>
      </c>
      <c r="L26" s="10">
        <f t="shared" si="5"/>
        <v>1.7997000000000001</v>
      </c>
      <c r="M26" s="10">
        <f t="shared" si="6"/>
        <v>24.06915</v>
      </c>
      <c r="N26" s="4">
        <f t="shared" si="7"/>
        <v>0.48147929585917182</v>
      </c>
    </row>
    <row r="27" spans="1:19" ht="15" customHeight="1">
      <c r="A27" s="3">
        <v>22</v>
      </c>
      <c r="B27" s="3" t="s">
        <v>134</v>
      </c>
      <c r="C27" s="11" t="s">
        <v>115</v>
      </c>
      <c r="D27" s="10">
        <v>15.87</v>
      </c>
      <c r="E27" s="10">
        <f t="shared" si="0"/>
        <v>5.4751499999999993</v>
      </c>
      <c r="F27" s="10">
        <v>13</v>
      </c>
      <c r="G27" s="10">
        <f t="shared" si="1"/>
        <v>34.345149999999997</v>
      </c>
      <c r="H27" s="10">
        <v>49.99</v>
      </c>
      <c r="I27" s="10">
        <f t="shared" si="2"/>
        <v>5.4989900000000009</v>
      </c>
      <c r="J27" s="10">
        <f t="shared" si="3"/>
        <v>10.145860000000004</v>
      </c>
      <c r="K27" s="4">
        <f t="shared" si="4"/>
        <v>0.20295779155831173</v>
      </c>
      <c r="L27" s="10">
        <f t="shared" si="5"/>
        <v>1.7997000000000001</v>
      </c>
      <c r="M27" s="10">
        <f t="shared" si="6"/>
        <v>13.845150000000006</v>
      </c>
      <c r="N27" s="4">
        <f t="shared" si="7"/>
        <v>0.27695839167833575</v>
      </c>
    </row>
    <row r="28" spans="1:19" ht="15" customHeight="1">
      <c r="A28" s="3">
        <v>23</v>
      </c>
      <c r="B28" s="23" t="s">
        <v>135</v>
      </c>
      <c r="C28" s="9" t="s">
        <v>113</v>
      </c>
      <c r="D28" s="10">
        <v>13.46</v>
      </c>
      <c r="E28" s="10">
        <f t="shared" si="0"/>
        <v>4.6436999999999999</v>
      </c>
      <c r="F28" s="10">
        <v>9.77</v>
      </c>
      <c r="G28" s="10">
        <f t="shared" si="1"/>
        <v>27.873699999999999</v>
      </c>
      <c r="H28" s="10">
        <v>49.99</v>
      </c>
      <c r="I28" s="10">
        <f t="shared" si="2"/>
        <v>5.4989900000000009</v>
      </c>
      <c r="J28" s="10">
        <f t="shared" si="3"/>
        <v>16.617310000000003</v>
      </c>
      <c r="K28" s="4">
        <f t="shared" si="4"/>
        <v>0.33241268253650735</v>
      </c>
      <c r="L28" s="10">
        <f t="shared" si="5"/>
        <v>1.7997000000000001</v>
      </c>
      <c r="M28" s="10">
        <f t="shared" si="6"/>
        <v>20.316600000000001</v>
      </c>
      <c r="N28" s="4">
        <f t="shared" si="7"/>
        <v>0.40641328265653132</v>
      </c>
    </row>
    <row r="29" spans="1:19" ht="15" customHeight="1">
      <c r="A29" s="3">
        <v>24</v>
      </c>
      <c r="B29" s="23" t="s">
        <v>136</v>
      </c>
      <c r="C29" s="9" t="s">
        <v>113</v>
      </c>
      <c r="D29" s="10">
        <v>11.31</v>
      </c>
      <c r="E29" s="10">
        <f t="shared" si="0"/>
        <v>3.9019499999999998</v>
      </c>
      <c r="F29" s="10">
        <v>9.77</v>
      </c>
      <c r="G29" s="10">
        <f t="shared" si="1"/>
        <v>24.981949999999998</v>
      </c>
      <c r="H29" s="10">
        <v>49.99</v>
      </c>
      <c r="I29" s="10">
        <f t="shared" si="2"/>
        <v>5.4989900000000009</v>
      </c>
      <c r="J29" s="10">
        <f t="shared" si="3"/>
        <v>19.509060000000005</v>
      </c>
      <c r="K29" s="4">
        <f t="shared" si="4"/>
        <v>0.39025925185037014</v>
      </c>
      <c r="L29" s="10">
        <f t="shared" si="5"/>
        <v>1.7997000000000001</v>
      </c>
      <c r="M29" s="10">
        <f t="shared" si="6"/>
        <v>23.208350000000003</v>
      </c>
      <c r="N29" s="4">
        <f t="shared" si="7"/>
        <v>0.4642598519703941</v>
      </c>
    </row>
    <row r="30" spans="1:19" ht="15" customHeight="1">
      <c r="A30" s="3">
        <v>25</v>
      </c>
      <c r="B30" s="3" t="s">
        <v>137</v>
      </c>
      <c r="C30" s="11" t="s">
        <v>115</v>
      </c>
      <c r="D30" s="10">
        <v>13.81</v>
      </c>
      <c r="E30" s="10">
        <f t="shared" si="0"/>
        <v>4.7644500000000001</v>
      </c>
      <c r="F30" s="10">
        <v>13</v>
      </c>
      <c r="G30" s="10">
        <f t="shared" si="1"/>
        <v>31.574449999999999</v>
      </c>
      <c r="H30" s="10">
        <v>49.99</v>
      </c>
      <c r="I30" s="10">
        <f t="shared" si="2"/>
        <v>5.4989900000000009</v>
      </c>
      <c r="J30" s="10">
        <f t="shared" si="3"/>
        <v>12.916560000000002</v>
      </c>
      <c r="K30" s="4">
        <f t="shared" si="4"/>
        <v>0.25838287657531511</v>
      </c>
      <c r="L30" s="10">
        <f t="shared" si="5"/>
        <v>1.7997000000000001</v>
      </c>
      <c r="M30" s="10">
        <f t="shared" si="6"/>
        <v>16.615850000000002</v>
      </c>
      <c r="N30" s="4">
        <f t="shared" si="7"/>
        <v>0.33238347669533908</v>
      </c>
    </row>
    <row r="31" spans="1:19" ht="15" customHeight="1">
      <c r="A31" s="3">
        <v>26</v>
      </c>
      <c r="B31" s="23" t="s">
        <v>138</v>
      </c>
      <c r="C31" s="9" t="s">
        <v>113</v>
      </c>
      <c r="D31" s="10">
        <v>12.45</v>
      </c>
      <c r="E31" s="10">
        <f t="shared" si="0"/>
        <v>4.2952499999999993</v>
      </c>
      <c r="F31" s="10">
        <v>9.77</v>
      </c>
      <c r="G31" s="10">
        <f t="shared" si="1"/>
        <v>26.515249999999998</v>
      </c>
      <c r="H31" s="10">
        <v>49.99</v>
      </c>
      <c r="I31" s="10">
        <f t="shared" si="2"/>
        <v>5.4989900000000009</v>
      </c>
      <c r="J31" s="10">
        <f t="shared" si="3"/>
        <v>17.975760000000001</v>
      </c>
      <c r="K31" s="4">
        <f t="shared" si="4"/>
        <v>0.3595871174234847</v>
      </c>
      <c r="L31" s="10">
        <f t="shared" si="5"/>
        <v>1.7997000000000001</v>
      </c>
      <c r="M31" s="10">
        <f t="shared" si="6"/>
        <v>21.675050000000002</v>
      </c>
      <c r="N31" s="4">
        <f t="shared" si="7"/>
        <v>0.43358771754350872</v>
      </c>
    </row>
    <row r="32" spans="1:19" ht="15" customHeight="1">
      <c r="A32" s="3">
        <v>27</v>
      </c>
      <c r="B32" s="25" t="s">
        <v>123</v>
      </c>
      <c r="C32" s="11" t="s">
        <v>115</v>
      </c>
      <c r="D32" s="10">
        <v>14.11</v>
      </c>
      <c r="E32" s="10">
        <f t="shared" si="0"/>
        <v>4.8679499999999996</v>
      </c>
      <c r="F32" s="10">
        <v>13</v>
      </c>
      <c r="G32" s="10">
        <f t="shared" si="1"/>
        <v>31.97795</v>
      </c>
      <c r="H32" s="10">
        <v>49.99</v>
      </c>
      <c r="I32" s="10">
        <f t="shared" si="2"/>
        <v>5.4989900000000009</v>
      </c>
      <c r="J32" s="10">
        <f t="shared" si="3"/>
        <v>12.513060000000001</v>
      </c>
      <c r="K32" s="4">
        <f t="shared" si="4"/>
        <v>0.25031126225245048</v>
      </c>
      <c r="L32" s="10">
        <f t="shared" si="5"/>
        <v>1.7997000000000001</v>
      </c>
      <c r="M32" s="10">
        <f t="shared" si="6"/>
        <v>16.212350000000001</v>
      </c>
      <c r="N32" s="4">
        <f t="shared" si="7"/>
        <v>0.3243118623724745</v>
      </c>
    </row>
    <row r="33" spans="1:14" ht="15" customHeight="1">
      <c r="A33" s="3">
        <v>28</v>
      </c>
      <c r="B33" s="23" t="s">
        <v>139</v>
      </c>
      <c r="C33" s="9" t="s">
        <v>113</v>
      </c>
      <c r="D33" s="10">
        <v>12.45</v>
      </c>
      <c r="E33" s="10">
        <f t="shared" si="0"/>
        <v>4.2952499999999993</v>
      </c>
      <c r="F33" s="10">
        <v>9.77</v>
      </c>
      <c r="G33" s="10">
        <f t="shared" si="1"/>
        <v>26.515249999999998</v>
      </c>
      <c r="H33" s="10">
        <v>44.99</v>
      </c>
      <c r="I33" s="10">
        <f t="shared" si="2"/>
        <v>4.993990000000001</v>
      </c>
      <c r="J33" s="10">
        <f t="shared" si="3"/>
        <v>13.480760000000004</v>
      </c>
      <c r="K33" s="4">
        <f t="shared" si="4"/>
        <v>0.29963903089575467</v>
      </c>
      <c r="L33" s="10">
        <f t="shared" si="5"/>
        <v>1.6496999999999999</v>
      </c>
      <c r="M33" s="10">
        <f t="shared" si="6"/>
        <v>16.825050000000005</v>
      </c>
      <c r="N33" s="4">
        <f t="shared" si="7"/>
        <v>0.3739731051344744</v>
      </c>
    </row>
    <row r="34" spans="1:14" ht="15" customHeight="1">
      <c r="A34" s="3">
        <v>29</v>
      </c>
      <c r="B34" s="3" t="s">
        <v>140</v>
      </c>
      <c r="C34" s="11" t="s">
        <v>115</v>
      </c>
      <c r="D34" s="10">
        <v>13.03</v>
      </c>
      <c r="E34" s="10">
        <f t="shared" si="0"/>
        <v>4.4953499999999993</v>
      </c>
      <c r="F34" s="10">
        <v>13</v>
      </c>
      <c r="G34" s="10">
        <f t="shared" si="1"/>
        <v>30.52535</v>
      </c>
      <c r="H34" s="10">
        <v>49.99</v>
      </c>
      <c r="I34" s="10">
        <f t="shared" si="2"/>
        <v>5.4989900000000009</v>
      </c>
      <c r="J34" s="10">
        <f t="shared" si="3"/>
        <v>13.965660000000002</v>
      </c>
      <c r="K34" s="4">
        <f t="shared" si="4"/>
        <v>0.27936907381476295</v>
      </c>
      <c r="L34" s="10">
        <f t="shared" si="5"/>
        <v>1.7997000000000001</v>
      </c>
      <c r="M34" s="10">
        <f t="shared" si="6"/>
        <v>17.664950000000001</v>
      </c>
      <c r="N34" s="4">
        <f t="shared" si="7"/>
        <v>0.35336967393478697</v>
      </c>
    </row>
    <row r="35" spans="1:14" ht="15" customHeight="1">
      <c r="B35" s="29" t="s">
        <v>396</v>
      </c>
    </row>
    <row r="36" spans="1:14" ht="15" customHeight="1">
      <c r="B36" s="26" t="s">
        <v>395</v>
      </c>
    </row>
    <row r="37" spans="1:14" ht="15" customHeight="1">
      <c r="B37" s="30" t="s">
        <v>397</v>
      </c>
    </row>
    <row r="38" spans="1:14" ht="15" customHeight="1">
      <c r="B38" s="28" t="s">
        <v>398</v>
      </c>
    </row>
    <row r="39" spans="1:14" ht="15" customHeight="1">
      <c r="B39" s="29" t="s">
        <v>399</v>
      </c>
    </row>
    <row r="40" spans="1:14" ht="15" customHeight="1">
      <c r="B40" s="26" t="s">
        <v>400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72B6"/>
  </sheetPr>
  <dimension ref="A1:O14"/>
  <sheetViews>
    <sheetView zoomScaleNormal="100" workbookViewId="0">
      <selection activeCell="K21" sqref="K21"/>
    </sheetView>
  </sheetViews>
  <sheetFormatPr defaultColWidth="8.6640625" defaultRowHeight="15" customHeight="1"/>
  <cols>
    <col min="1" max="1" width="4" style="1" customWidth="1"/>
    <col min="2" max="2" width="34" style="1" customWidth="1"/>
    <col min="3" max="4" width="12" style="1" customWidth="1"/>
    <col min="5" max="5" width="11" style="1" customWidth="1"/>
    <col min="6" max="7" width="10" style="1" customWidth="1"/>
    <col min="8" max="8" width="12" style="1" customWidth="1"/>
    <col min="9" max="12" width="10" style="1" customWidth="1"/>
    <col min="13" max="14" width="8" style="1" customWidth="1"/>
    <col min="15" max="15" width="14" style="1" customWidth="1"/>
  </cols>
  <sheetData>
    <row r="1" spans="1:15" ht="17.25" customHeight="1">
      <c r="A1" s="31" t="s">
        <v>141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5" customHeight="1">
      <c r="A2" s="32" t="s">
        <v>142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5" customHeight="1">
      <c r="A3" s="7" t="s">
        <v>95</v>
      </c>
      <c r="B3" s="8">
        <v>0.34499999999999997</v>
      </c>
      <c r="C3" s="7" t="s">
        <v>96</v>
      </c>
      <c r="D3" s="8">
        <v>0.10100000000000001</v>
      </c>
      <c r="E3" s="7" t="s">
        <v>143</v>
      </c>
      <c r="F3" s="8">
        <v>0</v>
      </c>
    </row>
    <row r="5" spans="1:15" ht="26.25" customHeight="1">
      <c r="A5" s="2" t="s">
        <v>98</v>
      </c>
      <c r="B5" s="2" t="s">
        <v>144</v>
      </c>
      <c r="C5" s="2" t="s">
        <v>100</v>
      </c>
      <c r="D5" s="2" t="s">
        <v>145</v>
      </c>
      <c r="E5" s="2" t="s">
        <v>146</v>
      </c>
      <c r="F5" s="2" t="s">
        <v>147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148</v>
      </c>
      <c r="L5" s="2" t="s">
        <v>149</v>
      </c>
      <c r="M5" s="2" t="s">
        <v>150</v>
      </c>
      <c r="N5" s="2" t="s">
        <v>151</v>
      </c>
      <c r="O5" s="2" t="s">
        <v>152</v>
      </c>
    </row>
    <row r="6" spans="1:15" ht="15" customHeight="1">
      <c r="A6" s="3">
        <v>1</v>
      </c>
      <c r="B6" s="3" t="s">
        <v>153</v>
      </c>
      <c r="C6" s="12" t="s">
        <v>154</v>
      </c>
      <c r="D6" s="3" t="s">
        <v>155</v>
      </c>
      <c r="E6" s="10">
        <v>45.35</v>
      </c>
      <c r="F6" s="10">
        <v>0</v>
      </c>
      <c r="G6" s="10">
        <v>8.59</v>
      </c>
      <c r="H6" s="10">
        <f t="shared" ref="H6:H14" si="0">E6+F6+G6</f>
        <v>53.94</v>
      </c>
      <c r="I6" s="10">
        <v>74.989999999999995</v>
      </c>
      <c r="J6" s="10">
        <f t="shared" ref="J6:J14" si="1">I6*$D$3+0.45</f>
        <v>8.0239899999999995</v>
      </c>
      <c r="K6" s="10">
        <f t="shared" ref="K6:K14" si="2">I6-H6-J6</f>
        <v>13.026009999999998</v>
      </c>
      <c r="L6" s="4">
        <f t="shared" ref="L6:L14" si="3">IF(I6&gt;0,K6/I6,0)</f>
        <v>0.17370329377250299</v>
      </c>
      <c r="M6" s="3" t="s">
        <v>156</v>
      </c>
      <c r="N6" s="3" t="s">
        <v>157</v>
      </c>
      <c r="O6" s="3" t="str">
        <f t="shared" ref="O6:O14" si="4">"~"&amp;M6&amp;" + "&amp;N6</f>
        <v>~3-7 + 2-5</v>
      </c>
    </row>
    <row r="7" spans="1:15" ht="15" customHeight="1">
      <c r="A7" s="3">
        <v>2</v>
      </c>
      <c r="B7" s="3" t="s">
        <v>158</v>
      </c>
      <c r="C7" s="9" t="s">
        <v>113</v>
      </c>
      <c r="D7" s="3" t="s">
        <v>159</v>
      </c>
      <c r="E7" s="10">
        <v>6.84</v>
      </c>
      <c r="F7" s="10">
        <f>E7*$B$3</f>
        <v>2.3597999999999999</v>
      </c>
      <c r="G7" s="10">
        <v>9.77</v>
      </c>
      <c r="H7" s="10">
        <f t="shared" si="0"/>
        <v>18.969799999999999</v>
      </c>
      <c r="I7" s="10">
        <v>39.99</v>
      </c>
      <c r="J7" s="10">
        <f t="shared" si="1"/>
        <v>4.4889900000000003</v>
      </c>
      <c r="K7" s="10">
        <f t="shared" si="2"/>
        <v>16.531210000000002</v>
      </c>
      <c r="L7" s="4">
        <f t="shared" si="3"/>
        <v>0.41338359589897478</v>
      </c>
      <c r="M7" s="3" t="s">
        <v>160</v>
      </c>
      <c r="N7" s="3" t="s">
        <v>157</v>
      </c>
      <c r="O7" s="3" t="str">
        <f t="shared" si="4"/>
        <v>~10-15 + 2-5</v>
      </c>
    </row>
    <row r="8" spans="1:15" ht="15" customHeight="1">
      <c r="A8" s="3">
        <v>3</v>
      </c>
      <c r="B8" s="3" t="s">
        <v>161</v>
      </c>
      <c r="C8" s="9" t="s">
        <v>113</v>
      </c>
      <c r="D8" s="3" t="s">
        <v>159</v>
      </c>
      <c r="E8" s="10">
        <v>7.2</v>
      </c>
      <c r="F8" s="10">
        <f>E8*$B$3</f>
        <v>2.484</v>
      </c>
      <c r="G8" s="10">
        <v>9.77</v>
      </c>
      <c r="H8" s="10">
        <f t="shared" si="0"/>
        <v>19.454000000000001</v>
      </c>
      <c r="I8" s="10">
        <v>39.99</v>
      </c>
      <c r="J8" s="10">
        <f t="shared" si="1"/>
        <v>4.4889900000000003</v>
      </c>
      <c r="K8" s="10">
        <f t="shared" si="2"/>
        <v>16.04701</v>
      </c>
      <c r="L8" s="4">
        <f t="shared" si="3"/>
        <v>0.40127556889222304</v>
      </c>
      <c r="M8" s="3" t="s">
        <v>160</v>
      </c>
      <c r="N8" s="3" t="s">
        <v>157</v>
      </c>
      <c r="O8" s="3" t="str">
        <f t="shared" si="4"/>
        <v>~10-15 + 2-5</v>
      </c>
    </row>
    <row r="9" spans="1:15" ht="15" customHeight="1">
      <c r="A9" s="3">
        <v>4</v>
      </c>
      <c r="B9" s="3" t="s">
        <v>162</v>
      </c>
      <c r="C9" s="9" t="s">
        <v>113</v>
      </c>
      <c r="D9" s="3" t="s">
        <v>159</v>
      </c>
      <c r="E9" s="10">
        <v>7.05</v>
      </c>
      <c r="F9" s="10">
        <f>E9*$B$3</f>
        <v>2.4322499999999998</v>
      </c>
      <c r="G9" s="10">
        <v>9.77</v>
      </c>
      <c r="H9" s="10">
        <f t="shared" si="0"/>
        <v>19.25225</v>
      </c>
      <c r="I9" s="10">
        <v>39.99</v>
      </c>
      <c r="J9" s="10">
        <f t="shared" si="1"/>
        <v>4.4889900000000003</v>
      </c>
      <c r="K9" s="10">
        <f t="shared" si="2"/>
        <v>16.248760000000001</v>
      </c>
      <c r="L9" s="4">
        <f t="shared" si="3"/>
        <v>0.40632058014503625</v>
      </c>
      <c r="M9" s="3" t="s">
        <v>160</v>
      </c>
      <c r="N9" s="3" t="s">
        <v>157</v>
      </c>
      <c r="O9" s="3" t="str">
        <f t="shared" si="4"/>
        <v>~10-15 + 2-5</v>
      </c>
    </row>
    <row r="10" spans="1:15" ht="15" customHeight="1">
      <c r="A10" s="3">
        <v>5</v>
      </c>
      <c r="B10" s="3" t="s">
        <v>163</v>
      </c>
      <c r="C10" s="9" t="s">
        <v>113</v>
      </c>
      <c r="D10" s="3" t="s">
        <v>159</v>
      </c>
      <c r="E10" s="10">
        <v>4.84</v>
      </c>
      <c r="F10" s="10">
        <f>E10*$B$3</f>
        <v>1.6697999999999997</v>
      </c>
      <c r="G10" s="10">
        <v>9.77</v>
      </c>
      <c r="H10" s="10">
        <f t="shared" si="0"/>
        <v>16.279799999999998</v>
      </c>
      <c r="I10" s="10">
        <v>34.99</v>
      </c>
      <c r="J10" s="10">
        <f t="shared" si="1"/>
        <v>3.9839900000000008</v>
      </c>
      <c r="K10" s="10">
        <f t="shared" si="2"/>
        <v>14.726210000000004</v>
      </c>
      <c r="L10" s="4">
        <f t="shared" si="3"/>
        <v>0.42086910545870254</v>
      </c>
      <c r="M10" s="3" t="s">
        <v>160</v>
      </c>
      <c r="N10" s="3" t="s">
        <v>157</v>
      </c>
      <c r="O10" s="3" t="str">
        <f t="shared" si="4"/>
        <v>~10-15 + 2-5</v>
      </c>
    </row>
    <row r="11" spans="1:15" ht="15" customHeight="1">
      <c r="A11" s="3">
        <v>6</v>
      </c>
      <c r="B11" s="3" t="s">
        <v>164</v>
      </c>
      <c r="C11" s="12" t="s">
        <v>154</v>
      </c>
      <c r="D11" s="3" t="s">
        <v>155</v>
      </c>
      <c r="E11" s="10">
        <v>29.31</v>
      </c>
      <c r="F11" s="10">
        <v>0</v>
      </c>
      <c r="G11" s="10">
        <v>8.59</v>
      </c>
      <c r="H11" s="10">
        <f t="shared" si="0"/>
        <v>37.9</v>
      </c>
      <c r="I11" s="10">
        <v>59.99</v>
      </c>
      <c r="J11" s="10">
        <f t="shared" si="1"/>
        <v>6.5089900000000007</v>
      </c>
      <c r="K11" s="10">
        <f t="shared" si="2"/>
        <v>15.581010000000003</v>
      </c>
      <c r="L11" s="4">
        <f t="shared" si="3"/>
        <v>0.25972678779796637</v>
      </c>
      <c r="M11" s="3" t="s">
        <v>156</v>
      </c>
      <c r="N11" s="3" t="s">
        <v>157</v>
      </c>
      <c r="O11" s="3" t="str">
        <f t="shared" si="4"/>
        <v>~3-7 + 2-5</v>
      </c>
    </row>
    <row r="12" spans="1:15" ht="15" customHeight="1">
      <c r="A12" s="3">
        <v>7</v>
      </c>
      <c r="B12" s="3" t="s">
        <v>165</v>
      </c>
      <c r="C12" s="9" t="s">
        <v>113</v>
      </c>
      <c r="D12" s="3" t="s">
        <v>159</v>
      </c>
      <c r="E12" s="10">
        <v>6.34</v>
      </c>
      <c r="F12" s="10">
        <f>E12*$B$3</f>
        <v>2.1872999999999996</v>
      </c>
      <c r="G12" s="10">
        <v>9.77</v>
      </c>
      <c r="H12" s="10">
        <f t="shared" si="0"/>
        <v>18.2973</v>
      </c>
      <c r="I12" s="10">
        <v>39.99</v>
      </c>
      <c r="J12" s="10">
        <f t="shared" si="1"/>
        <v>4.4889900000000003</v>
      </c>
      <c r="K12" s="10">
        <f t="shared" si="2"/>
        <v>17.203710000000001</v>
      </c>
      <c r="L12" s="4">
        <f t="shared" si="3"/>
        <v>0.43020030007501875</v>
      </c>
      <c r="M12" s="3" t="s">
        <v>160</v>
      </c>
      <c r="N12" s="3" t="s">
        <v>157</v>
      </c>
      <c r="O12" s="3" t="str">
        <f t="shared" si="4"/>
        <v>~10-15 + 2-5</v>
      </c>
    </row>
    <row r="13" spans="1:15" ht="15" customHeight="1">
      <c r="A13" s="3">
        <v>8</v>
      </c>
      <c r="B13" s="3" t="s">
        <v>166</v>
      </c>
      <c r="C13" s="9" t="s">
        <v>113</v>
      </c>
      <c r="D13" s="3" t="s">
        <v>159</v>
      </c>
      <c r="E13" s="10">
        <v>11.91</v>
      </c>
      <c r="F13" s="10">
        <f>E13*$B$3</f>
        <v>4.1089500000000001</v>
      </c>
      <c r="G13" s="10">
        <v>9.77</v>
      </c>
      <c r="H13" s="10">
        <f t="shared" si="0"/>
        <v>25.78895</v>
      </c>
      <c r="I13" s="10">
        <v>49.99</v>
      </c>
      <c r="J13" s="10">
        <f t="shared" si="1"/>
        <v>5.4989900000000009</v>
      </c>
      <c r="K13" s="10">
        <f t="shared" si="2"/>
        <v>18.702060000000003</v>
      </c>
      <c r="L13" s="4">
        <f t="shared" si="3"/>
        <v>0.37411602320464099</v>
      </c>
      <c r="M13" s="3" t="s">
        <v>160</v>
      </c>
      <c r="N13" s="3" t="s">
        <v>157</v>
      </c>
      <c r="O13" s="3" t="str">
        <f t="shared" si="4"/>
        <v>~10-15 + 2-5</v>
      </c>
    </row>
    <row r="14" spans="1:15" ht="15" customHeight="1">
      <c r="A14" s="3">
        <v>9</v>
      </c>
      <c r="B14" s="3" t="s">
        <v>167</v>
      </c>
      <c r="C14" s="12" t="s">
        <v>154</v>
      </c>
      <c r="D14" s="3" t="s">
        <v>168</v>
      </c>
      <c r="E14" s="10">
        <v>19.54</v>
      </c>
      <c r="F14" s="10">
        <v>0</v>
      </c>
      <c r="G14" s="10">
        <v>6.09</v>
      </c>
      <c r="H14" s="10">
        <f t="shared" si="0"/>
        <v>25.63</v>
      </c>
      <c r="I14" s="10">
        <v>39.99</v>
      </c>
      <c r="J14" s="10">
        <f t="shared" si="1"/>
        <v>4.4889900000000003</v>
      </c>
      <c r="K14" s="10">
        <f t="shared" si="2"/>
        <v>9.8710100000000018</v>
      </c>
      <c r="L14" s="4">
        <f t="shared" si="3"/>
        <v>0.24683695923981</v>
      </c>
      <c r="M14" s="3" t="s">
        <v>156</v>
      </c>
      <c r="N14" s="3" t="s">
        <v>157</v>
      </c>
      <c r="O14" s="3" t="str">
        <f t="shared" si="4"/>
        <v>~3-7 + 2-5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BF24"/>
  </sheetPr>
  <dimension ref="A1:L18"/>
  <sheetViews>
    <sheetView zoomScaleNormal="100" workbookViewId="0">
      <selection activeCell="A41" sqref="A41"/>
    </sheetView>
  </sheetViews>
  <sheetFormatPr defaultColWidth="8.6640625" defaultRowHeight="15" customHeight="1"/>
  <cols>
    <col min="1" max="1" width="32" style="1" customWidth="1"/>
    <col min="2" max="2" width="12" style="1" customWidth="1"/>
    <col min="3" max="3" width="10" style="1" customWidth="1"/>
    <col min="4" max="5" width="8" style="1" customWidth="1"/>
    <col min="6" max="6" width="15" style="1" customWidth="1"/>
    <col min="7" max="11" width="14" style="1" customWidth="1"/>
    <col min="12" max="12" width="18" style="1" customWidth="1"/>
  </cols>
  <sheetData>
    <row r="1" spans="1:12" ht="17.25" customHeight="1">
      <c r="A1" s="31" t="s">
        <v>169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" customHeight="1">
      <c r="A2" s="32" t="s">
        <v>170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5" customHeight="1">
      <c r="A3" s="1" t="s">
        <v>171</v>
      </c>
      <c r="B3" s="8">
        <v>0.34499999999999997</v>
      </c>
      <c r="C3" s="1" t="s">
        <v>172</v>
      </c>
      <c r="D3" s="8">
        <v>0.19500000000000001</v>
      </c>
      <c r="E3" s="1" t="s">
        <v>96</v>
      </c>
      <c r="F3" s="8">
        <v>0.10100000000000001</v>
      </c>
    </row>
    <row r="5" spans="1:12" ht="26.25" customHeight="1">
      <c r="A5" s="2" t="s">
        <v>144</v>
      </c>
      <c r="B5" s="2" t="s">
        <v>100</v>
      </c>
      <c r="C5" s="2" t="s">
        <v>101</v>
      </c>
      <c r="D5" s="2" t="s">
        <v>173</v>
      </c>
      <c r="E5" s="2" t="s">
        <v>174</v>
      </c>
      <c r="F5" s="2" t="s">
        <v>175</v>
      </c>
      <c r="G5" s="2" t="s">
        <v>176</v>
      </c>
      <c r="H5" s="2" t="s">
        <v>177</v>
      </c>
      <c r="I5" s="2" t="s">
        <v>178</v>
      </c>
      <c r="J5" s="2" t="s">
        <v>179</v>
      </c>
      <c r="K5" s="2" t="s">
        <v>180</v>
      </c>
      <c r="L5" s="2" t="s">
        <v>181</v>
      </c>
    </row>
    <row r="6" spans="1:12" ht="15" customHeight="1">
      <c r="A6" s="3" t="s">
        <v>182</v>
      </c>
      <c r="B6" s="9" t="s">
        <v>113</v>
      </c>
      <c r="C6" s="10">
        <v>5.31</v>
      </c>
      <c r="D6" s="10">
        <v>9.77</v>
      </c>
      <c r="E6" s="10">
        <v>34.99</v>
      </c>
      <c r="F6" s="10">
        <f t="shared" ref="F6:F18" si="0">E6-(C6+D6)-(E6*$F$3+0.45)</f>
        <v>15.926010000000003</v>
      </c>
      <c r="G6" s="4">
        <f t="shared" ref="G6:G18" si="1">IF(E6&gt;0,F6/E6,0)</f>
        <v>0.45515890254358393</v>
      </c>
      <c r="H6" s="10">
        <f t="shared" ref="H6:H13" si="2">E6-(C6*(1+$B$3)+D6)-(E6*$F$3+0.45)</f>
        <v>14.094060000000004</v>
      </c>
      <c r="I6" s="4">
        <f t="shared" ref="I6:I18" si="3">IF(E6&gt;0,H6/E6,0)</f>
        <v>0.40280251500428704</v>
      </c>
      <c r="J6" s="10">
        <f t="shared" ref="J6:J13" si="4">E6-(C6*(1+$D$3)+D6)-(E6*$F$3+0.45)</f>
        <v>14.890560000000002</v>
      </c>
      <c r="K6" s="4">
        <f t="shared" ref="K6:K18" si="5">IF(E6&gt;0,J6/E6,0)</f>
        <v>0.42556616176050305</v>
      </c>
      <c r="L6" s="10">
        <f t="shared" ref="L6:L13" si="6">C6*($B$3-$D$3)</f>
        <v>0.79649999999999976</v>
      </c>
    </row>
    <row r="7" spans="1:12" ht="15" customHeight="1">
      <c r="A7" s="3" t="s">
        <v>114</v>
      </c>
      <c r="B7" s="11" t="s">
        <v>115</v>
      </c>
      <c r="C7" s="10">
        <v>7.11</v>
      </c>
      <c r="D7" s="10">
        <v>13</v>
      </c>
      <c r="E7" s="10">
        <v>34.99</v>
      </c>
      <c r="F7" s="10">
        <f t="shared" si="0"/>
        <v>10.896010000000002</v>
      </c>
      <c r="G7" s="4">
        <f t="shared" si="1"/>
        <v>0.31140354386967711</v>
      </c>
      <c r="H7" s="10">
        <f t="shared" si="2"/>
        <v>8.4430600000000009</v>
      </c>
      <c r="I7" s="4">
        <f t="shared" si="3"/>
        <v>0.24129922835095743</v>
      </c>
      <c r="J7" s="10">
        <f t="shared" si="4"/>
        <v>9.5095599999999987</v>
      </c>
      <c r="K7" s="4">
        <f t="shared" si="5"/>
        <v>0.27177936553300935</v>
      </c>
      <c r="L7" s="10">
        <f t="shared" si="6"/>
        <v>1.0664999999999998</v>
      </c>
    </row>
    <row r="8" spans="1:12" ht="15" customHeight="1">
      <c r="A8" s="3" t="s">
        <v>118</v>
      </c>
      <c r="B8" s="9" t="s">
        <v>113</v>
      </c>
      <c r="C8" s="10">
        <v>7.2</v>
      </c>
      <c r="D8" s="10">
        <v>9.77</v>
      </c>
      <c r="E8" s="10">
        <v>39.99</v>
      </c>
      <c r="F8" s="10">
        <f t="shared" si="0"/>
        <v>18.531010000000002</v>
      </c>
      <c r="G8" s="4">
        <f t="shared" si="1"/>
        <v>0.46339109777444365</v>
      </c>
      <c r="H8" s="10">
        <f t="shared" si="2"/>
        <v>16.04701</v>
      </c>
      <c r="I8" s="4">
        <f t="shared" si="3"/>
        <v>0.40127556889222304</v>
      </c>
      <c r="J8" s="10">
        <f t="shared" si="4"/>
        <v>17.127009999999999</v>
      </c>
      <c r="K8" s="4">
        <f t="shared" si="5"/>
        <v>0.42828232058014498</v>
      </c>
      <c r="L8" s="10">
        <f t="shared" si="6"/>
        <v>1.0799999999999998</v>
      </c>
    </row>
    <row r="9" spans="1:12" ht="15" customHeight="1">
      <c r="A9" s="3" t="s">
        <v>120</v>
      </c>
      <c r="B9" s="9" t="s">
        <v>113</v>
      </c>
      <c r="C9" s="10">
        <v>6.84</v>
      </c>
      <c r="D9" s="10">
        <v>9.77</v>
      </c>
      <c r="E9" s="10">
        <v>39.99</v>
      </c>
      <c r="F9" s="10">
        <f t="shared" si="0"/>
        <v>18.891010000000001</v>
      </c>
      <c r="G9" s="4">
        <f t="shared" si="1"/>
        <v>0.4723933483370843</v>
      </c>
      <c r="H9" s="10">
        <f t="shared" si="2"/>
        <v>16.531210000000002</v>
      </c>
      <c r="I9" s="4">
        <f t="shared" si="3"/>
        <v>0.41338359589897478</v>
      </c>
      <c r="J9" s="10">
        <f t="shared" si="4"/>
        <v>17.557210000000001</v>
      </c>
      <c r="K9" s="4">
        <f t="shared" si="5"/>
        <v>0.43904001000250065</v>
      </c>
      <c r="L9" s="10">
        <f t="shared" si="6"/>
        <v>1.0259999999999998</v>
      </c>
    </row>
    <row r="10" spans="1:12" ht="15" customHeight="1">
      <c r="A10" s="3" t="s">
        <v>129</v>
      </c>
      <c r="B10" s="11" t="s">
        <v>115</v>
      </c>
      <c r="C10" s="10">
        <v>14.3</v>
      </c>
      <c r="D10" s="10">
        <v>13</v>
      </c>
      <c r="E10" s="10">
        <v>44.99</v>
      </c>
      <c r="F10" s="10">
        <f t="shared" si="0"/>
        <v>12.696010000000001</v>
      </c>
      <c r="G10" s="4">
        <f t="shared" si="1"/>
        <v>0.28219626583685264</v>
      </c>
      <c r="H10" s="10">
        <f t="shared" si="2"/>
        <v>7.7625100000000016</v>
      </c>
      <c r="I10" s="4">
        <f t="shared" si="3"/>
        <v>0.17253856412536123</v>
      </c>
      <c r="J10" s="10">
        <f t="shared" si="4"/>
        <v>9.9075099999999985</v>
      </c>
      <c r="K10" s="4">
        <f t="shared" si="5"/>
        <v>0.22021582573905307</v>
      </c>
      <c r="L10" s="10">
        <f t="shared" si="6"/>
        <v>2.1449999999999996</v>
      </c>
    </row>
    <row r="11" spans="1:12" ht="15" customHeight="1">
      <c r="A11" s="3" t="s">
        <v>134</v>
      </c>
      <c r="B11" s="11" t="s">
        <v>115</v>
      </c>
      <c r="C11" s="10">
        <v>15.87</v>
      </c>
      <c r="D11" s="10">
        <v>13</v>
      </c>
      <c r="E11" s="10">
        <v>49.99</v>
      </c>
      <c r="F11" s="10">
        <f t="shared" si="0"/>
        <v>15.621010000000004</v>
      </c>
      <c r="G11" s="4">
        <f t="shared" si="1"/>
        <v>0.31248269653930794</v>
      </c>
      <c r="H11" s="10">
        <f t="shared" si="2"/>
        <v>10.145859999999997</v>
      </c>
      <c r="I11" s="4">
        <f t="shared" si="3"/>
        <v>0.20295779155831159</v>
      </c>
      <c r="J11" s="10">
        <f t="shared" si="4"/>
        <v>12.526360000000002</v>
      </c>
      <c r="K11" s="4">
        <f t="shared" si="5"/>
        <v>0.25057731546309264</v>
      </c>
      <c r="L11" s="10">
        <f t="shared" si="6"/>
        <v>2.3804999999999992</v>
      </c>
    </row>
    <row r="12" spans="1:12" ht="15" customHeight="1">
      <c r="A12" s="3" t="s">
        <v>183</v>
      </c>
      <c r="B12" s="9" t="s">
        <v>113</v>
      </c>
      <c r="C12" s="10">
        <v>10.46</v>
      </c>
      <c r="D12" s="10">
        <v>9.77</v>
      </c>
      <c r="E12" s="10">
        <v>49.99</v>
      </c>
      <c r="F12" s="10">
        <f t="shared" si="0"/>
        <v>24.261009999999999</v>
      </c>
      <c r="G12" s="4">
        <f t="shared" si="1"/>
        <v>0.48531726345269049</v>
      </c>
      <c r="H12" s="10">
        <f t="shared" si="2"/>
        <v>20.65231</v>
      </c>
      <c r="I12" s="4">
        <f t="shared" si="3"/>
        <v>0.41312882576515303</v>
      </c>
      <c r="J12" s="10">
        <f t="shared" si="4"/>
        <v>22.221310000000003</v>
      </c>
      <c r="K12" s="4">
        <f t="shared" si="5"/>
        <v>0.44451510302060415</v>
      </c>
      <c r="L12" s="10">
        <f t="shared" si="6"/>
        <v>1.5689999999999997</v>
      </c>
    </row>
    <row r="13" spans="1:12" ht="15" customHeight="1">
      <c r="A13" s="3" t="s">
        <v>158</v>
      </c>
      <c r="B13" s="9" t="s">
        <v>113</v>
      </c>
      <c r="C13" s="10">
        <v>6.84</v>
      </c>
      <c r="D13" s="10">
        <v>9.77</v>
      </c>
      <c r="E13" s="10">
        <v>39.99</v>
      </c>
      <c r="F13" s="10">
        <f t="shared" si="0"/>
        <v>18.891010000000001</v>
      </c>
      <c r="G13" s="4">
        <f t="shared" si="1"/>
        <v>0.4723933483370843</v>
      </c>
      <c r="H13" s="10">
        <f t="shared" si="2"/>
        <v>16.531210000000002</v>
      </c>
      <c r="I13" s="4">
        <f t="shared" si="3"/>
        <v>0.41338359589897478</v>
      </c>
      <c r="J13" s="10">
        <f t="shared" si="4"/>
        <v>17.557210000000001</v>
      </c>
      <c r="K13" s="4">
        <f t="shared" si="5"/>
        <v>0.43904001000250065</v>
      </c>
      <c r="L13" s="10">
        <f t="shared" si="6"/>
        <v>1.0259999999999998</v>
      </c>
    </row>
    <row r="14" spans="1:12" ht="15" customHeight="1">
      <c r="A14" s="3" t="s">
        <v>153</v>
      </c>
      <c r="B14" s="12" t="s">
        <v>154</v>
      </c>
      <c r="C14" s="10">
        <v>45.35</v>
      </c>
      <c r="D14" s="10">
        <v>8.59</v>
      </c>
      <c r="E14" s="10">
        <v>74.989999999999995</v>
      </c>
      <c r="F14" s="10">
        <f t="shared" si="0"/>
        <v>13.026009999999998</v>
      </c>
      <c r="G14" s="4">
        <f t="shared" si="1"/>
        <v>0.17370329377250299</v>
      </c>
      <c r="H14" s="10">
        <f>E14-(C14+D14)-(E14*$F$3+0.45)</f>
        <v>13.026009999999998</v>
      </c>
      <c r="I14" s="4">
        <f t="shared" si="3"/>
        <v>0.17370329377250299</v>
      </c>
      <c r="J14" s="10">
        <f>E14-(C14+D14)-(E14*$F$3+0.45)</f>
        <v>13.026009999999998</v>
      </c>
      <c r="K14" s="4">
        <f t="shared" si="5"/>
        <v>0.17370329377250299</v>
      </c>
      <c r="L14" s="10">
        <v>0</v>
      </c>
    </row>
    <row r="15" spans="1:12" ht="15" customHeight="1">
      <c r="A15" s="3" t="s">
        <v>163</v>
      </c>
      <c r="B15" s="9" t="s">
        <v>113</v>
      </c>
      <c r="C15" s="10">
        <v>4.84</v>
      </c>
      <c r="D15" s="10">
        <v>9.77</v>
      </c>
      <c r="E15" s="10">
        <v>34.99</v>
      </c>
      <c r="F15" s="10">
        <f t="shared" si="0"/>
        <v>16.39601</v>
      </c>
      <c r="G15" s="4">
        <f t="shared" si="1"/>
        <v>0.46859131180337238</v>
      </c>
      <c r="H15" s="10">
        <f>E15-(C15*(1+$B$3)+D15)-(E15*$F$3+0.45)</f>
        <v>14.726210000000004</v>
      </c>
      <c r="I15" s="4">
        <f t="shared" si="3"/>
        <v>0.42086910545870254</v>
      </c>
      <c r="J15" s="10">
        <f>E15-(C15*(1+$D$3)+D15)-(E15*$F$3+0.45)</f>
        <v>15.452210000000003</v>
      </c>
      <c r="K15" s="4">
        <f t="shared" si="5"/>
        <v>0.44161789082595032</v>
      </c>
      <c r="L15" s="10">
        <f>C15*($B$3-$D$3)</f>
        <v>0.72599999999999987</v>
      </c>
    </row>
    <row r="16" spans="1:12" ht="15" customHeight="1">
      <c r="A16" s="3" t="s">
        <v>165</v>
      </c>
      <c r="B16" s="9" t="s">
        <v>113</v>
      </c>
      <c r="C16" s="10">
        <v>6.34</v>
      </c>
      <c r="D16" s="10">
        <v>9.77</v>
      </c>
      <c r="E16" s="10">
        <v>39.99</v>
      </c>
      <c r="F16" s="10">
        <f t="shared" si="0"/>
        <v>19.391010000000001</v>
      </c>
      <c r="G16" s="4">
        <f t="shared" si="1"/>
        <v>0.48489647411852965</v>
      </c>
      <c r="H16" s="10">
        <f>E16-(C16*(1+$B$3)+D16)-(E16*$F$3+0.45)</f>
        <v>17.203710000000001</v>
      </c>
      <c r="I16" s="4">
        <f t="shared" si="3"/>
        <v>0.43020030007501875</v>
      </c>
      <c r="J16" s="10">
        <f>E16-(C16*(1+$D$3)+D16)-(E16*$F$3+0.45)</f>
        <v>18.154710000000001</v>
      </c>
      <c r="K16" s="4">
        <f t="shared" si="5"/>
        <v>0.45398124531132783</v>
      </c>
      <c r="L16" s="10">
        <f>C16*($B$3-$D$3)</f>
        <v>0.95099999999999973</v>
      </c>
    </row>
    <row r="17" spans="1:12" ht="15" customHeight="1">
      <c r="A17" s="3" t="s">
        <v>164</v>
      </c>
      <c r="B17" s="12" t="s">
        <v>154</v>
      </c>
      <c r="C17" s="10">
        <v>29.31</v>
      </c>
      <c r="D17" s="10">
        <v>8.59</v>
      </c>
      <c r="E17" s="10">
        <v>59.99</v>
      </c>
      <c r="F17" s="10">
        <f t="shared" si="0"/>
        <v>15.581010000000003</v>
      </c>
      <c r="G17" s="4">
        <f t="shared" si="1"/>
        <v>0.25972678779796637</v>
      </c>
      <c r="H17" s="10">
        <f>E17-(C17+D17)-(E17*$F$3+0.45)</f>
        <v>15.581010000000003</v>
      </c>
      <c r="I17" s="4">
        <f t="shared" si="3"/>
        <v>0.25972678779796637</v>
      </c>
      <c r="J17" s="10">
        <f>E17-(C17+D17)-(E17*$F$3+0.45)</f>
        <v>15.581010000000003</v>
      </c>
      <c r="K17" s="4">
        <f t="shared" si="5"/>
        <v>0.25972678779796637</v>
      </c>
      <c r="L17" s="10">
        <v>0</v>
      </c>
    </row>
    <row r="18" spans="1:12" ht="15" customHeight="1">
      <c r="A18" s="3" t="s">
        <v>167</v>
      </c>
      <c r="B18" s="12" t="s">
        <v>154</v>
      </c>
      <c r="C18" s="10">
        <v>19.54</v>
      </c>
      <c r="D18" s="10">
        <v>6.09</v>
      </c>
      <c r="E18" s="10">
        <v>39.99</v>
      </c>
      <c r="F18" s="10">
        <f t="shared" si="0"/>
        <v>9.8710100000000018</v>
      </c>
      <c r="G18" s="4">
        <f t="shared" si="1"/>
        <v>0.24683695923981</v>
      </c>
      <c r="H18" s="10">
        <f>E18-(C18+D18)-(E18*$F$3+0.45)</f>
        <v>9.8710100000000018</v>
      </c>
      <c r="I18" s="4">
        <f t="shared" si="3"/>
        <v>0.24683695923981</v>
      </c>
      <c r="J18" s="10">
        <f>E18-(C18+D18)-(E18*$F$3+0.45)</f>
        <v>9.8710100000000018</v>
      </c>
      <c r="K18" s="4">
        <f t="shared" si="5"/>
        <v>0.24683695923981</v>
      </c>
      <c r="L18" s="10"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B981"/>
  </sheetPr>
  <dimension ref="A1:H21"/>
  <sheetViews>
    <sheetView zoomScaleNormal="100" workbookViewId="0">
      <selection activeCell="D29" sqref="D29"/>
    </sheetView>
  </sheetViews>
  <sheetFormatPr defaultColWidth="8.6640625" defaultRowHeight="15" customHeight="1"/>
  <cols>
    <col min="1" max="1" width="26" style="1" customWidth="1"/>
    <col min="2" max="3" width="12" style="1" customWidth="1"/>
    <col min="4" max="4" width="50" style="1" customWidth="1"/>
    <col min="5" max="5" width="18" style="1" customWidth="1"/>
    <col min="6" max="7" width="22" style="1" customWidth="1"/>
    <col min="8" max="8" width="55" style="1" customWidth="1"/>
  </cols>
  <sheetData>
    <row r="1" spans="1:8" ht="17.25" customHeight="1">
      <c r="A1" s="31" t="s">
        <v>184</v>
      </c>
      <c r="B1" s="31"/>
      <c r="C1" s="31"/>
      <c r="D1" s="31"/>
      <c r="E1" s="31"/>
      <c r="F1" s="31"/>
      <c r="G1" s="31"/>
      <c r="H1" s="31"/>
    </row>
    <row r="2" spans="1:8" ht="15" customHeight="1">
      <c r="A2" s="32" t="s">
        <v>185</v>
      </c>
      <c r="B2" s="32"/>
      <c r="C2" s="32"/>
      <c r="D2" s="32"/>
      <c r="E2" s="32"/>
      <c r="F2" s="32"/>
      <c r="G2" s="32"/>
      <c r="H2" s="32"/>
    </row>
    <row r="4" spans="1:8" ht="26.25" customHeight="1">
      <c r="A4" s="2" t="s">
        <v>186</v>
      </c>
      <c r="B4" s="2" t="s">
        <v>187</v>
      </c>
      <c r="C4" s="2" t="s">
        <v>188</v>
      </c>
      <c r="D4" s="2" t="s">
        <v>189</v>
      </c>
      <c r="E4" s="2" t="s">
        <v>190</v>
      </c>
      <c r="F4" s="2" t="s">
        <v>191</v>
      </c>
      <c r="G4" s="2" t="s">
        <v>192</v>
      </c>
      <c r="H4" s="2" t="s">
        <v>193</v>
      </c>
    </row>
    <row r="5" spans="1:8" ht="23.25" customHeight="1">
      <c r="A5" s="3" t="s">
        <v>194</v>
      </c>
      <c r="B5" s="3" t="s">
        <v>113</v>
      </c>
      <c r="C5" s="3" t="s">
        <v>115</v>
      </c>
      <c r="D5" s="3" t="s">
        <v>195</v>
      </c>
      <c r="E5" s="3" t="s">
        <v>196</v>
      </c>
      <c r="F5" s="3" t="s">
        <v>197</v>
      </c>
      <c r="G5" s="3" t="s">
        <v>198</v>
      </c>
      <c r="H5" s="9" t="s">
        <v>199</v>
      </c>
    </row>
    <row r="6" spans="1:8" ht="15" customHeight="1">
      <c r="A6" s="3" t="s">
        <v>200</v>
      </c>
      <c r="B6" s="3" t="s">
        <v>113</v>
      </c>
      <c r="C6" s="3" t="s">
        <v>115</v>
      </c>
      <c r="D6" s="3" t="s">
        <v>201</v>
      </c>
      <c r="E6" s="3" t="s">
        <v>202</v>
      </c>
      <c r="F6" s="3" t="s">
        <v>203</v>
      </c>
      <c r="G6" s="3" t="s">
        <v>204</v>
      </c>
      <c r="H6" s="9" t="s">
        <v>205</v>
      </c>
    </row>
    <row r="7" spans="1:8" ht="15" customHeight="1">
      <c r="A7" s="3" t="s">
        <v>206</v>
      </c>
      <c r="B7" s="3" t="s">
        <v>113</v>
      </c>
      <c r="C7" s="3" t="s">
        <v>115</v>
      </c>
      <c r="D7" s="3" t="s">
        <v>207</v>
      </c>
      <c r="E7" s="3" t="s">
        <v>208</v>
      </c>
      <c r="F7" s="3" t="s">
        <v>203</v>
      </c>
      <c r="G7" s="3" t="s">
        <v>204</v>
      </c>
      <c r="H7" s="9" t="s">
        <v>209</v>
      </c>
    </row>
    <row r="8" spans="1:8" ht="34.5" customHeight="1">
      <c r="A8" s="3" t="s">
        <v>210</v>
      </c>
      <c r="B8" s="3" t="s">
        <v>113</v>
      </c>
      <c r="C8" s="3" t="s">
        <v>154</v>
      </c>
      <c r="D8" s="3" t="s">
        <v>211</v>
      </c>
      <c r="E8" s="3" t="s">
        <v>212</v>
      </c>
      <c r="F8" s="3" t="s">
        <v>213</v>
      </c>
      <c r="G8" s="3" t="s">
        <v>214</v>
      </c>
      <c r="H8" s="13" t="s">
        <v>215</v>
      </c>
    </row>
    <row r="9" spans="1:8" ht="15" customHeight="1">
      <c r="A9" s="3" t="s">
        <v>216</v>
      </c>
      <c r="B9" s="3" t="s">
        <v>113</v>
      </c>
      <c r="C9" s="3" t="s">
        <v>154</v>
      </c>
      <c r="D9" s="3" t="s">
        <v>217</v>
      </c>
      <c r="E9" s="3" t="s">
        <v>218</v>
      </c>
      <c r="F9" s="3" t="s">
        <v>219</v>
      </c>
      <c r="G9" s="3" t="s">
        <v>220</v>
      </c>
      <c r="H9" s="9" t="s">
        <v>221</v>
      </c>
    </row>
    <row r="10" spans="1:8" ht="23.25" customHeight="1">
      <c r="A10" s="3" t="s">
        <v>222</v>
      </c>
      <c r="B10" s="3" t="s">
        <v>154</v>
      </c>
      <c r="C10" s="3" t="s">
        <v>223</v>
      </c>
      <c r="D10" s="3" t="s">
        <v>224</v>
      </c>
      <c r="E10" s="3" t="s">
        <v>225</v>
      </c>
      <c r="F10" s="3" t="s">
        <v>226</v>
      </c>
      <c r="G10" s="3" t="s">
        <v>227</v>
      </c>
      <c r="H10" s="12" t="s">
        <v>228</v>
      </c>
    </row>
    <row r="11" spans="1:8" ht="23.25" customHeight="1">
      <c r="A11" s="3" t="s">
        <v>229</v>
      </c>
      <c r="B11" s="3" t="s">
        <v>154</v>
      </c>
      <c r="C11" s="3" t="s">
        <v>223</v>
      </c>
      <c r="D11" s="3" t="s">
        <v>230</v>
      </c>
      <c r="E11" s="3" t="s">
        <v>231</v>
      </c>
      <c r="F11" s="3" t="s">
        <v>232</v>
      </c>
      <c r="G11" s="3" t="s">
        <v>233</v>
      </c>
      <c r="H11" s="12" t="s">
        <v>234</v>
      </c>
    </row>
    <row r="12" spans="1:8" ht="23.25" customHeight="1">
      <c r="A12" s="3" t="s">
        <v>235</v>
      </c>
      <c r="B12" s="3" t="s">
        <v>113</v>
      </c>
      <c r="C12" s="3" t="s">
        <v>115</v>
      </c>
      <c r="D12" s="3" t="s">
        <v>236</v>
      </c>
      <c r="E12" s="3" t="s">
        <v>237</v>
      </c>
      <c r="F12" s="3" t="s">
        <v>238</v>
      </c>
      <c r="G12" s="3" t="s">
        <v>204</v>
      </c>
      <c r="H12" s="9" t="s">
        <v>239</v>
      </c>
    </row>
    <row r="14" spans="1:8" ht="15.75" customHeight="1">
      <c r="A14" s="35" t="s">
        <v>240</v>
      </c>
      <c r="B14" s="35"/>
      <c r="C14" s="35"/>
      <c r="D14" s="35"/>
      <c r="E14" s="35"/>
      <c r="F14" s="35"/>
      <c r="G14" s="35"/>
      <c r="H14" s="35"/>
    </row>
    <row r="15" spans="1:8" ht="15" customHeight="1">
      <c r="A15" s="34" t="s">
        <v>241</v>
      </c>
      <c r="B15" s="34"/>
      <c r="C15" s="34"/>
      <c r="D15" s="34"/>
      <c r="E15" s="34"/>
      <c r="F15" s="34"/>
      <c r="G15" s="34"/>
      <c r="H15" s="34"/>
    </row>
    <row r="16" spans="1:8" ht="15" customHeight="1">
      <c r="A16" s="34" t="s">
        <v>242</v>
      </c>
      <c r="B16" s="34"/>
      <c r="C16" s="34"/>
      <c r="D16" s="34"/>
      <c r="E16" s="34"/>
      <c r="F16" s="34"/>
      <c r="G16" s="34"/>
      <c r="H16" s="34"/>
    </row>
    <row r="17" spans="1:8" ht="15" customHeight="1">
      <c r="A17" s="34" t="s">
        <v>243</v>
      </c>
      <c r="B17" s="34"/>
      <c r="C17" s="34"/>
      <c r="D17" s="34"/>
      <c r="E17" s="34"/>
      <c r="F17" s="34"/>
      <c r="G17" s="34"/>
      <c r="H17" s="34"/>
    </row>
    <row r="18" spans="1:8" ht="15" customHeight="1">
      <c r="A18" s="34" t="s">
        <v>244</v>
      </c>
      <c r="B18" s="34"/>
      <c r="C18" s="34"/>
      <c r="D18" s="34"/>
      <c r="E18" s="34"/>
      <c r="F18" s="34"/>
      <c r="G18" s="34"/>
      <c r="H18" s="34"/>
    </row>
    <row r="19" spans="1:8" ht="15" customHeight="1">
      <c r="A19" s="34" t="s">
        <v>245</v>
      </c>
      <c r="B19" s="34"/>
      <c r="C19" s="34"/>
      <c r="D19" s="34"/>
      <c r="E19" s="34"/>
      <c r="F19" s="34"/>
      <c r="G19" s="34"/>
      <c r="H19" s="34"/>
    </row>
    <row r="20" spans="1:8" ht="15" customHeight="1">
      <c r="A20" s="34" t="s">
        <v>246</v>
      </c>
      <c r="B20" s="34"/>
      <c r="C20" s="34"/>
      <c r="D20" s="34"/>
      <c r="E20" s="34"/>
      <c r="F20" s="34"/>
      <c r="G20" s="34"/>
      <c r="H20" s="34"/>
    </row>
    <row r="21" spans="1:8" ht="15" customHeight="1">
      <c r="A21" s="34" t="s">
        <v>247</v>
      </c>
      <c r="B21" s="34"/>
      <c r="C21" s="34"/>
      <c r="D21" s="34"/>
      <c r="E21" s="34"/>
      <c r="F21" s="34"/>
      <c r="G21" s="34"/>
      <c r="H21" s="34"/>
    </row>
  </sheetData>
  <mergeCells count="10">
    <mergeCell ref="A1:H1"/>
    <mergeCell ref="A2:H2"/>
    <mergeCell ref="A14:H14"/>
    <mergeCell ref="A15:H15"/>
    <mergeCell ref="A16:H16"/>
    <mergeCell ref="A17:H17"/>
    <mergeCell ref="A18:H18"/>
    <mergeCell ref="A19:H19"/>
    <mergeCell ref="A20:H20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2F6"/>
  </sheetPr>
  <dimension ref="A1:G12"/>
  <sheetViews>
    <sheetView zoomScaleNormal="100" workbookViewId="0">
      <selection activeCell="C36" sqref="C36"/>
    </sheetView>
  </sheetViews>
  <sheetFormatPr defaultColWidth="8.6640625" defaultRowHeight="15" customHeight="1"/>
  <cols>
    <col min="1" max="1" width="22" style="1" customWidth="1"/>
    <col min="2" max="4" width="32" style="1" customWidth="1"/>
  </cols>
  <sheetData>
    <row r="1" spans="1:7" ht="17.25" customHeight="1">
      <c r="A1" s="31" t="s">
        <v>248</v>
      </c>
      <c r="B1" s="31"/>
      <c r="C1" s="31"/>
      <c r="D1" s="31"/>
      <c r="E1" s="31"/>
      <c r="F1" s="31"/>
      <c r="G1" s="31"/>
    </row>
    <row r="3" spans="1:7" ht="15" customHeight="1">
      <c r="A3" s="2" t="s">
        <v>249</v>
      </c>
      <c r="B3" s="2" t="s">
        <v>250</v>
      </c>
      <c r="C3" s="2" t="s">
        <v>251</v>
      </c>
      <c r="D3" s="2" t="s">
        <v>252</v>
      </c>
    </row>
    <row r="4" spans="1:7" ht="15" customHeight="1">
      <c r="A4" s="3" t="s">
        <v>253</v>
      </c>
      <c r="B4" s="3" t="s">
        <v>86</v>
      </c>
      <c r="C4" s="3" t="s">
        <v>254</v>
      </c>
      <c r="D4" s="3" t="s">
        <v>86</v>
      </c>
    </row>
    <row r="5" spans="1:7" ht="15" customHeight="1">
      <c r="A5" s="3" t="s">
        <v>255</v>
      </c>
      <c r="B5" s="3" t="s">
        <v>256</v>
      </c>
      <c r="C5" s="3" t="s">
        <v>257</v>
      </c>
      <c r="D5" s="3" t="s">
        <v>258</v>
      </c>
    </row>
    <row r="6" spans="1:7" ht="15" customHeight="1">
      <c r="A6" s="3" t="s">
        <v>259</v>
      </c>
      <c r="B6" s="3" t="s">
        <v>260</v>
      </c>
      <c r="C6" s="3" t="s">
        <v>261</v>
      </c>
      <c r="D6" s="3" t="s">
        <v>262</v>
      </c>
    </row>
    <row r="7" spans="1:7" ht="15" customHeight="1">
      <c r="A7" s="3" t="s">
        <v>263</v>
      </c>
      <c r="B7" s="3" t="s">
        <v>264</v>
      </c>
      <c r="C7" s="3" t="s">
        <v>265</v>
      </c>
      <c r="D7" s="3" t="s">
        <v>223</v>
      </c>
    </row>
    <row r="8" spans="1:7" ht="15" customHeight="1">
      <c r="A8" s="3" t="s">
        <v>266</v>
      </c>
      <c r="B8" s="3" t="s">
        <v>267</v>
      </c>
      <c r="C8" s="3" t="s">
        <v>267</v>
      </c>
      <c r="D8" s="3" t="s">
        <v>268</v>
      </c>
    </row>
    <row r="9" spans="1:7" ht="15" customHeight="1">
      <c r="A9" s="3" t="s">
        <v>269</v>
      </c>
      <c r="B9" s="3" t="s">
        <v>270</v>
      </c>
      <c r="C9" s="3" t="s">
        <v>271</v>
      </c>
      <c r="D9" s="3" t="s">
        <v>272</v>
      </c>
    </row>
    <row r="10" spans="1:7" ht="15" customHeight="1">
      <c r="A10" s="3" t="s">
        <v>273</v>
      </c>
      <c r="B10" s="3" t="s">
        <v>274</v>
      </c>
      <c r="C10" s="3" t="s">
        <v>274</v>
      </c>
      <c r="D10" s="3" t="s">
        <v>272</v>
      </c>
    </row>
    <row r="11" spans="1:7" ht="15" customHeight="1">
      <c r="A11" s="3" t="s">
        <v>275</v>
      </c>
      <c r="B11" s="3" t="s">
        <v>276</v>
      </c>
      <c r="C11" s="3" t="s">
        <v>277</v>
      </c>
      <c r="D11" s="3" t="s">
        <v>278</v>
      </c>
    </row>
    <row r="12" spans="1:7" ht="15" customHeight="1">
      <c r="A12" s="3" t="s">
        <v>279</v>
      </c>
      <c r="B12" s="3" t="s">
        <v>280</v>
      </c>
      <c r="C12" s="3" t="s">
        <v>281</v>
      </c>
      <c r="D12" s="3" t="s">
        <v>282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8BFA"/>
  </sheetPr>
  <dimension ref="A1:L20"/>
  <sheetViews>
    <sheetView zoomScaleNormal="100" workbookViewId="0">
      <selection activeCell="H29" sqref="H29"/>
    </sheetView>
  </sheetViews>
  <sheetFormatPr defaultColWidth="8.6640625" defaultRowHeight="15" customHeight="1"/>
  <cols>
    <col min="1" max="1" width="8" customWidth="1"/>
    <col min="2" max="2" width="22" customWidth="1"/>
    <col min="3" max="3" width="10" customWidth="1"/>
    <col min="4" max="4" width="7" customWidth="1"/>
    <col min="5" max="5" width="34" customWidth="1"/>
    <col min="6" max="6" width="8" customWidth="1"/>
    <col min="7" max="7" width="12" customWidth="1"/>
    <col min="8" max="8" width="9" customWidth="1"/>
    <col min="9" max="9" width="11" customWidth="1"/>
    <col min="10" max="10" width="12" customWidth="1"/>
    <col min="11" max="11" width="48" customWidth="1"/>
    <col min="12" max="12" width="65" customWidth="1"/>
  </cols>
  <sheetData>
    <row r="1" spans="1:12" ht="17.399999999999999">
      <c r="A1" s="36" t="s">
        <v>283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4.4">
      <c r="A2" s="37" t="s">
        <v>284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14.4">
      <c r="A3" t="s">
        <v>285</v>
      </c>
      <c r="B3" s="14">
        <v>0.34499999999999997</v>
      </c>
      <c r="C3" t="s">
        <v>96</v>
      </c>
      <c r="D3" s="14">
        <v>0.10100000000000001</v>
      </c>
      <c r="E3" t="s">
        <v>97</v>
      </c>
      <c r="F3" s="14">
        <v>0.03</v>
      </c>
      <c r="G3" t="s">
        <v>286</v>
      </c>
      <c r="H3" s="15">
        <v>9.77</v>
      </c>
    </row>
    <row r="5" spans="1:12" ht="26.4">
      <c r="A5" s="16" t="s">
        <v>287</v>
      </c>
      <c r="B5" s="16" t="s">
        <v>288</v>
      </c>
      <c r="C5" s="16" t="s">
        <v>289</v>
      </c>
      <c r="D5" s="16" t="s">
        <v>290</v>
      </c>
      <c r="E5" s="16" t="s">
        <v>291</v>
      </c>
      <c r="F5" s="16" t="s">
        <v>101</v>
      </c>
      <c r="G5" s="16" t="s">
        <v>104</v>
      </c>
      <c r="H5" s="16" t="s">
        <v>105</v>
      </c>
      <c r="I5" s="16" t="s">
        <v>107</v>
      </c>
      <c r="J5" s="16" t="s">
        <v>110</v>
      </c>
      <c r="K5" s="16" t="s">
        <v>292</v>
      </c>
      <c r="L5" s="16" t="s">
        <v>293</v>
      </c>
    </row>
    <row r="6" spans="1:12" ht="26.4">
      <c r="A6" s="17">
        <v>1</v>
      </c>
      <c r="B6" s="3" t="s">
        <v>294</v>
      </c>
      <c r="C6" s="18">
        <v>33100</v>
      </c>
      <c r="D6" s="19">
        <v>0.38</v>
      </c>
      <c r="E6" s="3" t="s">
        <v>120</v>
      </c>
      <c r="F6" s="19">
        <v>6.84</v>
      </c>
      <c r="G6" s="19">
        <f t="shared" ref="G6:G20" si="0">F6*(1+$B$3)+$H$3</f>
        <v>18.969799999999999</v>
      </c>
      <c r="H6" s="19">
        <v>39.99</v>
      </c>
      <c r="I6" s="19">
        <f t="shared" ref="I6:I20" si="1">H6-G6-(H6*$D$3+0.45)</f>
        <v>16.531210000000002</v>
      </c>
      <c r="J6" s="19">
        <f t="shared" ref="J6:J20" si="2">H6-G6-(H6*$F$3+0.3)</f>
        <v>19.520500000000002</v>
      </c>
      <c r="K6" s="3" t="s">
        <v>295</v>
      </c>
      <c r="L6" s="3" t="s">
        <v>296</v>
      </c>
    </row>
    <row r="7" spans="1:12" ht="26.4">
      <c r="A7" s="17">
        <v>2</v>
      </c>
      <c r="B7" s="20" t="s">
        <v>297</v>
      </c>
      <c r="C7" s="21">
        <v>33100</v>
      </c>
      <c r="D7" s="22">
        <v>0.34</v>
      </c>
      <c r="E7" s="20" t="s">
        <v>183</v>
      </c>
      <c r="F7" s="22">
        <v>10.46</v>
      </c>
      <c r="G7" s="22">
        <f t="shared" si="0"/>
        <v>23.838700000000003</v>
      </c>
      <c r="H7" s="22">
        <v>49.99</v>
      </c>
      <c r="I7" s="22">
        <f t="shared" si="1"/>
        <v>20.65231</v>
      </c>
      <c r="J7" s="22">
        <f t="shared" si="2"/>
        <v>24.351599999999998</v>
      </c>
      <c r="K7" s="20" t="s">
        <v>298</v>
      </c>
      <c r="L7" s="20" t="s">
        <v>299</v>
      </c>
    </row>
    <row r="8" spans="1:12" ht="26.4">
      <c r="A8" s="17">
        <v>3</v>
      </c>
      <c r="B8" s="3" t="s">
        <v>300</v>
      </c>
      <c r="C8" s="18">
        <v>22200</v>
      </c>
      <c r="D8" s="19">
        <v>0.33</v>
      </c>
      <c r="E8" s="3" t="s">
        <v>301</v>
      </c>
      <c r="F8" s="19">
        <v>8.9600000000000009</v>
      </c>
      <c r="G8" s="19">
        <f t="shared" si="0"/>
        <v>21.821200000000001</v>
      </c>
      <c r="H8" s="19">
        <v>44.99</v>
      </c>
      <c r="I8" s="19">
        <f t="shared" si="1"/>
        <v>18.174810000000001</v>
      </c>
      <c r="J8" s="19">
        <f t="shared" si="2"/>
        <v>21.519100000000002</v>
      </c>
      <c r="K8" s="3" t="s">
        <v>302</v>
      </c>
      <c r="L8" s="3" t="s">
        <v>303</v>
      </c>
    </row>
    <row r="9" spans="1:12" ht="26.4">
      <c r="A9" s="17">
        <v>4</v>
      </c>
      <c r="B9" s="20" t="s">
        <v>304</v>
      </c>
      <c r="C9" s="21">
        <v>9900</v>
      </c>
      <c r="D9" s="22">
        <v>0.35</v>
      </c>
      <c r="E9" s="20" t="s">
        <v>182</v>
      </c>
      <c r="F9" s="22">
        <v>5.31</v>
      </c>
      <c r="G9" s="22">
        <f t="shared" si="0"/>
        <v>16.911949999999997</v>
      </c>
      <c r="H9" s="22">
        <v>34.99</v>
      </c>
      <c r="I9" s="22">
        <f t="shared" si="1"/>
        <v>14.094060000000004</v>
      </c>
      <c r="J9" s="22">
        <f t="shared" si="2"/>
        <v>16.728350000000006</v>
      </c>
      <c r="K9" s="20" t="s">
        <v>305</v>
      </c>
      <c r="L9" s="20" t="s">
        <v>306</v>
      </c>
    </row>
    <row r="10" spans="1:12" ht="26.4">
      <c r="A10" s="17">
        <v>5</v>
      </c>
      <c r="B10" s="3" t="s">
        <v>307</v>
      </c>
      <c r="C10" s="18">
        <v>9900</v>
      </c>
      <c r="D10" s="19">
        <v>0.47</v>
      </c>
      <c r="E10" s="3" t="s">
        <v>118</v>
      </c>
      <c r="F10" s="19">
        <v>7.2</v>
      </c>
      <c r="G10" s="19">
        <f t="shared" si="0"/>
        <v>19.454000000000001</v>
      </c>
      <c r="H10" s="19">
        <v>39.99</v>
      </c>
      <c r="I10" s="19">
        <f t="shared" si="1"/>
        <v>16.04701</v>
      </c>
      <c r="J10" s="19">
        <f t="shared" si="2"/>
        <v>19.036300000000001</v>
      </c>
      <c r="K10" s="3" t="s">
        <v>308</v>
      </c>
      <c r="L10" s="3" t="s">
        <v>309</v>
      </c>
    </row>
    <row r="11" spans="1:12" ht="26.4">
      <c r="A11" s="17">
        <v>6</v>
      </c>
      <c r="B11" s="20" t="s">
        <v>304</v>
      </c>
      <c r="C11" s="21">
        <v>9900</v>
      </c>
      <c r="D11" s="22">
        <v>0.35</v>
      </c>
      <c r="E11" s="20" t="s">
        <v>310</v>
      </c>
      <c r="F11" s="22">
        <v>10.67</v>
      </c>
      <c r="G11" s="22">
        <f t="shared" si="0"/>
        <v>24.12115</v>
      </c>
      <c r="H11" s="22">
        <v>49.99</v>
      </c>
      <c r="I11" s="22">
        <f t="shared" si="1"/>
        <v>20.369860000000003</v>
      </c>
      <c r="J11" s="22">
        <f t="shared" si="2"/>
        <v>24.06915</v>
      </c>
      <c r="K11" s="20" t="s">
        <v>311</v>
      </c>
      <c r="L11" s="20" t="s">
        <v>312</v>
      </c>
    </row>
    <row r="12" spans="1:12" ht="26.4">
      <c r="A12" s="11">
        <v>7</v>
      </c>
      <c r="B12" s="3" t="s">
        <v>313</v>
      </c>
      <c r="C12" s="18">
        <v>6600</v>
      </c>
      <c r="D12" s="19">
        <v>0.28000000000000003</v>
      </c>
      <c r="E12" s="3" t="s">
        <v>122</v>
      </c>
      <c r="F12" s="19">
        <v>7.41</v>
      </c>
      <c r="G12" s="19">
        <f t="shared" si="0"/>
        <v>19.736449999999998</v>
      </c>
      <c r="H12" s="19">
        <v>39.99</v>
      </c>
      <c r="I12" s="19">
        <f t="shared" si="1"/>
        <v>15.764560000000003</v>
      </c>
      <c r="J12" s="19">
        <f t="shared" si="2"/>
        <v>18.753850000000003</v>
      </c>
      <c r="K12" s="3" t="s">
        <v>314</v>
      </c>
      <c r="L12" s="3" t="s">
        <v>315</v>
      </c>
    </row>
    <row r="13" spans="1:12" ht="14.4">
      <c r="A13" s="11">
        <v>8</v>
      </c>
      <c r="B13" s="20" t="s">
        <v>316</v>
      </c>
      <c r="C13" s="21">
        <v>2900</v>
      </c>
      <c r="D13" s="22">
        <v>0.45</v>
      </c>
      <c r="E13" s="20" t="s">
        <v>130</v>
      </c>
      <c r="F13" s="22">
        <v>9.39</v>
      </c>
      <c r="G13" s="22">
        <f t="shared" si="0"/>
        <v>22.399549999999998</v>
      </c>
      <c r="H13" s="22">
        <v>44.99</v>
      </c>
      <c r="I13" s="22">
        <f t="shared" si="1"/>
        <v>17.596460000000004</v>
      </c>
      <c r="J13" s="22">
        <f t="shared" si="2"/>
        <v>20.940750000000005</v>
      </c>
      <c r="K13" s="20" t="s">
        <v>317</v>
      </c>
      <c r="L13" s="20" t="s">
        <v>318</v>
      </c>
    </row>
    <row r="14" spans="1:12" ht="26.4">
      <c r="A14" s="11">
        <v>9</v>
      </c>
      <c r="B14" s="3" t="s">
        <v>319</v>
      </c>
      <c r="C14" s="18">
        <v>1900</v>
      </c>
      <c r="D14" s="19">
        <v>0.39</v>
      </c>
      <c r="E14" s="3" t="s">
        <v>125</v>
      </c>
      <c r="F14" s="19">
        <v>7.84</v>
      </c>
      <c r="G14" s="19">
        <f t="shared" si="0"/>
        <v>20.314799999999998</v>
      </c>
      <c r="H14" s="19">
        <v>39.99</v>
      </c>
      <c r="I14" s="19">
        <f t="shared" si="1"/>
        <v>15.186210000000003</v>
      </c>
      <c r="J14" s="19">
        <f t="shared" si="2"/>
        <v>18.175500000000003</v>
      </c>
      <c r="K14" s="3" t="s">
        <v>320</v>
      </c>
      <c r="L14" s="3" t="s">
        <v>321</v>
      </c>
    </row>
    <row r="15" spans="1:12" ht="26.4">
      <c r="A15" s="11">
        <v>10</v>
      </c>
      <c r="B15" s="20" t="s">
        <v>322</v>
      </c>
      <c r="C15" s="21">
        <v>1600</v>
      </c>
      <c r="D15" s="22">
        <v>0.33</v>
      </c>
      <c r="E15" s="20" t="s">
        <v>323</v>
      </c>
      <c r="F15" s="22">
        <v>12.41</v>
      </c>
      <c r="G15" s="22">
        <f t="shared" si="0"/>
        <v>26.461449999999999</v>
      </c>
      <c r="H15" s="22">
        <v>49.99</v>
      </c>
      <c r="I15" s="22">
        <f t="shared" si="1"/>
        <v>18.029560000000004</v>
      </c>
      <c r="J15" s="22">
        <f t="shared" si="2"/>
        <v>21.728850000000001</v>
      </c>
      <c r="K15" s="20" t="s">
        <v>324</v>
      </c>
      <c r="L15" s="20" t="s">
        <v>325</v>
      </c>
    </row>
    <row r="16" spans="1:12" ht="26.4">
      <c r="A16" s="11">
        <v>11</v>
      </c>
      <c r="B16" s="3" t="s">
        <v>326</v>
      </c>
      <c r="C16" s="18">
        <v>880</v>
      </c>
      <c r="D16" s="19">
        <v>0.28000000000000003</v>
      </c>
      <c r="E16" s="3" t="s">
        <v>121</v>
      </c>
      <c r="F16" s="19">
        <v>7.03</v>
      </c>
      <c r="G16" s="19">
        <f t="shared" si="0"/>
        <v>19.225349999999999</v>
      </c>
      <c r="H16" s="19">
        <v>39.99</v>
      </c>
      <c r="I16" s="19">
        <f t="shared" si="1"/>
        <v>16.275660000000002</v>
      </c>
      <c r="J16" s="19">
        <f t="shared" si="2"/>
        <v>19.264950000000002</v>
      </c>
      <c r="K16" s="3" t="s">
        <v>327</v>
      </c>
      <c r="L16" s="3" t="s">
        <v>328</v>
      </c>
    </row>
    <row r="17" spans="1:12" ht="14.4">
      <c r="A17" s="13">
        <v>12</v>
      </c>
      <c r="B17" s="20" t="s">
        <v>329</v>
      </c>
      <c r="C17" s="21">
        <v>480</v>
      </c>
      <c r="D17" s="22">
        <v>0.41</v>
      </c>
      <c r="E17" s="20" t="s">
        <v>135</v>
      </c>
      <c r="F17" s="22">
        <v>13.46</v>
      </c>
      <c r="G17" s="22">
        <f t="shared" si="0"/>
        <v>27.873699999999999</v>
      </c>
      <c r="H17" s="22">
        <v>49.99</v>
      </c>
      <c r="I17" s="22">
        <f t="shared" si="1"/>
        <v>16.617310000000003</v>
      </c>
      <c r="J17" s="22">
        <f t="shared" si="2"/>
        <v>20.316600000000001</v>
      </c>
      <c r="K17" s="20" t="s">
        <v>330</v>
      </c>
      <c r="L17" s="20" t="s">
        <v>331</v>
      </c>
    </row>
    <row r="18" spans="1:12" ht="26.4">
      <c r="A18" s="13">
        <v>13</v>
      </c>
      <c r="B18" s="3" t="s">
        <v>300</v>
      </c>
      <c r="C18" s="18">
        <v>22200</v>
      </c>
      <c r="D18" s="19">
        <v>0.33</v>
      </c>
      <c r="E18" s="3" t="s">
        <v>136</v>
      </c>
      <c r="F18" s="19">
        <v>11.31</v>
      </c>
      <c r="G18" s="19">
        <f t="shared" si="0"/>
        <v>24.981949999999998</v>
      </c>
      <c r="H18" s="19">
        <v>49.99</v>
      </c>
      <c r="I18" s="19">
        <f t="shared" si="1"/>
        <v>19.509060000000005</v>
      </c>
      <c r="J18" s="19">
        <f t="shared" si="2"/>
        <v>23.208350000000003</v>
      </c>
      <c r="K18" s="3" t="s">
        <v>332</v>
      </c>
      <c r="L18" s="3" t="s">
        <v>333</v>
      </c>
    </row>
    <row r="19" spans="1:12" ht="14.4">
      <c r="A19" s="13">
        <v>14</v>
      </c>
      <c r="B19" s="20" t="s">
        <v>294</v>
      </c>
      <c r="C19" s="21">
        <v>33100</v>
      </c>
      <c r="D19" s="22">
        <v>0.38</v>
      </c>
      <c r="E19" s="20" t="s">
        <v>334</v>
      </c>
      <c r="F19" s="22">
        <v>10.199999999999999</v>
      </c>
      <c r="G19" s="22">
        <f t="shared" si="0"/>
        <v>23.488999999999997</v>
      </c>
      <c r="H19" s="22">
        <v>49.99</v>
      </c>
      <c r="I19" s="22">
        <f t="shared" si="1"/>
        <v>21.002010000000006</v>
      </c>
      <c r="J19" s="22">
        <f t="shared" si="2"/>
        <v>24.701300000000003</v>
      </c>
      <c r="K19" s="20" t="s">
        <v>335</v>
      </c>
      <c r="L19" s="20" t="s">
        <v>336</v>
      </c>
    </row>
    <row r="20" spans="1:12" ht="14.4">
      <c r="A20" s="13">
        <v>15</v>
      </c>
      <c r="B20" s="3" t="s">
        <v>304</v>
      </c>
      <c r="C20" s="18">
        <v>9900</v>
      </c>
      <c r="D20" s="19">
        <v>0.35</v>
      </c>
      <c r="E20" s="3" t="s">
        <v>123</v>
      </c>
      <c r="F20" s="19">
        <v>7.41</v>
      </c>
      <c r="G20" s="19">
        <f t="shared" si="0"/>
        <v>19.736449999999998</v>
      </c>
      <c r="H20" s="19">
        <v>39.99</v>
      </c>
      <c r="I20" s="19">
        <f t="shared" si="1"/>
        <v>15.764560000000003</v>
      </c>
      <c r="J20" s="19">
        <f t="shared" si="2"/>
        <v>18.753850000000003</v>
      </c>
      <c r="K20" s="3" t="s">
        <v>337</v>
      </c>
      <c r="L20" s="3" t="s">
        <v>338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72B6"/>
  </sheetPr>
  <dimension ref="A1:M23"/>
  <sheetViews>
    <sheetView zoomScaleNormal="100" workbookViewId="0">
      <selection activeCell="F11" sqref="F11"/>
    </sheetView>
  </sheetViews>
  <sheetFormatPr defaultColWidth="8.6640625" defaultRowHeight="15" customHeight="1"/>
  <cols>
    <col min="1" max="1" width="8" customWidth="1"/>
    <col min="2" max="2" width="25" customWidth="1"/>
    <col min="3" max="3" width="10" customWidth="1"/>
    <col min="4" max="4" width="7" customWidth="1"/>
    <col min="5" max="5" width="10" customWidth="1"/>
    <col min="6" max="6" width="30" customWidth="1"/>
    <col min="7" max="7" width="8" customWidth="1"/>
    <col min="8" max="8" width="7" customWidth="1"/>
    <col min="9" max="9" width="12" customWidth="1"/>
    <col min="10" max="10" width="9" customWidth="1"/>
    <col min="11" max="11" width="11" customWidth="1"/>
    <col min="12" max="12" width="48" customWidth="1"/>
    <col min="13" max="13" width="65" customWidth="1"/>
  </cols>
  <sheetData>
    <row r="1" spans="1:13" ht="17.399999999999999">
      <c r="A1" s="36" t="s">
        <v>339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4.4">
      <c r="A2" s="37" t="s">
        <v>340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4.4">
      <c r="A3" t="s">
        <v>285</v>
      </c>
      <c r="B3" s="14">
        <v>0.34499999999999997</v>
      </c>
      <c r="C3" t="s">
        <v>96</v>
      </c>
      <c r="D3" s="14">
        <v>0.10100000000000001</v>
      </c>
    </row>
    <row r="5" spans="1:13" ht="26.4">
      <c r="A5" s="16" t="s">
        <v>287</v>
      </c>
      <c r="B5" s="16" t="s">
        <v>288</v>
      </c>
      <c r="C5" s="16" t="s">
        <v>289</v>
      </c>
      <c r="D5" s="16" t="s">
        <v>290</v>
      </c>
      <c r="E5" s="16" t="s">
        <v>100</v>
      </c>
      <c r="F5" s="16" t="s">
        <v>144</v>
      </c>
      <c r="G5" s="16" t="s">
        <v>101</v>
      </c>
      <c r="H5" s="16" t="s">
        <v>173</v>
      </c>
      <c r="I5" s="16" t="s">
        <v>104</v>
      </c>
      <c r="J5" s="16" t="s">
        <v>105</v>
      </c>
      <c r="K5" s="16" t="s">
        <v>107</v>
      </c>
      <c r="L5" s="16" t="s">
        <v>292</v>
      </c>
      <c r="M5" s="16" t="s">
        <v>293</v>
      </c>
    </row>
    <row r="6" spans="1:13" ht="26.4">
      <c r="A6" s="17">
        <v>1</v>
      </c>
      <c r="B6" s="3" t="s">
        <v>341</v>
      </c>
      <c r="C6" s="18">
        <v>49500</v>
      </c>
      <c r="D6" s="19">
        <v>0.45</v>
      </c>
      <c r="E6" s="9" t="s">
        <v>113</v>
      </c>
      <c r="F6" s="3" t="s">
        <v>158</v>
      </c>
      <c r="G6" s="19">
        <v>6.84</v>
      </c>
      <c r="H6" s="19">
        <v>9.77</v>
      </c>
      <c r="I6" s="19">
        <f>G6*(1+$B$3)+H6</f>
        <v>18.969799999999999</v>
      </c>
      <c r="J6" s="19">
        <v>39.99</v>
      </c>
      <c r="K6" s="19">
        <f t="shared" ref="K6:K23" si="0">J6-I6-(J6*$D$3+0.45)</f>
        <v>16.531210000000002</v>
      </c>
      <c r="L6" s="3" t="s">
        <v>342</v>
      </c>
      <c r="M6" s="3" t="s">
        <v>343</v>
      </c>
    </row>
    <row r="7" spans="1:13" ht="26.4">
      <c r="A7" s="17">
        <v>2</v>
      </c>
      <c r="B7" s="20" t="s">
        <v>341</v>
      </c>
      <c r="C7" s="21">
        <v>49500</v>
      </c>
      <c r="D7" s="22">
        <v>0.45</v>
      </c>
      <c r="E7" s="12" t="s">
        <v>154</v>
      </c>
      <c r="F7" s="20" t="s">
        <v>153</v>
      </c>
      <c r="G7" s="22">
        <v>45.35</v>
      </c>
      <c r="H7" s="22">
        <v>8.59</v>
      </c>
      <c r="I7" s="22">
        <f>G7+H7</f>
        <v>53.94</v>
      </c>
      <c r="J7" s="22">
        <v>74.989999999999995</v>
      </c>
      <c r="K7" s="22">
        <f t="shared" si="0"/>
        <v>13.026009999999998</v>
      </c>
      <c r="L7" s="20" t="s">
        <v>344</v>
      </c>
      <c r="M7" s="20" t="s">
        <v>345</v>
      </c>
    </row>
    <row r="8" spans="1:13" ht="26.4">
      <c r="A8" s="17">
        <v>3</v>
      </c>
      <c r="B8" s="3" t="s">
        <v>346</v>
      </c>
      <c r="C8" s="18">
        <v>8100</v>
      </c>
      <c r="D8" s="19">
        <v>0.42</v>
      </c>
      <c r="E8" s="9" t="s">
        <v>113</v>
      </c>
      <c r="F8" s="3" t="s">
        <v>162</v>
      </c>
      <c r="G8" s="19">
        <v>7.05</v>
      </c>
      <c r="H8" s="19">
        <v>9.77</v>
      </c>
      <c r="I8" s="19">
        <f t="shared" ref="I8:I21" si="1">G8*(1+$B$3)+H8</f>
        <v>19.252249999999997</v>
      </c>
      <c r="J8" s="19">
        <v>39.99</v>
      </c>
      <c r="K8" s="19">
        <f t="shared" si="0"/>
        <v>16.248760000000004</v>
      </c>
      <c r="L8" s="3" t="s">
        <v>347</v>
      </c>
      <c r="M8" s="3" t="s">
        <v>348</v>
      </c>
    </row>
    <row r="9" spans="1:13" ht="14.4">
      <c r="A9" s="17">
        <v>4</v>
      </c>
      <c r="B9" s="20" t="s">
        <v>349</v>
      </c>
      <c r="C9" s="21">
        <v>8100</v>
      </c>
      <c r="D9" s="22">
        <v>0.33</v>
      </c>
      <c r="E9" s="9" t="s">
        <v>113</v>
      </c>
      <c r="F9" s="20" t="s">
        <v>161</v>
      </c>
      <c r="G9" s="22">
        <v>7.2</v>
      </c>
      <c r="H9" s="22">
        <v>9.77</v>
      </c>
      <c r="I9" s="22">
        <f t="shared" si="1"/>
        <v>19.454000000000001</v>
      </c>
      <c r="J9" s="22">
        <v>39.99</v>
      </c>
      <c r="K9" s="22">
        <f t="shared" si="0"/>
        <v>16.04701</v>
      </c>
      <c r="L9" s="20" t="s">
        <v>350</v>
      </c>
      <c r="M9" s="20" t="s">
        <v>351</v>
      </c>
    </row>
    <row r="10" spans="1:13" ht="14.4">
      <c r="A10" s="17">
        <v>5</v>
      </c>
      <c r="B10" s="3" t="s">
        <v>352</v>
      </c>
      <c r="C10" s="18">
        <v>4400</v>
      </c>
      <c r="D10" s="19">
        <v>0.38</v>
      </c>
      <c r="E10" s="9" t="s">
        <v>113</v>
      </c>
      <c r="F10" s="3" t="s">
        <v>158</v>
      </c>
      <c r="G10" s="19">
        <v>6.84</v>
      </c>
      <c r="H10" s="19">
        <v>9.77</v>
      </c>
      <c r="I10" s="19">
        <f t="shared" si="1"/>
        <v>18.969799999999999</v>
      </c>
      <c r="J10" s="19">
        <v>39.99</v>
      </c>
      <c r="K10" s="19">
        <f t="shared" si="0"/>
        <v>16.531210000000002</v>
      </c>
      <c r="L10" s="3" t="s">
        <v>353</v>
      </c>
      <c r="M10" s="3" t="s">
        <v>354</v>
      </c>
    </row>
    <row r="11" spans="1:13" ht="26.4">
      <c r="A11" s="11">
        <v>6</v>
      </c>
      <c r="B11" s="20" t="s">
        <v>355</v>
      </c>
      <c r="C11" s="21">
        <v>3600</v>
      </c>
      <c r="D11" s="22">
        <v>0.5</v>
      </c>
      <c r="E11" s="9" t="s">
        <v>113</v>
      </c>
      <c r="F11" s="20" t="s">
        <v>158</v>
      </c>
      <c r="G11" s="22">
        <v>6.84</v>
      </c>
      <c r="H11" s="22">
        <v>9.77</v>
      </c>
      <c r="I11" s="22">
        <f t="shared" si="1"/>
        <v>18.969799999999999</v>
      </c>
      <c r="J11" s="22">
        <v>44.99</v>
      </c>
      <c r="K11" s="22">
        <f t="shared" si="0"/>
        <v>21.026210000000003</v>
      </c>
      <c r="L11" s="20" t="s">
        <v>356</v>
      </c>
      <c r="M11" s="20" t="s">
        <v>357</v>
      </c>
    </row>
    <row r="12" spans="1:13" ht="26.4">
      <c r="A12" s="11">
        <v>7</v>
      </c>
      <c r="B12" s="3" t="s">
        <v>358</v>
      </c>
      <c r="C12" s="18">
        <v>1900</v>
      </c>
      <c r="D12" s="19">
        <v>0.71</v>
      </c>
      <c r="E12" s="9" t="s">
        <v>113</v>
      </c>
      <c r="F12" s="3" t="s">
        <v>162</v>
      </c>
      <c r="G12" s="19">
        <v>7.05</v>
      </c>
      <c r="H12" s="19">
        <v>9.77</v>
      </c>
      <c r="I12" s="19">
        <f t="shared" si="1"/>
        <v>19.252249999999997</v>
      </c>
      <c r="J12" s="19">
        <v>44.99</v>
      </c>
      <c r="K12" s="19">
        <f t="shared" si="0"/>
        <v>20.743760000000005</v>
      </c>
      <c r="L12" s="3" t="s">
        <v>359</v>
      </c>
      <c r="M12" s="3" t="s">
        <v>360</v>
      </c>
    </row>
    <row r="13" spans="1:13" ht="26.4">
      <c r="A13" s="11">
        <v>8</v>
      </c>
      <c r="B13" s="20" t="s">
        <v>361</v>
      </c>
      <c r="C13" s="21">
        <v>1900</v>
      </c>
      <c r="D13" s="22">
        <v>0.52</v>
      </c>
      <c r="E13" s="9" t="s">
        <v>113</v>
      </c>
      <c r="F13" s="20" t="s">
        <v>161</v>
      </c>
      <c r="G13" s="22">
        <v>7.2</v>
      </c>
      <c r="H13" s="22">
        <v>9.77</v>
      </c>
      <c r="I13" s="22">
        <f t="shared" si="1"/>
        <v>19.454000000000001</v>
      </c>
      <c r="J13" s="22">
        <v>39.99</v>
      </c>
      <c r="K13" s="22">
        <f t="shared" si="0"/>
        <v>16.04701</v>
      </c>
      <c r="L13" s="20" t="s">
        <v>362</v>
      </c>
      <c r="M13" s="20" t="s">
        <v>363</v>
      </c>
    </row>
    <row r="14" spans="1:13" ht="26.4">
      <c r="A14" s="11">
        <v>9</v>
      </c>
      <c r="B14" s="3" t="s">
        <v>364</v>
      </c>
      <c r="C14" s="18">
        <v>1900</v>
      </c>
      <c r="D14" s="19">
        <v>0.41</v>
      </c>
      <c r="E14" s="9" t="s">
        <v>113</v>
      </c>
      <c r="F14" s="3" t="s">
        <v>158</v>
      </c>
      <c r="G14" s="19">
        <v>6.84</v>
      </c>
      <c r="H14" s="19">
        <v>9.77</v>
      </c>
      <c r="I14" s="19">
        <f t="shared" si="1"/>
        <v>18.969799999999999</v>
      </c>
      <c r="J14" s="19">
        <v>39.99</v>
      </c>
      <c r="K14" s="19">
        <f t="shared" si="0"/>
        <v>16.531210000000002</v>
      </c>
      <c r="L14" s="3" t="s">
        <v>365</v>
      </c>
      <c r="M14" s="3" t="s">
        <v>366</v>
      </c>
    </row>
    <row r="15" spans="1:13" ht="26.4">
      <c r="A15" s="11">
        <v>10</v>
      </c>
      <c r="B15" s="20" t="s">
        <v>367</v>
      </c>
      <c r="C15" s="21">
        <v>1600</v>
      </c>
      <c r="D15" s="22">
        <v>0.44</v>
      </c>
      <c r="E15" s="9" t="s">
        <v>113</v>
      </c>
      <c r="F15" s="20" t="s">
        <v>158</v>
      </c>
      <c r="G15" s="22">
        <v>6.84</v>
      </c>
      <c r="H15" s="22">
        <v>9.77</v>
      </c>
      <c r="I15" s="22">
        <f t="shared" si="1"/>
        <v>18.969799999999999</v>
      </c>
      <c r="J15" s="22">
        <v>39.99</v>
      </c>
      <c r="K15" s="22">
        <f t="shared" si="0"/>
        <v>16.531210000000002</v>
      </c>
      <c r="L15" s="20" t="s">
        <v>368</v>
      </c>
      <c r="M15" s="20" t="s">
        <v>369</v>
      </c>
    </row>
    <row r="16" spans="1:13" ht="26.4">
      <c r="A16" s="11">
        <v>11</v>
      </c>
      <c r="B16" s="3" t="s">
        <v>370</v>
      </c>
      <c r="C16" s="18">
        <v>590</v>
      </c>
      <c r="D16" s="19">
        <v>0.41</v>
      </c>
      <c r="E16" s="9" t="s">
        <v>113</v>
      </c>
      <c r="F16" s="3" t="s">
        <v>162</v>
      </c>
      <c r="G16" s="19">
        <v>7.05</v>
      </c>
      <c r="H16" s="19">
        <v>9.77</v>
      </c>
      <c r="I16" s="19">
        <f t="shared" si="1"/>
        <v>19.252249999999997</v>
      </c>
      <c r="J16" s="19">
        <v>39.99</v>
      </c>
      <c r="K16" s="19">
        <f t="shared" si="0"/>
        <v>16.248760000000004</v>
      </c>
      <c r="L16" s="3" t="s">
        <v>371</v>
      </c>
      <c r="M16" s="3" t="s">
        <v>372</v>
      </c>
    </row>
    <row r="17" spans="1:13" ht="26.4">
      <c r="A17" s="11">
        <v>12</v>
      </c>
      <c r="B17" s="20" t="s">
        <v>373</v>
      </c>
      <c r="C17" s="21">
        <v>590</v>
      </c>
      <c r="D17" s="22">
        <v>0.31</v>
      </c>
      <c r="E17" s="9" t="s">
        <v>113</v>
      </c>
      <c r="F17" s="20" t="s">
        <v>163</v>
      </c>
      <c r="G17" s="22">
        <v>4.84</v>
      </c>
      <c r="H17" s="22">
        <v>9.77</v>
      </c>
      <c r="I17" s="22">
        <f t="shared" si="1"/>
        <v>16.279799999999998</v>
      </c>
      <c r="J17" s="22">
        <v>34.99</v>
      </c>
      <c r="K17" s="22">
        <f t="shared" si="0"/>
        <v>14.726210000000004</v>
      </c>
      <c r="L17" s="20" t="s">
        <v>374</v>
      </c>
      <c r="M17" s="20" t="s">
        <v>375</v>
      </c>
    </row>
    <row r="18" spans="1:13" ht="26.4">
      <c r="A18" s="13">
        <v>13</v>
      </c>
      <c r="B18" s="3" t="s">
        <v>376</v>
      </c>
      <c r="C18" s="18">
        <v>590</v>
      </c>
      <c r="D18" s="19">
        <v>0.47</v>
      </c>
      <c r="E18" s="9" t="s">
        <v>113</v>
      </c>
      <c r="F18" s="3" t="s">
        <v>158</v>
      </c>
      <c r="G18" s="19">
        <v>6.84</v>
      </c>
      <c r="H18" s="19">
        <v>9.77</v>
      </c>
      <c r="I18" s="19">
        <f t="shared" si="1"/>
        <v>18.969799999999999</v>
      </c>
      <c r="J18" s="19">
        <v>39.99</v>
      </c>
      <c r="K18" s="19">
        <f t="shared" si="0"/>
        <v>16.531210000000002</v>
      </c>
      <c r="L18" s="3" t="s">
        <v>377</v>
      </c>
      <c r="M18" s="3" t="s">
        <v>378</v>
      </c>
    </row>
    <row r="19" spans="1:13" ht="26.4">
      <c r="A19" s="13">
        <v>14</v>
      </c>
      <c r="B19" s="20" t="s">
        <v>379</v>
      </c>
      <c r="C19" s="21">
        <v>390</v>
      </c>
      <c r="D19" s="22">
        <v>0.52</v>
      </c>
      <c r="E19" s="9" t="s">
        <v>113</v>
      </c>
      <c r="F19" s="20" t="s">
        <v>158</v>
      </c>
      <c r="G19" s="22">
        <v>6.84</v>
      </c>
      <c r="H19" s="22">
        <v>9.77</v>
      </c>
      <c r="I19" s="22">
        <f t="shared" si="1"/>
        <v>18.969799999999999</v>
      </c>
      <c r="J19" s="22">
        <v>39.99</v>
      </c>
      <c r="K19" s="22">
        <f t="shared" si="0"/>
        <v>16.531210000000002</v>
      </c>
      <c r="L19" s="20" t="s">
        <v>380</v>
      </c>
      <c r="M19" s="20" t="s">
        <v>381</v>
      </c>
    </row>
    <row r="20" spans="1:13" ht="14.4">
      <c r="A20" s="11">
        <v>15</v>
      </c>
      <c r="B20" s="3" t="s">
        <v>382</v>
      </c>
      <c r="C20" s="18">
        <v>1300</v>
      </c>
      <c r="D20" s="19">
        <v>0.51</v>
      </c>
      <c r="E20" s="9" t="s">
        <v>113</v>
      </c>
      <c r="F20" s="3" t="s">
        <v>165</v>
      </c>
      <c r="G20" s="19">
        <v>6.34</v>
      </c>
      <c r="H20" s="19">
        <v>9.77</v>
      </c>
      <c r="I20" s="19">
        <f t="shared" si="1"/>
        <v>18.2973</v>
      </c>
      <c r="J20" s="19">
        <v>39.99</v>
      </c>
      <c r="K20" s="19">
        <f t="shared" si="0"/>
        <v>17.203710000000001</v>
      </c>
      <c r="L20" s="3" t="s">
        <v>383</v>
      </c>
      <c r="M20" s="3" t="s">
        <v>384</v>
      </c>
    </row>
    <row r="21" spans="1:13" ht="26.4">
      <c r="A21" s="13">
        <v>16</v>
      </c>
      <c r="B21" s="20" t="s">
        <v>385</v>
      </c>
      <c r="C21" s="21">
        <v>880</v>
      </c>
      <c r="D21" s="22">
        <v>0.42</v>
      </c>
      <c r="E21" s="9" t="s">
        <v>113</v>
      </c>
      <c r="F21" s="20" t="s">
        <v>165</v>
      </c>
      <c r="G21" s="22">
        <v>6.34</v>
      </c>
      <c r="H21" s="22">
        <v>9.77</v>
      </c>
      <c r="I21" s="22">
        <f t="shared" si="1"/>
        <v>18.2973</v>
      </c>
      <c r="J21" s="22">
        <v>39.99</v>
      </c>
      <c r="K21" s="22">
        <f t="shared" si="0"/>
        <v>17.203710000000001</v>
      </c>
      <c r="L21" s="20" t="s">
        <v>386</v>
      </c>
      <c r="M21" s="20" t="s">
        <v>387</v>
      </c>
    </row>
    <row r="22" spans="1:13" ht="14.4">
      <c r="A22" s="17">
        <v>17</v>
      </c>
      <c r="B22" s="3" t="s">
        <v>388</v>
      </c>
      <c r="C22" s="18">
        <v>5000</v>
      </c>
      <c r="D22" s="19">
        <v>0.4</v>
      </c>
      <c r="E22" s="12" t="s">
        <v>154</v>
      </c>
      <c r="F22" s="3" t="s">
        <v>167</v>
      </c>
      <c r="G22" s="19">
        <v>19.54</v>
      </c>
      <c r="H22" s="19">
        <v>6.09</v>
      </c>
      <c r="I22" s="19">
        <f>G22+H22</f>
        <v>25.63</v>
      </c>
      <c r="J22" s="19">
        <v>39.99</v>
      </c>
      <c r="K22" s="19">
        <f t="shared" si="0"/>
        <v>9.8710100000000018</v>
      </c>
      <c r="L22" s="3" t="s">
        <v>389</v>
      </c>
      <c r="M22" s="3" t="s">
        <v>390</v>
      </c>
    </row>
    <row r="23" spans="1:13" ht="26.4">
      <c r="A23" s="13">
        <v>18</v>
      </c>
      <c r="B23" s="20" t="s">
        <v>391</v>
      </c>
      <c r="C23" s="21">
        <v>3000</v>
      </c>
      <c r="D23" s="22">
        <v>0.45</v>
      </c>
      <c r="E23" s="12" t="s">
        <v>154</v>
      </c>
      <c r="F23" s="20" t="s">
        <v>164</v>
      </c>
      <c r="G23" s="22">
        <v>29.31</v>
      </c>
      <c r="H23" s="22">
        <v>8.59</v>
      </c>
      <c r="I23" s="22">
        <f>G23+H23</f>
        <v>37.9</v>
      </c>
      <c r="J23" s="22">
        <v>59.99</v>
      </c>
      <c r="K23" s="22">
        <f t="shared" si="0"/>
        <v>15.581010000000003</v>
      </c>
      <c r="L23" s="20" t="s">
        <v>392</v>
      </c>
      <c r="M23" s="20" t="s">
        <v>393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Tariff Assumptions</vt:lpstr>
      <vt:lpstr>Dresses — PeaPrint vs Yoycol</vt:lpstr>
      <vt:lpstr>Hoodies Tees — All 3 Suppliers</vt:lpstr>
      <vt:lpstr>Tariff Sensitivity</vt:lpstr>
      <vt:lpstr>Recommendations</vt:lpstr>
      <vt:lpstr>Delivery Times</vt:lpstr>
      <vt:lpstr>Dress Priority Queue</vt:lpstr>
      <vt:lpstr>Hoodie-Tee Priority 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2026-03-03T14:49:42Z</dcterms:created>
  <dcterms:modified xsi:type="dcterms:W3CDTF">2026-03-05T02:07:27Z</dcterms:modified>
  <dc:language>en-US</dc:language>
</cp:coreProperties>
</file>