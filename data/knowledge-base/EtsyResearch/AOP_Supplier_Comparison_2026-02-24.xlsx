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ier Overview" sheetId="1" state="visible" r:id="rId3"/>
    <sheet name="Pricing Comparison" sheetId="2" state="visible" r:id="rId4"/>
    <sheet name="API &amp; Integration" sheetId="3" state="visible" r:id="rId5"/>
    <sheet name="Quality &amp; Reviews" sheetId="4" state="visible" r:id="rId6"/>
    <sheet name="Scoring" sheetId="5" state="visible" r:id="rId7"/>
    <sheet name="Recommend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<sst xmlns="http://schemas.openxmlformats.org/spreadsheetml/2006/main" count="333" uniqueCount="246">
  <si>
    <t xml:space="preserve">AOP POD Supplier Comparative Analysis — LunarAuraDesignStore</t>
  </si>
  <si>
    <t xml:space="preserve">Report Date: Feb 24, 2026 | Current Provider: Printify (MWW On Demand BP 450) | Target: Price-competitive AOP hoodies for multi-tier Etsy listings</t>
  </si>
  <si>
    <t xml:space="preserve">Supplier</t>
  </si>
  <si>
    <t xml:space="preserve">HQ / Mfg Location</t>
  </si>
  <si>
    <t xml:space="preserve">Founded</t>
  </si>
  <si>
    <t xml:space="preserve">AOP Specialization</t>
  </si>
  <si>
    <t xml:space="preserve">Product Range</t>
  </si>
  <si>
    <t xml:space="preserve">Etsy Integration</t>
  </si>
  <si>
    <t xml:space="preserve">API Available</t>
  </si>
  <si>
    <t xml:space="preserve">Shopify App Rating</t>
  </si>
  <si>
    <t xml:space="preserve">Key Strength</t>
  </si>
  <si>
    <t xml:space="preserve">Key Weakness</t>
  </si>
  <si>
    <t xml:space="preserve">Overall Score</t>
  </si>
  <si>
    <t xml:space="preserve">Printify (Current)</t>
  </si>
  <si>
    <t xml:space="preserve">USA / Multi-provider network</t>
  </si>
  <si>
    <t xml:space="preserve">2015</t>
  </si>
  <si>
    <t xml:space="preserve">Yes (via providers)</t>
  </si>
  <si>
    <t xml:space="preserve">900+ products</t>
  </si>
  <si>
    <t xml:space="preserve">Native</t>
  </si>
  <si>
    <t xml:space="preserve">Yes (REST API)</t>
  </si>
  <si>
    <t xml:space="preserve">4.7 / 5</t>
  </si>
  <si>
    <t xml:space="preserve">Largest provider network, competitive routing</t>
  </si>
  <si>
    <t xml:space="preserve">Quality varies by provider</t>
  </si>
  <si>
    <t xml:space="preserve">Subliminator</t>
  </si>
  <si>
    <t xml:space="preserve">Netherlands / China mfg</t>
  </si>
  <si>
    <t xml:space="preserve">2018</t>
  </si>
  <si>
    <t xml:space="preserve">AOP-first (cut &amp; sew)</t>
  </si>
  <si>
    <t xml:space="preserve">150+ AOP products</t>
  </si>
  <si>
    <t xml:space="preserve">Coming Soon</t>
  </si>
  <si>
    <t xml:space="preserve">Via Shopify only</t>
  </si>
  <si>
    <t xml:space="preserve">4.5 / 5</t>
  </si>
  <si>
    <t xml:space="preserve">Best-in-class AOP print quality</t>
  </si>
  <si>
    <t xml:space="preserve">Limited product range, no Etsy yet</t>
  </si>
  <si>
    <t xml:space="preserve">Merchize</t>
  </si>
  <si>
    <t xml:space="preserve">USA / Vietnam mfg</t>
  </si>
  <si>
    <t xml:space="preserve">Strong AOP focus</t>
  </si>
  <si>
    <t xml:space="preserve">1,000+ products</t>
  </si>
  <si>
    <t xml:space="preserve">3.8 / 5</t>
  </si>
  <si>
    <t xml:space="preserve">Lowest AOP base costs, Vietnam factory</t>
  </si>
  <si>
    <t xml:space="preserve">Mixed reviews, 7% processing fee</t>
  </si>
  <si>
    <t xml:space="preserve">AOP+</t>
  </si>
  <si>
    <t xml:space="preserve">London, UK / UK mfg</t>
  </si>
  <si>
    <t xml:space="preserve">2009</t>
  </si>
  <si>
    <t xml:space="preserve">AOP + DTG specialist</t>
  </si>
  <si>
    <t xml:space="preserve">200+ products</t>
  </si>
  <si>
    <t xml:space="preserve">App-based only</t>
  </si>
  <si>
    <t xml:space="preserve">4.2 / 5</t>
  </si>
  <si>
    <t xml:space="preserve">Eco-friendly, great quality, UK production</t>
  </si>
  <si>
    <t xml:space="preserve">High US shipping, slower delivery</t>
  </si>
  <si>
    <t xml:space="preserve">Gooten</t>
  </si>
  <si>
    <t xml:space="preserve">USA / Multi-provider</t>
  </si>
  <si>
    <t xml:space="preserve">2013</t>
  </si>
  <si>
    <t xml:space="preserve">525+ products</t>
  </si>
  <si>
    <t xml:space="preserve">Via 3rd party</t>
  </si>
  <si>
    <t xml:space="preserve">3.7 / 5</t>
  </si>
  <si>
    <t xml:space="preserve">Free robust API, VIM volume discounts</t>
  </si>
  <si>
    <t xml:space="preserve">QC inconsistencies, no direct Etsy</t>
  </si>
  <si>
    <t xml:space="preserve">Printful</t>
  </si>
  <si>
    <t xml:space="preserve">USA / Global facilities</t>
  </si>
  <si>
    <t xml:space="preserve">Yes (sublimation)</t>
  </si>
  <si>
    <t xml:space="preserve">350+ products</t>
  </si>
  <si>
    <t xml:space="preserve">4.4 / 5</t>
  </si>
  <si>
    <t xml:space="preserve">Best QC (0.24% reshipment), branding</t>
  </si>
  <si>
    <t xml:space="preserve">Highest prices, AOP costs premium</t>
  </si>
  <si>
    <t xml:space="preserve">HugePOD</t>
  </si>
  <si>
    <t xml:space="preserve">China</t>
  </si>
  <si>
    <t xml:space="preserve">2020</t>
  </si>
  <si>
    <t xml:space="preserve">AOP-focused</t>
  </si>
  <si>
    <t xml:space="preserve">500+ styles</t>
  </si>
  <si>
    <t xml:space="preserve">No</t>
  </si>
  <si>
    <t xml:space="preserve">3.2 / 5 (Trustpilot)</t>
  </si>
  <si>
    <t xml:space="preserve">Very low prices, bulk discounts</t>
  </si>
  <si>
    <t xml:space="preserve">Quality inconsistent, slow shipping</t>
  </si>
  <si>
    <t xml:space="preserve">SPOD (Spreadshirt)</t>
  </si>
  <si>
    <t xml:space="preserve">Germany / EU + US</t>
  </si>
  <si>
    <t xml:space="preserve">2002</t>
  </si>
  <si>
    <t xml:space="preserve">No AOP hoodies</t>
  </si>
  <si>
    <t xml:space="preserve">250+ products</t>
  </si>
  <si>
    <t xml:space="preserve">4.0 / 5</t>
  </si>
  <si>
    <t xml:space="preserve">48hr production, great DTG</t>
  </si>
  <si>
    <t xml:space="preserve">NO AOP hoodies available</t>
  </si>
  <si>
    <t xml:space="preserve">AOP Hoodie Pricing — Cost Per Unit Comparison (USD)</t>
  </si>
  <si>
    <t xml:space="preserve">All prices in USD. Shipping to continental US. Size M baseline unless noted. Blue = input assumptions you can change.</t>
  </si>
  <si>
    <t xml:space="preserve">ASSUMPTIONS (editable)</t>
  </si>
  <si>
    <t xml:space="preserve">Your Etsy Sale Price</t>
  </si>
  <si>
    <t xml:space="preserve">Etsy Transaction Fee</t>
  </si>
  <si>
    <t xml:space="preserve">Etsy Listing Fee</t>
  </si>
  <si>
    <t xml:space="preserve">Etsy Payment Processing</t>
  </si>
  <si>
    <t xml:space="preserve">Etsy Offsite Ads (est.)</t>
  </si>
  <si>
    <t xml:space="preserve">AOP Hoodie
Base Cost</t>
  </si>
  <si>
    <t xml:space="preserve">Shipping
(US Std)</t>
  </si>
  <si>
    <t xml:space="preserve">Total
Landed Cost</t>
  </si>
  <si>
    <t xml:space="preserve">Etsy Fees
(on $74.99)</t>
  </si>
  <si>
    <t xml:space="preserve">Net Profit
per Unit</t>
  </si>
  <si>
    <t xml:space="preserve">Profit
Margin</t>
  </si>
  <si>
    <t xml:space="preserve">Production
Time</t>
  </si>
  <si>
    <t xml:space="preserve">Ship to
Customer</t>
  </si>
  <si>
    <t xml:space="preserve">Total
Fulfillment</t>
  </si>
  <si>
    <t xml:space="preserve">Material</t>
  </si>
  <si>
    <t xml:space="preserve">Fabric
Weight</t>
  </si>
  <si>
    <t xml:space="preserve">Printify (MWW — BP450)</t>
  </si>
  <si>
    <t xml:space="preserve">3-6 days</t>
  </si>
  <si>
    <t xml:space="preserve">3-7 days</t>
  </si>
  <si>
    <t xml:space="preserve">6-13 days</t>
  </si>
  <si>
    <t xml:space="preserve">86% poly / 14% cotton</t>
  </si>
  <si>
    <t xml:space="preserve">8.85 oz/yd²</t>
  </si>
  <si>
    <t xml:space="preserve">Printify (Subliminator — BP592)</t>
  </si>
  <si>
    <t xml:space="preserve">6-9 days</t>
  </si>
  <si>
    <t xml:space="preserve">9-16 days</t>
  </si>
  <si>
    <t xml:space="preserve">75% poly / 20% cotton / 5% spandex</t>
  </si>
  <si>
    <t xml:space="preserve">7.7 oz/yd²</t>
  </si>
  <si>
    <t xml:space="preserve">Subliminator (Direct)</t>
  </si>
  <si>
    <t xml:space="preserve">Merchize (Lightweight)</t>
  </si>
  <si>
    <t xml:space="preserve">2-6 days</t>
  </si>
  <si>
    <t xml:space="preserve">4-7 days</t>
  </si>
  <si>
    <t xml:space="preserve">100% polyester</t>
  </si>
  <si>
    <t xml:space="preserve">260 GSM</t>
  </si>
  <si>
    <t xml:space="preserve">Merchize (Standard)</t>
  </si>
  <si>
    <t xml:space="preserve">AOP+ (Classic Hoodie)</t>
  </si>
  <si>
    <t xml:space="preserve">3-5 days</t>
  </si>
  <si>
    <t xml:space="preserve">5-10 days</t>
  </si>
  <si>
    <t xml:space="preserve">8-15 days</t>
  </si>
  <si>
    <t xml:space="preserve">80% poly / 20% cotton</t>
  </si>
  <si>
    <t xml:space="preserve">280 GSM</t>
  </si>
  <si>
    <t xml:space="preserve">Gooten (AOP Hoodie)</t>
  </si>
  <si>
    <t xml:space="preserve">4-8 days</t>
  </si>
  <si>
    <t xml:space="preserve">7-15 days</t>
  </si>
  <si>
    <t xml:space="preserve">95% polyester / 5% spandex</t>
  </si>
  <si>
    <t xml:space="preserve">8.0 oz/yd²</t>
  </si>
  <si>
    <t xml:space="preserve">Printful (AOP Recycled)</t>
  </si>
  <si>
    <t xml:space="preserve">2-5 days</t>
  </si>
  <si>
    <t xml:space="preserve">70% poly / 27% cotton / 3% elastane</t>
  </si>
  <si>
    <t xml:space="preserve">HugePOD (AOP Hoodie)</t>
  </si>
  <si>
    <t xml:space="preserve">10-20 days</t>
  </si>
  <si>
    <t xml:space="preserve">15-30 days</t>
  </si>
  <si>
    <t xml:space="preserve">Thin (~200 GSM)</t>
  </si>
  <si>
    <t xml:space="preserve">API Capabilities &amp; Platform Integration Comparison</t>
  </si>
  <si>
    <t xml:space="preserve">REST API</t>
  </si>
  <si>
    <t xml:space="preserve">API Docs</t>
  </si>
  <si>
    <t xml:space="preserve">Product Creation
via API</t>
  </si>
  <si>
    <t xml:space="preserve">Order Mgmt
via API</t>
  </si>
  <si>
    <t xml:space="preserve">Etsy
Integration</t>
  </si>
  <si>
    <t xml:space="preserve">Shopify
Integration</t>
  </si>
  <si>
    <t xml:space="preserve">Automation
Friendliness</t>
  </si>
  <si>
    <t xml:space="preserve">Yes — Full REST API</t>
  </si>
  <si>
    <t xml:space="preserve">developers.printify.com</t>
  </si>
  <si>
    <t xml:space="preserve">Yes — create products, upload images</t>
  </si>
  <si>
    <t xml:space="preserve">Yes — create/cancel/ship</t>
  </si>
  <si>
    <t xml:space="preserve">Native (auto-sync)</t>
  </si>
  <si>
    <t xml:space="preserve">EXCELLENT</t>
  </si>
  <si>
    <t xml:space="preserve">No public API</t>
  </si>
  <si>
    <t xml:space="preserve">N/A</t>
  </si>
  <si>
    <t xml:space="preserve">No — Shopify app only</t>
  </si>
  <si>
    <t xml:space="preserve">Auto via Shopify orders</t>
  </si>
  <si>
    <t xml:space="preserve">Native app</t>
  </si>
  <si>
    <t xml:space="preserve">LIMITED</t>
  </si>
  <si>
    <t xml:space="preserve">Yes — REST API</t>
  </si>
  <si>
    <t xml:space="preserve">Via dashboard</t>
  </si>
  <si>
    <t xml:space="preserve">Yes — product + variants</t>
  </si>
  <si>
    <t xml:space="preserve">Yes — order placement</t>
  </si>
  <si>
    <t xml:space="preserve">Private/custom app</t>
  </si>
  <si>
    <t xml:space="preserve">GOOD</t>
  </si>
  <si>
    <t xml:space="preserve">No — app-based only</t>
  </si>
  <si>
    <t xml:space="preserve">Auto via platform orders</t>
  </si>
  <si>
    <t xml:space="preserve">developer.gooten.com</t>
  </si>
  <si>
    <t xml:space="preserve">Yes — full product CRUD</t>
  </si>
  <si>
    <t xml:space="preserve">Yes — create/track/cancel</t>
  </si>
  <si>
    <t xml:space="preserve">developers.printful.com</t>
  </si>
  <si>
    <t xml:space="preserve">Yes — create products, mockups</t>
  </si>
  <si>
    <t xml:space="preserve">Yes — full order lifecycle</t>
  </si>
  <si>
    <t xml:space="preserve">No — manual order entry</t>
  </si>
  <si>
    <t xml:space="preserve">NONE</t>
  </si>
  <si>
    <t xml:space="preserve">SPOD</t>
  </si>
  <si>
    <t xml:space="preserve">api.spod.com/docs</t>
  </si>
  <si>
    <t xml:space="preserve">Yes — product creation</t>
  </si>
  <si>
    <t xml:space="preserve">Yes — order fulfillment</t>
  </si>
  <si>
    <t xml:space="preserve">GOOD (no AOP)</t>
  </si>
  <si>
    <t xml:space="preserve">Product Quality &amp; User Reviews Summary</t>
  </si>
  <si>
    <t xml:space="preserve">Print Method</t>
  </si>
  <si>
    <t xml:space="preserve">Print Quality
(1-10)</t>
  </si>
  <si>
    <t xml:space="preserve">Fabric Quality
(1-10)</t>
  </si>
  <si>
    <t xml:space="preserve">Consistency
(1-10)</t>
  </si>
  <si>
    <t xml:space="preserve">User Sentiment</t>
  </si>
  <si>
    <t xml:space="preserve">Key Review Quotes</t>
  </si>
  <si>
    <t xml:space="preserve">Printify (MWW)</t>
  </si>
  <si>
    <t xml:space="preserve">Dye-sublimation (cut &amp; sew)</t>
  </si>
  <si>
    <t xml:space="preserve">Positive</t>
  </si>
  <si>
    <t xml:space="preserve">Solid AOP quality. Provider-dependent consistency.</t>
  </si>
  <si>
    <t xml:space="preserve">Cut &amp; sew sublimation</t>
  </si>
  <si>
    <t xml:space="preserve">Very Positive</t>
  </si>
  <si>
    <t xml:space="preserve">"Best AOP quality on the market." Color-matched stitching. Superb fabrics.</t>
  </si>
  <si>
    <t xml:space="preserve">Mixed</t>
  </si>
  <si>
    <t xml:space="preserve">Low costs but some wrong-product and double-charge reports. Vietnam factory.</t>
  </si>
  <si>
    <t xml:space="preserve">DTG + sublimation</t>
  </si>
  <si>
    <t xml:space="preserve">"By far one of the best print quality in POD." Eco-focus. UK made.</t>
  </si>
  <si>
    <t xml:space="preserve">Dye-sublimation</t>
  </si>
  <si>
    <t xml:space="preserve">Good at scale with VIM. 20% misprint rate reported by some users.</t>
  </si>
  <si>
    <t xml:space="preserve">0.24% reshipment rate. Premium blanks. Most consistent quality.</t>
  </si>
  <si>
    <t xml:space="preserve">Sublimation</t>
  </si>
  <si>
    <t xml:space="preserve">Negative</t>
  </si>
  <si>
    <t xml:space="preserve">Material mismatch (polyester vs advertised cotton). Month-long shipping.</t>
  </si>
  <si>
    <t xml:space="preserve">DTG / DTF only</t>
  </si>
  <si>
    <t xml:space="preserve">48hr production. No AOP hoodies — DTG/DTF only.</t>
  </si>
  <si>
    <t xml:space="preserve">Weighted Scoring Model — Best AOP Supplier for LunarAuraDesignStore</t>
  </si>
  <si>
    <t xml:space="preserve">Weights →</t>
  </si>
  <si>
    <t xml:space="preserve">Price
Competitiveness</t>
  </si>
  <si>
    <t xml:space="preserve">Print
Quality</t>
  </si>
  <si>
    <t xml:space="preserve">API /
Automation</t>
  </si>
  <si>
    <t xml:space="preserve">Fulfillment
Speed</t>
  </si>
  <si>
    <t xml:space="preserve">Material
Quality</t>
  </si>
  <si>
    <t xml:space="preserve">Scalability</t>
  </si>
  <si>
    <t xml:space="preserve">Weighted
Total</t>
  </si>
  <si>
    <t xml:space="preserve">Rank</t>
  </si>
  <si>
    <t xml:space="preserve">Weight:</t>
  </si>
  <si>
    <t xml:space="preserve">Strategic Recommendation for LunarAuraDesignStore</t>
  </si>
  <si>
    <t xml:space="preserve">TIER</t>
  </si>
  <si>
    <t xml:space="preserve">RECOMMENDED SUPPLIER</t>
  </si>
  <si>
    <t xml:space="preserve">PRODUCT</t>
  </si>
  <si>
    <t xml:space="preserve">EST. COST (LANDED)</t>
  </si>
  <si>
    <t xml:space="preserve">SALE PRICE</t>
  </si>
  <si>
    <t xml:space="preserve">Premium (Hero)</t>
  </si>
  <si>
    <t xml:space="preserve">Printify — MWW On Demand (BP 450)</t>
  </si>
  <si>
    <t xml:space="preserve">AOP Hoodie (86/14 blend)</t>
  </si>
  <si>
    <t xml:space="preserve">$74.99</t>
  </si>
  <si>
    <t xml:space="preserve">Mid-Tier</t>
  </si>
  <si>
    <t xml:space="preserve">Merchize OR AOP+</t>
  </si>
  <si>
    <t xml:space="preserve">AOP Hoodie (lightweight)</t>
  </si>
  <si>
    <t xml:space="preserve">$49.99</t>
  </si>
  <si>
    <t xml:space="preserve">Entry</t>
  </si>
  <si>
    <t xml:space="preserve">AOP Tee (lightweight)</t>
  </si>
  <si>
    <t xml:space="preserve">$29.99</t>
  </si>
  <si>
    <t xml:space="preserve">KEY FINDINGS</t>
  </si>
  <si>
    <t xml:space="preserve">1.</t>
  </si>
  <si>
    <t xml:space="preserve">KEEP Printify/MWW for premium hoodies — best fabric blend, fastest US fulfillment, native Etsy + full API</t>
  </si>
  <si>
    <t xml:space="preserve">2.</t>
  </si>
  <si>
    <t xml:space="preserve">ADD Merchize as secondary provider — 60% lower base cost ($15.50 vs $44.25), REST API available, native Etsy</t>
  </si>
  <si>
    <t xml:space="preserve">3.</t>
  </si>
  <si>
    <t xml:space="preserve">CONSIDER AOP+ for UK/EU orders — great quality, eco-friendly, but high US shipping ($9.39)</t>
  </si>
  <si>
    <t xml:space="preserve">4.</t>
  </si>
  <si>
    <t xml:space="preserve">SKIP Subliminator for now — best quality but NO Etsy integration and NO public API (Shopify-only)</t>
  </si>
  <si>
    <t xml:space="preserve">5.</t>
  </si>
  <si>
    <t xml:space="preserve">SKIP HugePOD — cheapest but quality too inconsistent, no integrations, 15-30 day fulfillment</t>
  </si>
  <si>
    <t xml:space="preserve">6.</t>
  </si>
  <si>
    <t xml:space="preserve">SKIP SPOD — excellent for DTG but does NOT offer AOP hoodies at all</t>
  </si>
  <si>
    <t xml:space="preserve">DUAL-SUPPLIER STRATEGY</t>
  </si>
  <si>
    <t xml:space="preserve">Premium customers get MWW quality (86/14 cotton-blend, 8.85oz). Price-sensitive customers get Merchize value (100% poly, lighter). Both work via API + Etsy.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</si>
</sst>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\$#,##0.00"/>
    <numFmt numFmtId="167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94A3B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E0F2FE"/>
        <bgColor rgb="FFDCFCE7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FEE2E2"/>
        <bgColor rgb="FFFED7AA"/>
      </patternFill>
    </fill>
    <fill>
      <patternFill patternType="solid">
        <fgColor rgb="FFFEF9C3"/>
        <bgColor rgb="FFF8FAFC"/>
      </patternFill>
    </fill>
    <fill>
      <patternFill patternType="solid">
        <fgColor rgb="FFDCFCE7"/>
        <bgColor rgb="FFE0F2FE"/>
      </patternFill>
    </fill>
    <fill>
      <patternFill patternType="solid">
        <fgColor rgb="FFFED7AA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E0F2FE"/>
      <rgbColor rgb="FFF8FAFC"/>
      <rgbColor rgb="FFFEE2E2"/>
      <rgbColor rgb="FF99CCFF"/>
      <rgbColor rgb="FFFF99CC"/>
      <rgbColor rgb="FFCC99FF"/>
      <rgbColor rgb="FFFED7AA"/>
      <rgbColor rgb="FF3B82F6"/>
      <rgbColor rgb="FF33CCCC"/>
      <rgbColor rgb="FF99CC00"/>
      <rgbColor rgb="FFFFCC00"/>
      <rgbColor rgb="FFF59E0B"/>
      <rgbColor rgb="FFEF4444"/>
      <rgbColor rgb="FF8B5CF6"/>
      <rgbColor rgb="FF94A3B8"/>
      <rgbColor rgb="FF003366"/>
      <rgbColor rgb="FF22C55E"/>
      <rgbColor rgb="FF0F172A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6B6D4"/>
    <pageSetUpPr fitToPage="false"/>
  </sheetPr>
  <dimension ref="A1:K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10" min="9" style="0" width="38"/>
    <col collapsed="false" customWidth="true" hidden="false" outlineLevel="0" max="11" min="11" style="0" width="14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J5" s="4" t="s">
        <v>22</v>
      </c>
      <c r="K5" s="5" t="n">
        <f aca="false">Scoring!J3</f>
        <v>2</v>
      </c>
    </row>
    <row r="6" customFormat="false" ht="15" hidden="false" customHeight="false" outlineLevel="0" collapsed="false">
      <c r="A6" s="6" t="s">
        <v>23</v>
      </c>
      <c r="B6" s="6" t="s">
        <v>24</v>
      </c>
      <c r="C6" s="6" t="s">
        <v>25</v>
      </c>
      <c r="D6" s="6" t="s">
        <v>26</v>
      </c>
      <c r="E6" s="6" t="s">
        <v>27</v>
      </c>
      <c r="F6" s="6" t="s">
        <v>28</v>
      </c>
      <c r="G6" s="6" t="s">
        <v>29</v>
      </c>
      <c r="H6" s="6" t="s">
        <v>30</v>
      </c>
      <c r="I6" s="6" t="s">
        <v>31</v>
      </c>
      <c r="J6" s="6" t="s">
        <v>32</v>
      </c>
      <c r="K6" s="7" t="n">
        <f aca="false">Scoring!J4</f>
        <v>7</v>
      </c>
    </row>
    <row r="7" customFormat="false" ht="15" hidden="false" customHeight="false" outlineLevel="0" collapsed="false">
      <c r="A7" s="8" t="s">
        <v>33</v>
      </c>
      <c r="B7" s="8" t="s">
        <v>34</v>
      </c>
      <c r="C7" s="8" t="s">
        <v>25</v>
      </c>
      <c r="D7" s="8" t="s">
        <v>35</v>
      </c>
      <c r="E7" s="8" t="s">
        <v>36</v>
      </c>
      <c r="F7" s="8" t="s">
        <v>18</v>
      </c>
      <c r="G7" s="8" t="s">
        <v>19</v>
      </c>
      <c r="H7" s="8" t="s">
        <v>37</v>
      </c>
      <c r="I7" s="8" t="s">
        <v>38</v>
      </c>
      <c r="J7" s="8" t="s">
        <v>39</v>
      </c>
      <c r="K7" s="9" t="n">
        <f aca="false">Scoring!J5</f>
        <v>3</v>
      </c>
    </row>
    <row r="8" customFormat="false" ht="15" hidden="false" customHeight="false" outlineLevel="0" collapsed="false">
      <c r="A8" s="6" t="s">
        <v>40</v>
      </c>
      <c r="B8" s="6" t="s">
        <v>41</v>
      </c>
      <c r="C8" s="6" t="s">
        <v>42</v>
      </c>
      <c r="D8" s="6" t="s">
        <v>43</v>
      </c>
      <c r="E8" s="6" t="s">
        <v>44</v>
      </c>
      <c r="F8" s="6" t="s">
        <v>18</v>
      </c>
      <c r="G8" s="6" t="s">
        <v>45</v>
      </c>
      <c r="H8" s="6" t="s">
        <v>46</v>
      </c>
      <c r="I8" s="6" t="s">
        <v>47</v>
      </c>
      <c r="J8" s="6" t="s">
        <v>48</v>
      </c>
      <c r="K8" s="7" t="n">
        <f aca="false">Scoring!J6</f>
        <v>5</v>
      </c>
    </row>
    <row r="9" customFormat="false" ht="15" hidden="false" customHeight="false" outlineLevel="0" collapsed="false">
      <c r="A9" s="8" t="s">
        <v>49</v>
      </c>
      <c r="B9" s="8" t="s">
        <v>50</v>
      </c>
      <c r="C9" s="8" t="s">
        <v>51</v>
      </c>
      <c r="D9" s="8" t="s">
        <v>16</v>
      </c>
      <c r="E9" s="8" t="s">
        <v>52</v>
      </c>
      <c r="F9" s="8" t="s">
        <v>53</v>
      </c>
      <c r="G9" s="8" t="s">
        <v>19</v>
      </c>
      <c r="H9" s="8" t="s">
        <v>54</v>
      </c>
      <c r="I9" s="8" t="s">
        <v>55</v>
      </c>
      <c r="J9" s="8" t="s">
        <v>56</v>
      </c>
      <c r="K9" s="9" t="n">
        <f aca="false">Scoring!J7</f>
        <v>6</v>
      </c>
    </row>
    <row r="10" customFormat="false" ht="15" hidden="false" customHeight="false" outlineLevel="0" collapsed="false">
      <c r="A10" s="6" t="s">
        <v>57</v>
      </c>
      <c r="B10" s="6" t="s">
        <v>58</v>
      </c>
      <c r="C10" s="6" t="s">
        <v>51</v>
      </c>
      <c r="D10" s="6" t="s">
        <v>59</v>
      </c>
      <c r="E10" s="6" t="s">
        <v>60</v>
      </c>
      <c r="F10" s="6" t="s">
        <v>18</v>
      </c>
      <c r="G10" s="6" t="s">
        <v>19</v>
      </c>
      <c r="H10" s="6" t="s">
        <v>61</v>
      </c>
      <c r="I10" s="6" t="s">
        <v>62</v>
      </c>
      <c r="J10" s="6" t="s">
        <v>63</v>
      </c>
      <c r="K10" s="7" t="n">
        <f aca="false">Scoring!J8</f>
        <v>1</v>
      </c>
    </row>
    <row r="11" customFormat="false" ht="15" hidden="false" customHeight="false" outlineLevel="0" collapsed="false">
      <c r="A11" s="8" t="s">
        <v>64</v>
      </c>
      <c r="B11" s="8" t="s">
        <v>65</v>
      </c>
      <c r="C11" s="8" t="s">
        <v>66</v>
      </c>
      <c r="D11" s="8" t="s">
        <v>67</v>
      </c>
      <c r="E11" s="8" t="s">
        <v>68</v>
      </c>
      <c r="F11" s="8" t="s">
        <v>69</v>
      </c>
      <c r="G11" s="8" t="s">
        <v>69</v>
      </c>
      <c r="H11" s="8" t="s">
        <v>70</v>
      </c>
      <c r="I11" s="8" t="s">
        <v>71</v>
      </c>
      <c r="J11" s="8" t="s">
        <v>72</v>
      </c>
      <c r="K11" s="9" t="n">
        <f aca="false">Scoring!J9</f>
        <v>8</v>
      </c>
    </row>
    <row r="12" customFormat="false" ht="15" hidden="false" customHeight="false" outlineLevel="0" collapsed="false">
      <c r="A12" s="10" t="s">
        <v>73</v>
      </c>
      <c r="B12" s="10" t="s">
        <v>74</v>
      </c>
      <c r="C12" s="10" t="s">
        <v>75</v>
      </c>
      <c r="D12" s="10" t="s">
        <v>76</v>
      </c>
      <c r="E12" s="10" t="s">
        <v>77</v>
      </c>
      <c r="F12" s="10" t="s">
        <v>18</v>
      </c>
      <c r="G12" s="10" t="s">
        <v>19</v>
      </c>
      <c r="H12" s="10" t="s">
        <v>78</v>
      </c>
      <c r="I12" s="10" t="s">
        <v>79</v>
      </c>
      <c r="J12" s="10" t="s">
        <v>80</v>
      </c>
      <c r="K12" s="11" t="n">
        <f aca="false">Scoring!J10</f>
        <v>4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10"/>
    <col collapsed="false" customWidth="true" hidden="false" outlineLevel="0" max="10" min="8" style="0" width="14"/>
    <col collapsed="false" customWidth="true" hidden="false" outlineLevel="0" max="11" min="11" style="0" width="28"/>
    <col collapsed="false" customWidth="true" hidden="false" outlineLevel="0" max="12" min="12" style="0" width="14"/>
  </cols>
  <sheetData>
    <row r="1" customFormat="false" ht="17.35" hidden="false" customHeight="true" outlineLevel="0" collapsed="false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2" t="s">
        <v>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12" t="s">
        <v>83</v>
      </c>
      <c r="B4" s="12"/>
    </row>
    <row r="5" customFormat="false" ht="15" hidden="false" customHeight="false" outlineLevel="0" collapsed="false">
      <c r="A5" s="13" t="s">
        <v>84</v>
      </c>
      <c r="B5" s="14" t="n">
        <v>74.99</v>
      </c>
    </row>
    <row r="6" customFormat="false" ht="15" hidden="false" customHeight="false" outlineLevel="0" collapsed="false">
      <c r="A6" s="13" t="s">
        <v>85</v>
      </c>
      <c r="B6" s="15" t="n">
        <v>0.065</v>
      </c>
    </row>
    <row r="7" customFormat="false" ht="15" hidden="false" customHeight="false" outlineLevel="0" collapsed="false">
      <c r="A7" s="13" t="s">
        <v>86</v>
      </c>
      <c r="B7" s="14" t="n">
        <v>0.2</v>
      </c>
    </row>
    <row r="8" customFormat="false" ht="15" hidden="false" customHeight="false" outlineLevel="0" collapsed="false">
      <c r="A8" s="13" t="s">
        <v>87</v>
      </c>
      <c r="B8" s="15" t="n">
        <v>0.03</v>
      </c>
    </row>
    <row r="9" customFormat="false" ht="15" hidden="false" customHeight="false" outlineLevel="0" collapsed="false">
      <c r="A9" s="13" t="s">
        <v>88</v>
      </c>
      <c r="B9" s="15" t="n">
        <v>0.15</v>
      </c>
    </row>
    <row r="11" customFormat="false" ht="26.85" hidden="false" customHeight="false" outlineLevel="0" collapsed="false">
      <c r="A11" s="3" t="s">
        <v>2</v>
      </c>
      <c r="B11" s="3" t="s">
        <v>89</v>
      </c>
      <c r="C11" s="3" t="s">
        <v>90</v>
      </c>
      <c r="D11" s="3" t="s">
        <v>91</v>
      </c>
      <c r="E11" s="3" t="s">
        <v>92</v>
      </c>
      <c r="F11" s="3" t="s">
        <v>93</v>
      </c>
      <c r="G11" s="3" t="s">
        <v>94</v>
      </c>
      <c r="H11" s="3" t="s">
        <v>95</v>
      </c>
      <c r="I11" s="3" t="s">
        <v>96</v>
      </c>
      <c r="J11" s="3" t="s">
        <v>97</v>
      </c>
      <c r="K11" s="3" t="s">
        <v>98</v>
      </c>
      <c r="L11" s="3" t="s">
        <v>99</v>
      </c>
    </row>
    <row r="12" customFormat="false" ht="15" hidden="false" customHeight="false" outlineLevel="0" collapsed="false">
      <c r="A12" s="4" t="s">
        <v>100</v>
      </c>
      <c r="B12" s="16" t="n">
        <v>44.25</v>
      </c>
      <c r="C12" s="16" t="n">
        <v>6.49</v>
      </c>
      <c r="D12" s="17" t="n">
        <f aca="false">B12+C12</f>
        <v>50.74</v>
      </c>
      <c r="E12" s="16" t="n">
        <f aca="false">$B$5*($B$6+$B$8+$B$9)+$B$7</f>
        <v>18.57255</v>
      </c>
      <c r="F12" s="18" t="n">
        <f aca="false">$B$5-D12-E12</f>
        <v>5.67745</v>
      </c>
      <c r="G12" s="19" t="n">
        <f aca="false">IF($B$5&gt;0,F12/$B$5,0)</f>
        <v>0.0757094279237231</v>
      </c>
      <c r="H12" s="4" t="s">
        <v>101</v>
      </c>
      <c r="I12" s="4" t="s">
        <v>102</v>
      </c>
      <c r="J12" s="4" t="s">
        <v>103</v>
      </c>
      <c r="K12" s="4" t="s">
        <v>104</v>
      </c>
      <c r="L12" s="4" t="s">
        <v>105</v>
      </c>
    </row>
    <row r="13" customFormat="false" ht="23.85" hidden="false" customHeight="false" outlineLevel="0" collapsed="false">
      <c r="A13" s="6" t="s">
        <v>106</v>
      </c>
      <c r="B13" s="20" t="n">
        <v>32</v>
      </c>
      <c r="C13" s="20" t="n">
        <v>0</v>
      </c>
      <c r="D13" s="21" t="n">
        <f aca="false">B13+C13</f>
        <v>32</v>
      </c>
      <c r="E13" s="20" t="n">
        <f aca="false">$B$5*($B$6+$B$8+$B$9)+$B$7</f>
        <v>18.57255</v>
      </c>
      <c r="F13" s="22" t="n">
        <f aca="false">$B$5-D13-E13</f>
        <v>24.41745</v>
      </c>
      <c r="G13" s="23" t="n">
        <f aca="false">IF($B$5&gt;0,F13/$B$5,0)</f>
        <v>0.325609414588612</v>
      </c>
      <c r="H13" s="6" t="s">
        <v>102</v>
      </c>
      <c r="I13" s="6" t="s">
        <v>107</v>
      </c>
      <c r="J13" s="6" t="s">
        <v>108</v>
      </c>
      <c r="K13" s="6" t="s">
        <v>109</v>
      </c>
      <c r="L13" s="6" t="s">
        <v>110</v>
      </c>
    </row>
    <row r="14" customFormat="false" ht="23.85" hidden="false" customHeight="false" outlineLevel="0" collapsed="false">
      <c r="A14" s="8" t="s">
        <v>111</v>
      </c>
      <c r="B14" s="24" t="n">
        <v>32</v>
      </c>
      <c r="C14" s="24" t="n">
        <v>0</v>
      </c>
      <c r="D14" s="25" t="n">
        <f aca="false">B14+C14</f>
        <v>32</v>
      </c>
      <c r="E14" s="24" t="n">
        <f aca="false">$B$5*($B$6+$B$8+$B$9)+$B$7</f>
        <v>18.57255</v>
      </c>
      <c r="F14" s="26" t="n">
        <f aca="false">$B$5-D14-E14</f>
        <v>24.41745</v>
      </c>
      <c r="G14" s="27" t="n">
        <f aca="false">IF($B$5&gt;0,F14/$B$5,0)</f>
        <v>0.325609414588612</v>
      </c>
      <c r="H14" s="8" t="s">
        <v>102</v>
      </c>
      <c r="I14" s="8" t="s">
        <v>107</v>
      </c>
      <c r="J14" s="8" t="s">
        <v>108</v>
      </c>
      <c r="K14" s="8" t="s">
        <v>109</v>
      </c>
      <c r="L14" s="8" t="s">
        <v>110</v>
      </c>
    </row>
    <row r="15" customFormat="false" ht="15" hidden="false" customHeight="false" outlineLevel="0" collapsed="false">
      <c r="A15" s="28" t="s">
        <v>112</v>
      </c>
      <c r="B15" s="29" t="n">
        <v>15.5</v>
      </c>
      <c r="C15" s="29" t="n">
        <v>7.99</v>
      </c>
      <c r="D15" s="30" t="n">
        <f aca="false">B15+C15</f>
        <v>23.49</v>
      </c>
      <c r="E15" s="29" t="n">
        <f aca="false">$B$5*($B$6+$B$8+$B$9)+$B$7</f>
        <v>18.57255</v>
      </c>
      <c r="F15" s="31" t="n">
        <f aca="false">$B$5-D15-E15</f>
        <v>32.92745</v>
      </c>
      <c r="G15" s="32" t="n">
        <f aca="false">IF($B$5&gt;0,F15/$B$5,0)</f>
        <v>0.439091212161622</v>
      </c>
      <c r="H15" s="28" t="s">
        <v>113</v>
      </c>
      <c r="I15" s="28" t="s">
        <v>114</v>
      </c>
      <c r="J15" s="28" t="s">
        <v>103</v>
      </c>
      <c r="K15" s="28" t="s">
        <v>115</v>
      </c>
      <c r="L15" s="28" t="s">
        <v>116</v>
      </c>
    </row>
    <row r="16" customFormat="false" ht="15" hidden="false" customHeight="false" outlineLevel="0" collapsed="false">
      <c r="A16" s="8" t="s">
        <v>117</v>
      </c>
      <c r="B16" s="24" t="n">
        <v>19</v>
      </c>
      <c r="C16" s="24" t="n">
        <v>7.99</v>
      </c>
      <c r="D16" s="25" t="n">
        <f aca="false">B16+C16</f>
        <v>26.99</v>
      </c>
      <c r="E16" s="24" t="n">
        <f aca="false">$B$5*($B$6+$B$8+$B$9)+$B$7</f>
        <v>18.57255</v>
      </c>
      <c r="F16" s="26" t="n">
        <f aca="false">$B$5-D16-E16</f>
        <v>29.42745</v>
      </c>
      <c r="G16" s="27" t="n">
        <f aca="false">IF($B$5&gt;0,F16/$B$5,0)</f>
        <v>0.392418322442992</v>
      </c>
      <c r="H16" s="8" t="s">
        <v>113</v>
      </c>
      <c r="I16" s="8" t="s">
        <v>114</v>
      </c>
      <c r="J16" s="8" t="s">
        <v>103</v>
      </c>
      <c r="K16" s="8" t="s">
        <v>115</v>
      </c>
      <c r="L16" s="8" t="s">
        <v>116</v>
      </c>
    </row>
    <row r="17" customFormat="false" ht="15" hidden="false" customHeight="false" outlineLevel="0" collapsed="false">
      <c r="A17" s="6" t="s">
        <v>118</v>
      </c>
      <c r="B17" s="20" t="n">
        <v>18.99</v>
      </c>
      <c r="C17" s="20" t="n">
        <v>9.39</v>
      </c>
      <c r="D17" s="21" t="n">
        <f aca="false">B17+C17</f>
        <v>28.38</v>
      </c>
      <c r="E17" s="20" t="n">
        <f aca="false">$B$5*($B$6+$B$8+$B$9)+$B$7</f>
        <v>18.57255</v>
      </c>
      <c r="F17" s="22" t="n">
        <f aca="false">$B$5-D17-E17</f>
        <v>28.03745</v>
      </c>
      <c r="G17" s="23" t="n">
        <f aca="false">IF($B$5&gt;0,F17/$B$5,0)</f>
        <v>0.373882517669023</v>
      </c>
      <c r="H17" s="6" t="s">
        <v>119</v>
      </c>
      <c r="I17" s="6" t="s">
        <v>120</v>
      </c>
      <c r="J17" s="6" t="s">
        <v>121</v>
      </c>
      <c r="K17" s="6" t="s">
        <v>122</v>
      </c>
      <c r="L17" s="6" t="s">
        <v>123</v>
      </c>
    </row>
    <row r="18" customFormat="false" ht="15" hidden="false" customHeight="false" outlineLevel="0" collapsed="false">
      <c r="A18" s="8" t="s">
        <v>124</v>
      </c>
      <c r="B18" s="24" t="n">
        <v>28</v>
      </c>
      <c r="C18" s="24" t="n">
        <v>7.5</v>
      </c>
      <c r="D18" s="25" t="n">
        <f aca="false">B18+C18</f>
        <v>35.5</v>
      </c>
      <c r="E18" s="24" t="n">
        <f aca="false">$B$5*($B$6+$B$8+$B$9)+$B$7</f>
        <v>18.57255</v>
      </c>
      <c r="F18" s="26" t="n">
        <f aca="false">$B$5-D18-E18</f>
        <v>20.91745</v>
      </c>
      <c r="G18" s="27" t="n">
        <f aca="false">IF($B$5&gt;0,F18/$B$5,0)</f>
        <v>0.278936524869983</v>
      </c>
      <c r="H18" s="8" t="s">
        <v>125</v>
      </c>
      <c r="I18" s="8" t="s">
        <v>102</v>
      </c>
      <c r="J18" s="8" t="s">
        <v>126</v>
      </c>
      <c r="K18" s="8" t="s">
        <v>127</v>
      </c>
      <c r="L18" s="8" t="s">
        <v>128</v>
      </c>
    </row>
    <row r="19" customFormat="false" ht="23.85" hidden="false" customHeight="false" outlineLevel="0" collapsed="false">
      <c r="A19" s="6" t="s">
        <v>129</v>
      </c>
      <c r="B19" s="20" t="n">
        <v>33.5</v>
      </c>
      <c r="C19" s="20" t="n">
        <v>4.2</v>
      </c>
      <c r="D19" s="21" t="n">
        <f aca="false">B19+C19</f>
        <v>37.7</v>
      </c>
      <c r="E19" s="20" t="n">
        <f aca="false">$B$5*($B$6+$B$8+$B$9)+$B$7</f>
        <v>18.57255</v>
      </c>
      <c r="F19" s="22" t="n">
        <f aca="false">$B$5-D19-E19</f>
        <v>18.71745</v>
      </c>
      <c r="G19" s="23" t="n">
        <f aca="false">IF($B$5&gt;0,F19/$B$5,0)</f>
        <v>0.249599279903987</v>
      </c>
      <c r="H19" s="6" t="s">
        <v>130</v>
      </c>
      <c r="I19" s="6" t="s">
        <v>119</v>
      </c>
      <c r="J19" s="6" t="s">
        <v>120</v>
      </c>
      <c r="K19" s="6" t="s">
        <v>131</v>
      </c>
      <c r="L19" s="6" t="s">
        <v>105</v>
      </c>
    </row>
    <row r="20" customFormat="false" ht="23.85" hidden="false" customHeight="false" outlineLevel="0" collapsed="false">
      <c r="A20" s="8" t="s">
        <v>132</v>
      </c>
      <c r="B20" s="24" t="n">
        <v>16</v>
      </c>
      <c r="C20" s="24" t="n">
        <v>8</v>
      </c>
      <c r="D20" s="25" t="n">
        <f aca="false">B20+C20</f>
        <v>24</v>
      </c>
      <c r="E20" s="24" t="n">
        <f aca="false">$B$5*($B$6+$B$8+$B$9)+$B$7</f>
        <v>18.57255</v>
      </c>
      <c r="F20" s="26" t="n">
        <f aca="false">$B$5-D20-E20</f>
        <v>32.41745</v>
      </c>
      <c r="G20" s="27" t="n">
        <f aca="false">IF($B$5&gt;0,F20/$B$5,0)</f>
        <v>0.43229030537405</v>
      </c>
      <c r="H20" s="8" t="s">
        <v>120</v>
      </c>
      <c r="I20" s="8" t="s">
        <v>133</v>
      </c>
      <c r="J20" s="8" t="s">
        <v>134</v>
      </c>
      <c r="K20" s="8" t="s">
        <v>115</v>
      </c>
      <c r="L20" s="8" t="s">
        <v>135</v>
      </c>
    </row>
  </sheetData>
  <mergeCells count="3">
    <mergeCell ref="A1:L1"/>
    <mergeCell ref="A2:L2"/>
    <mergeCell ref="A4:B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5" min="5" style="0" width="24"/>
    <col collapsed="false" customWidth="true" hidden="false" outlineLevel="0" max="8" min="6" style="0" width="18"/>
  </cols>
  <sheetData>
    <row r="1" customFormat="false" ht="17.35" hidden="false" customHeight="true" outlineLevel="0" collapsed="false">
      <c r="A1" s="1" t="s">
        <v>136</v>
      </c>
      <c r="B1" s="1"/>
      <c r="C1" s="1"/>
      <c r="D1" s="1"/>
      <c r="E1" s="1"/>
      <c r="F1" s="1"/>
      <c r="G1" s="1"/>
      <c r="H1" s="1"/>
    </row>
    <row r="3" customFormat="false" ht="26.85" hidden="false" customHeight="false" outlineLevel="0" collapsed="false">
      <c r="A3" s="3" t="s">
        <v>2</v>
      </c>
      <c r="B3" s="3" t="s">
        <v>137</v>
      </c>
      <c r="C3" s="3" t="s">
        <v>138</v>
      </c>
      <c r="D3" s="3" t="s">
        <v>139</v>
      </c>
      <c r="E3" s="3" t="s">
        <v>140</v>
      </c>
      <c r="F3" s="3" t="s">
        <v>141</v>
      </c>
      <c r="G3" s="3" t="s">
        <v>142</v>
      </c>
      <c r="H3" s="3" t="s">
        <v>143</v>
      </c>
    </row>
    <row r="4" customFormat="false" ht="23.85" hidden="false" customHeight="false" outlineLevel="0" collapsed="false">
      <c r="A4" s="8" t="s">
        <v>13</v>
      </c>
      <c r="B4" s="8" t="s">
        <v>144</v>
      </c>
      <c r="C4" s="8" t="s">
        <v>145</v>
      </c>
      <c r="D4" s="8" t="s">
        <v>146</v>
      </c>
      <c r="E4" s="8" t="s">
        <v>147</v>
      </c>
      <c r="F4" s="8" t="s">
        <v>148</v>
      </c>
      <c r="G4" s="8" t="s">
        <v>148</v>
      </c>
      <c r="H4" s="33" t="s">
        <v>149</v>
      </c>
    </row>
    <row r="5" customFormat="false" ht="15" hidden="false" customHeight="false" outlineLevel="0" collapsed="false">
      <c r="A5" s="6" t="s">
        <v>23</v>
      </c>
      <c r="B5" s="6" t="s">
        <v>150</v>
      </c>
      <c r="C5" s="6" t="s">
        <v>151</v>
      </c>
      <c r="D5" s="6" t="s">
        <v>152</v>
      </c>
      <c r="E5" s="6" t="s">
        <v>153</v>
      </c>
      <c r="F5" s="6" t="s">
        <v>28</v>
      </c>
      <c r="G5" s="6" t="s">
        <v>154</v>
      </c>
      <c r="H5" s="34" t="s">
        <v>155</v>
      </c>
    </row>
    <row r="6" customFormat="false" ht="15" hidden="false" customHeight="false" outlineLevel="0" collapsed="false">
      <c r="A6" s="8" t="s">
        <v>33</v>
      </c>
      <c r="B6" s="8" t="s">
        <v>156</v>
      </c>
      <c r="C6" s="8" t="s">
        <v>157</v>
      </c>
      <c r="D6" s="8" t="s">
        <v>158</v>
      </c>
      <c r="E6" s="8" t="s">
        <v>159</v>
      </c>
      <c r="F6" s="8" t="s">
        <v>18</v>
      </c>
      <c r="G6" s="8" t="s">
        <v>160</v>
      </c>
      <c r="H6" s="35" t="s">
        <v>161</v>
      </c>
    </row>
    <row r="7" customFormat="false" ht="15" hidden="false" customHeight="false" outlineLevel="0" collapsed="false">
      <c r="A7" s="6" t="s">
        <v>40</v>
      </c>
      <c r="B7" s="6" t="s">
        <v>150</v>
      </c>
      <c r="C7" s="6" t="s">
        <v>151</v>
      </c>
      <c r="D7" s="6" t="s">
        <v>162</v>
      </c>
      <c r="E7" s="6" t="s">
        <v>163</v>
      </c>
      <c r="F7" s="6" t="s">
        <v>154</v>
      </c>
      <c r="G7" s="6" t="s">
        <v>154</v>
      </c>
      <c r="H7" s="34" t="s">
        <v>155</v>
      </c>
    </row>
    <row r="8" customFormat="false" ht="15" hidden="false" customHeight="false" outlineLevel="0" collapsed="false">
      <c r="A8" s="8" t="s">
        <v>49</v>
      </c>
      <c r="B8" s="8" t="s">
        <v>144</v>
      </c>
      <c r="C8" s="8" t="s">
        <v>164</v>
      </c>
      <c r="D8" s="8" t="s">
        <v>165</v>
      </c>
      <c r="E8" s="8" t="s">
        <v>166</v>
      </c>
      <c r="F8" s="8" t="s">
        <v>53</v>
      </c>
      <c r="G8" s="8" t="s">
        <v>154</v>
      </c>
      <c r="H8" s="33" t="s">
        <v>149</v>
      </c>
    </row>
    <row r="9" customFormat="false" ht="15" hidden="false" customHeight="false" outlineLevel="0" collapsed="false">
      <c r="A9" s="6" t="s">
        <v>57</v>
      </c>
      <c r="B9" s="6" t="s">
        <v>144</v>
      </c>
      <c r="C9" s="6" t="s">
        <v>167</v>
      </c>
      <c r="D9" s="6" t="s">
        <v>168</v>
      </c>
      <c r="E9" s="6" t="s">
        <v>169</v>
      </c>
      <c r="F9" s="6" t="s">
        <v>148</v>
      </c>
      <c r="G9" s="6" t="s">
        <v>148</v>
      </c>
      <c r="H9" s="33" t="s">
        <v>149</v>
      </c>
    </row>
    <row r="10" customFormat="false" ht="15" hidden="false" customHeight="false" outlineLevel="0" collapsed="false">
      <c r="A10" s="8" t="s">
        <v>64</v>
      </c>
      <c r="B10" s="8" t="s">
        <v>150</v>
      </c>
      <c r="C10" s="8" t="s">
        <v>151</v>
      </c>
      <c r="D10" s="8" t="s">
        <v>69</v>
      </c>
      <c r="E10" s="8" t="s">
        <v>170</v>
      </c>
      <c r="F10" s="8" t="s">
        <v>69</v>
      </c>
      <c r="G10" s="8" t="s">
        <v>69</v>
      </c>
      <c r="H10" s="36" t="s">
        <v>171</v>
      </c>
    </row>
    <row r="11" customFormat="false" ht="15" hidden="false" customHeight="false" outlineLevel="0" collapsed="false">
      <c r="A11" s="6" t="s">
        <v>172</v>
      </c>
      <c r="B11" s="6" t="s">
        <v>156</v>
      </c>
      <c r="C11" s="6" t="s">
        <v>173</v>
      </c>
      <c r="D11" s="6" t="s">
        <v>174</v>
      </c>
      <c r="E11" s="6" t="s">
        <v>175</v>
      </c>
      <c r="F11" s="6" t="s">
        <v>18</v>
      </c>
      <c r="G11" s="6" t="s">
        <v>154</v>
      </c>
      <c r="H11" s="35" t="s">
        <v>176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7" min="7" style="0" width="60"/>
  </cols>
  <sheetData>
    <row r="1" customFormat="false" ht="17.35" hidden="false" customHeight="true" outlineLevel="0" collapsed="false">
      <c r="A1" s="1" t="s">
        <v>177</v>
      </c>
      <c r="B1" s="1"/>
      <c r="C1" s="1"/>
      <c r="D1" s="1"/>
      <c r="E1" s="1"/>
      <c r="F1" s="1"/>
      <c r="G1" s="1"/>
    </row>
    <row r="3" customFormat="false" ht="39.55" hidden="false" customHeight="false" outlineLevel="0" collapsed="false">
      <c r="A3" s="3" t="s">
        <v>2</v>
      </c>
      <c r="B3" s="3" t="s">
        <v>178</v>
      </c>
      <c r="C3" s="3" t="s">
        <v>179</v>
      </c>
      <c r="D3" s="3" t="s">
        <v>180</v>
      </c>
      <c r="E3" s="3" t="s">
        <v>181</v>
      </c>
      <c r="F3" s="3" t="s">
        <v>182</v>
      </c>
      <c r="G3" s="3" t="s">
        <v>183</v>
      </c>
    </row>
    <row r="4" customFormat="false" ht="15" hidden="false" customHeight="false" outlineLevel="0" collapsed="false">
      <c r="A4" s="8" t="s">
        <v>184</v>
      </c>
      <c r="B4" s="8" t="s">
        <v>185</v>
      </c>
      <c r="C4" s="33" t="n">
        <v>8</v>
      </c>
      <c r="D4" s="33" t="n">
        <v>8</v>
      </c>
      <c r="E4" s="35" t="n">
        <v>7</v>
      </c>
      <c r="F4" s="8" t="s">
        <v>186</v>
      </c>
      <c r="G4" s="8" t="s">
        <v>187</v>
      </c>
    </row>
    <row r="5" customFormat="false" ht="23.85" hidden="false" customHeight="false" outlineLevel="0" collapsed="false">
      <c r="A5" s="6" t="s">
        <v>23</v>
      </c>
      <c r="B5" s="6" t="s">
        <v>188</v>
      </c>
      <c r="C5" s="33" t="n">
        <v>10</v>
      </c>
      <c r="D5" s="33" t="n">
        <v>9</v>
      </c>
      <c r="E5" s="33" t="n">
        <v>9</v>
      </c>
      <c r="F5" s="6" t="s">
        <v>189</v>
      </c>
      <c r="G5" s="6" t="s">
        <v>190</v>
      </c>
    </row>
    <row r="6" customFormat="false" ht="23.85" hidden="false" customHeight="false" outlineLevel="0" collapsed="false">
      <c r="A6" s="8" t="s">
        <v>33</v>
      </c>
      <c r="B6" s="8" t="s">
        <v>188</v>
      </c>
      <c r="C6" s="35" t="n">
        <v>7</v>
      </c>
      <c r="D6" s="35" t="n">
        <v>6</v>
      </c>
      <c r="E6" s="35" t="n">
        <v>6</v>
      </c>
      <c r="F6" s="8" t="s">
        <v>191</v>
      </c>
      <c r="G6" s="8" t="s">
        <v>192</v>
      </c>
    </row>
    <row r="7" customFormat="false" ht="15" hidden="false" customHeight="false" outlineLevel="0" collapsed="false">
      <c r="A7" s="6" t="s">
        <v>40</v>
      </c>
      <c r="B7" s="6" t="s">
        <v>193</v>
      </c>
      <c r="C7" s="33" t="n">
        <v>9</v>
      </c>
      <c r="D7" s="33" t="n">
        <v>8</v>
      </c>
      <c r="E7" s="33" t="n">
        <v>8</v>
      </c>
      <c r="F7" s="6" t="s">
        <v>186</v>
      </c>
      <c r="G7" s="6" t="s">
        <v>194</v>
      </c>
    </row>
    <row r="8" customFormat="false" ht="15" hidden="false" customHeight="false" outlineLevel="0" collapsed="false">
      <c r="A8" s="8" t="s">
        <v>49</v>
      </c>
      <c r="B8" s="8" t="s">
        <v>195</v>
      </c>
      <c r="C8" s="35" t="n">
        <v>7</v>
      </c>
      <c r="D8" s="35" t="n">
        <v>7</v>
      </c>
      <c r="E8" s="36" t="n">
        <v>5</v>
      </c>
      <c r="F8" s="8" t="s">
        <v>191</v>
      </c>
      <c r="G8" s="8" t="s">
        <v>196</v>
      </c>
    </row>
    <row r="9" customFormat="false" ht="15" hidden="false" customHeight="false" outlineLevel="0" collapsed="false">
      <c r="A9" s="6" t="s">
        <v>57</v>
      </c>
      <c r="B9" s="6" t="s">
        <v>195</v>
      </c>
      <c r="C9" s="33" t="n">
        <v>9</v>
      </c>
      <c r="D9" s="33" t="n">
        <v>9</v>
      </c>
      <c r="E9" s="33" t="n">
        <v>9</v>
      </c>
      <c r="F9" s="6" t="s">
        <v>189</v>
      </c>
      <c r="G9" s="6" t="s">
        <v>197</v>
      </c>
    </row>
    <row r="10" customFormat="false" ht="15" hidden="false" customHeight="false" outlineLevel="0" collapsed="false">
      <c r="A10" s="8" t="s">
        <v>64</v>
      </c>
      <c r="B10" s="8" t="s">
        <v>198</v>
      </c>
      <c r="C10" s="36" t="n">
        <v>5</v>
      </c>
      <c r="D10" s="36" t="n">
        <v>4</v>
      </c>
      <c r="E10" s="36" t="n">
        <v>3</v>
      </c>
      <c r="F10" s="8" t="s">
        <v>199</v>
      </c>
      <c r="G10" s="8" t="s">
        <v>200</v>
      </c>
    </row>
    <row r="11" customFormat="false" ht="15" hidden="false" customHeight="false" outlineLevel="0" collapsed="false">
      <c r="A11" s="6" t="s">
        <v>172</v>
      </c>
      <c r="B11" s="6" t="s">
        <v>201</v>
      </c>
      <c r="C11" s="33" t="n">
        <v>8</v>
      </c>
      <c r="D11" s="33" t="n">
        <v>8</v>
      </c>
      <c r="E11" s="33" t="n">
        <v>9</v>
      </c>
      <c r="F11" s="6" t="s">
        <v>186</v>
      </c>
      <c r="G11" s="6" t="s">
        <v>202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9" min="3" style="0" width="14"/>
    <col collapsed="false" customWidth="true" hidden="false" outlineLevel="0" max="10" min="10" style="0" width="10"/>
  </cols>
  <sheetData>
    <row r="1" customFormat="false" ht="17.35" hidden="false" customHeight="true" outlineLevel="0" collapsed="false">
      <c r="A1" s="1" t="s">
        <v>203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9.55" hidden="false" customHeight="false" outlineLevel="0" collapsed="false">
      <c r="A2" s="37" t="s">
        <v>204</v>
      </c>
      <c r="B2" s="38" t="s">
        <v>205</v>
      </c>
      <c r="C2" s="38" t="s">
        <v>206</v>
      </c>
      <c r="D2" s="38" t="s">
        <v>207</v>
      </c>
      <c r="E2" s="38" t="s">
        <v>141</v>
      </c>
      <c r="F2" s="38" t="s">
        <v>208</v>
      </c>
      <c r="G2" s="38" t="s">
        <v>209</v>
      </c>
      <c r="H2" s="38" t="s">
        <v>210</v>
      </c>
      <c r="I2" s="39" t="s">
        <v>211</v>
      </c>
      <c r="J2" s="39" t="s">
        <v>212</v>
      </c>
    </row>
    <row r="3" customFormat="false" ht="15" hidden="false" customHeight="false" outlineLevel="0" collapsed="false">
      <c r="A3" s="8" t="s">
        <v>184</v>
      </c>
      <c r="B3" s="40" t="n">
        <v>5</v>
      </c>
      <c r="C3" s="28" t="n">
        <v>8</v>
      </c>
      <c r="D3" s="28" t="n">
        <v>10</v>
      </c>
      <c r="E3" s="28" t="n">
        <v>10</v>
      </c>
      <c r="F3" s="40" t="n">
        <v>7</v>
      </c>
      <c r="G3" s="28" t="n">
        <v>8</v>
      </c>
      <c r="H3" s="28" t="n">
        <v>9</v>
      </c>
      <c r="I3" s="41" t="n">
        <f aca="false">B3*0.25+C3*0.2+D3*0.15+E3*0.15+F3*0.1+G3*0.1+H3*0.05</f>
        <v>7.8</v>
      </c>
      <c r="J3" s="8" t="n">
        <f aca="false">RANK(I3,I$3:I$10)</f>
        <v>2</v>
      </c>
    </row>
    <row r="4" customFormat="false" ht="15" hidden="false" customHeight="false" outlineLevel="0" collapsed="false">
      <c r="A4" s="6" t="s">
        <v>23</v>
      </c>
      <c r="B4" s="40" t="n">
        <v>7</v>
      </c>
      <c r="C4" s="28" t="n">
        <v>10</v>
      </c>
      <c r="D4" s="10" t="n">
        <v>3</v>
      </c>
      <c r="E4" s="10" t="n">
        <v>2</v>
      </c>
      <c r="F4" s="40" t="n">
        <v>5</v>
      </c>
      <c r="G4" s="28" t="n">
        <v>9</v>
      </c>
      <c r="H4" s="40" t="n">
        <v>5</v>
      </c>
      <c r="I4" s="42" t="n">
        <f aca="false">B4*0.25+C4*0.2+D4*0.15+E4*0.15+F4*0.1+G4*0.1+H4*0.05</f>
        <v>6.15</v>
      </c>
      <c r="J4" s="6" t="n">
        <f aca="false">RANK(I4,I$3:I$10)</f>
        <v>7</v>
      </c>
    </row>
    <row r="5" customFormat="false" ht="15" hidden="false" customHeight="false" outlineLevel="0" collapsed="false">
      <c r="A5" s="8" t="s">
        <v>33</v>
      </c>
      <c r="B5" s="28" t="n">
        <v>9</v>
      </c>
      <c r="C5" s="40" t="n">
        <v>7</v>
      </c>
      <c r="D5" s="40" t="n">
        <v>7</v>
      </c>
      <c r="E5" s="28" t="n">
        <v>8</v>
      </c>
      <c r="F5" s="40" t="n">
        <v>7</v>
      </c>
      <c r="G5" s="40" t="n">
        <v>6</v>
      </c>
      <c r="H5" s="40" t="n">
        <v>7</v>
      </c>
      <c r="I5" s="41" t="n">
        <f aca="false">B5*0.25+C5*0.2+D5*0.15+E5*0.15+F5*0.1+G5*0.1+H5*0.05</f>
        <v>7.55</v>
      </c>
      <c r="J5" s="8" t="n">
        <f aca="false">RANK(I5,I$3:I$10)</f>
        <v>3</v>
      </c>
    </row>
    <row r="6" customFormat="false" ht="15" hidden="false" customHeight="false" outlineLevel="0" collapsed="false">
      <c r="A6" s="6" t="s">
        <v>40</v>
      </c>
      <c r="B6" s="28" t="n">
        <v>8</v>
      </c>
      <c r="C6" s="28" t="n">
        <v>9</v>
      </c>
      <c r="D6" s="10" t="n">
        <v>3</v>
      </c>
      <c r="E6" s="28" t="n">
        <v>8</v>
      </c>
      <c r="F6" s="40" t="n">
        <v>5</v>
      </c>
      <c r="G6" s="28" t="n">
        <v>8</v>
      </c>
      <c r="H6" s="40" t="n">
        <v>6</v>
      </c>
      <c r="I6" s="42" t="n">
        <f aca="false">B6*0.25+C6*0.2+D6*0.15+E6*0.15+F6*0.1+G6*0.1+H6*0.05</f>
        <v>7.05</v>
      </c>
      <c r="J6" s="6" t="n">
        <f aca="false">RANK(I6,I$3:I$10)</f>
        <v>5</v>
      </c>
    </row>
    <row r="7" customFormat="false" ht="15" hidden="false" customHeight="false" outlineLevel="0" collapsed="false">
      <c r="A7" s="8" t="s">
        <v>49</v>
      </c>
      <c r="B7" s="40" t="n">
        <v>7</v>
      </c>
      <c r="C7" s="40" t="n">
        <v>7</v>
      </c>
      <c r="D7" s="28" t="n">
        <v>10</v>
      </c>
      <c r="E7" s="10" t="n">
        <v>4</v>
      </c>
      <c r="F7" s="40" t="n">
        <v>5</v>
      </c>
      <c r="G7" s="40" t="n">
        <v>7</v>
      </c>
      <c r="H7" s="28" t="n">
        <v>8</v>
      </c>
      <c r="I7" s="41" t="n">
        <f aca="false">B7*0.25+C7*0.2+D7*0.15+E7*0.15+F7*0.1+G7*0.1+H7*0.05</f>
        <v>6.85</v>
      </c>
      <c r="J7" s="8" t="n">
        <f aca="false">RANK(I7,I$3:I$10)</f>
        <v>6</v>
      </c>
    </row>
    <row r="8" customFormat="false" ht="15" hidden="false" customHeight="false" outlineLevel="0" collapsed="false">
      <c r="A8" s="6" t="s">
        <v>57</v>
      </c>
      <c r="B8" s="10" t="n">
        <v>4</v>
      </c>
      <c r="C8" s="28" t="n">
        <v>9</v>
      </c>
      <c r="D8" s="28" t="n">
        <v>10</v>
      </c>
      <c r="E8" s="28" t="n">
        <v>10</v>
      </c>
      <c r="F8" s="28" t="n">
        <v>8</v>
      </c>
      <c r="G8" s="28" t="n">
        <v>9</v>
      </c>
      <c r="H8" s="28" t="n">
        <v>9</v>
      </c>
      <c r="I8" s="42" t="n">
        <f aca="false">B8*0.25+C8*0.2+D8*0.15+E8*0.15+F8*0.1+G8*0.1+H8*0.05</f>
        <v>7.95</v>
      </c>
      <c r="J8" s="6" t="n">
        <f aca="false">RANK(I8,I$3:I$10)</f>
        <v>1</v>
      </c>
    </row>
    <row r="9" customFormat="false" ht="15" hidden="false" customHeight="false" outlineLevel="0" collapsed="false">
      <c r="A9" s="8" t="s">
        <v>64</v>
      </c>
      <c r="B9" s="28" t="n">
        <v>10</v>
      </c>
      <c r="C9" s="40" t="n">
        <v>5</v>
      </c>
      <c r="D9" s="10" t="n">
        <v>1</v>
      </c>
      <c r="E9" s="10" t="n">
        <v>1</v>
      </c>
      <c r="F9" s="10" t="n">
        <v>2</v>
      </c>
      <c r="G9" s="10" t="n">
        <v>4</v>
      </c>
      <c r="H9" s="10" t="n">
        <v>3</v>
      </c>
      <c r="I9" s="41" t="n">
        <f aca="false">B9*0.25+C9*0.2+D9*0.15+E9*0.15+F9*0.1+G9*0.1+H9*0.05</f>
        <v>4.55</v>
      </c>
      <c r="J9" s="8" t="n">
        <f aca="false">RANK(I9,I$3:I$10)</f>
        <v>8</v>
      </c>
    </row>
    <row r="10" customFormat="false" ht="15" hidden="false" customHeight="false" outlineLevel="0" collapsed="false">
      <c r="A10" s="6" t="s">
        <v>172</v>
      </c>
      <c r="B10" s="40" t="n">
        <v>6</v>
      </c>
      <c r="C10" s="28" t="n">
        <v>8</v>
      </c>
      <c r="D10" s="28" t="n">
        <v>8</v>
      </c>
      <c r="E10" s="28" t="n">
        <v>8</v>
      </c>
      <c r="F10" s="28" t="n">
        <v>9</v>
      </c>
      <c r="G10" s="28" t="n">
        <v>8</v>
      </c>
      <c r="H10" s="40" t="n">
        <v>7</v>
      </c>
      <c r="I10" s="42" t="n">
        <f aca="false">B10*0.25+C10*0.2+D10*0.15+E10*0.15+F10*0.1+G10*0.1+H10*0.05</f>
        <v>7.55</v>
      </c>
      <c r="J10" s="6" t="n">
        <f aca="false">RANK(I10,I$3:I$10)</f>
        <v>4</v>
      </c>
    </row>
    <row r="12" customFormat="false" ht="15" hidden="false" customHeight="false" outlineLevel="0" collapsed="false">
      <c r="A12" s="37" t="s">
        <v>213</v>
      </c>
      <c r="B12" s="43" t="n">
        <v>0.25</v>
      </c>
      <c r="C12" s="43" t="n">
        <v>0.2</v>
      </c>
      <c r="D12" s="43" t="n">
        <v>0.15</v>
      </c>
      <c r="E12" s="43" t="n">
        <v>0.15</v>
      </c>
      <c r="F12" s="43" t="n">
        <v>0.1</v>
      </c>
      <c r="G12" s="43" t="n">
        <v>0.1</v>
      </c>
      <c r="H12" s="43" t="n">
        <v>0.05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14"/>
  </cols>
  <sheetData>
    <row r="1" customFormat="false" ht="17.35" hidden="false" customHeight="true" outlineLevel="0" collapsed="false">
      <c r="A1" s="1" t="s">
        <v>214</v>
      </c>
      <c r="B1" s="1"/>
      <c r="C1" s="1"/>
      <c r="D1" s="1"/>
      <c r="E1" s="1"/>
    </row>
    <row r="3" customFormat="false" ht="26.85" hidden="false" customHeight="false" outlineLevel="0" collapsed="false">
      <c r="A3" s="3" t="s">
        <v>215</v>
      </c>
      <c r="B3" s="3" t="s">
        <v>216</v>
      </c>
      <c r="C3" s="3" t="s">
        <v>217</v>
      </c>
      <c r="D3" s="3" t="s">
        <v>218</v>
      </c>
      <c r="E3" s="3" t="s">
        <v>219</v>
      </c>
    </row>
    <row r="4" customFormat="false" ht="35.05" hidden="false" customHeight="false" outlineLevel="0" collapsed="false">
      <c r="A4" s="8" t="s">
        <v>220</v>
      </c>
      <c r="B4" s="8" t="s">
        <v>221</v>
      </c>
      <c r="C4" s="8" t="s">
        <v>222</v>
      </c>
      <c r="D4" s="44" t="n">
        <f aca="false">'Pricing Comparison'!D12</f>
        <v>50.74</v>
      </c>
      <c r="E4" s="8" t="s">
        <v>223</v>
      </c>
    </row>
    <row r="5" customFormat="false" ht="23.85" hidden="false" customHeight="false" outlineLevel="0" collapsed="false">
      <c r="A5" s="6" t="s">
        <v>224</v>
      </c>
      <c r="B5" s="6" t="s">
        <v>225</v>
      </c>
      <c r="C5" s="6" t="s">
        <v>226</v>
      </c>
      <c r="D5" s="45" t="n">
        <f aca="false">'Pricing Comparison'!D15</f>
        <v>23.49</v>
      </c>
      <c r="E5" s="6" t="s">
        <v>227</v>
      </c>
    </row>
    <row r="6" customFormat="false" ht="15" hidden="false" customHeight="false" outlineLevel="0" collapsed="false">
      <c r="A6" s="8" t="s">
        <v>228</v>
      </c>
      <c r="B6" s="8" t="s">
        <v>33</v>
      </c>
      <c r="C6" s="8" t="s">
        <v>229</v>
      </c>
      <c r="D6" s="8"/>
      <c r="E6" s="8" t="s">
        <v>230</v>
      </c>
    </row>
    <row r="8" customFormat="false" ht="15" hidden="false" customHeight="false" outlineLevel="0" collapsed="false">
      <c r="A8" s="0" t="s">
        <v>231</v>
      </c>
    </row>
    <row r="9" customFormat="false" ht="23.85" hidden="false" customHeight="false" outlineLevel="0" collapsed="false">
      <c r="A9" s="46" t="s">
        <v>232</v>
      </c>
      <c r="B9" s="47" t="s">
        <v>233</v>
      </c>
    </row>
    <row r="10" customFormat="false" ht="23.85" hidden="false" customHeight="false" outlineLevel="0" collapsed="false">
      <c r="A10" s="46" t="s">
        <v>234</v>
      </c>
      <c r="B10" s="47" t="s">
        <v>235</v>
      </c>
    </row>
    <row r="11" customFormat="false" ht="15" hidden="false" customHeight="false" outlineLevel="0" collapsed="false">
      <c r="A11" s="46" t="s">
        <v>236</v>
      </c>
      <c r="B11" s="47" t="s">
        <v>237</v>
      </c>
    </row>
    <row r="12" customFormat="false" ht="15" hidden="false" customHeight="false" outlineLevel="0" collapsed="false">
      <c r="A12" s="46" t="s">
        <v>238</v>
      </c>
      <c r="B12" s="47" t="s">
        <v>239</v>
      </c>
    </row>
    <row r="13" customFormat="false" ht="15" hidden="false" customHeight="false" outlineLevel="0" collapsed="false">
      <c r="A13" s="46" t="s">
        <v>240</v>
      </c>
      <c r="B13" s="47" t="s">
        <v>241</v>
      </c>
    </row>
    <row r="14" customFormat="false" ht="15" hidden="false" customHeight="false" outlineLevel="0" collapsed="false">
      <c r="A14" s="46" t="s">
        <v>242</v>
      </c>
      <c r="B14" s="47" t="s">
        <v>243</v>
      </c>
    </row>
    <row r="16" customFormat="false" ht="15" hidden="false" customHeight="false" outlineLevel="0" collapsed="false">
      <c r="A16" s="37" t="s">
        <v>244</v>
      </c>
    </row>
    <row r="17" customFormat="false" ht="15" hidden="false" customHeight="false" outlineLevel="0" collapsed="false">
      <c r="A17" s="0" t="s">
        <v>245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2026-02-24T03:28:27Z</dcterms:created>
  <dc:creator>openpyxl</dc:creator>
  <dc:description/>
  <dc:language>en-US</dc:language>
  <cp:lastModifiedBy/>
  <dcterms:modified xsi:type="dcterms:W3CDTF">2026-02-24T03:28:27Z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