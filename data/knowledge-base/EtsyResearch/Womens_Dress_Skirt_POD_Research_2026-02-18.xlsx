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Keyword Research" sheetId="2" state="visible" r:id="rId4"/>
    <sheet name="Printify Costs &amp; Margins" sheetId="3" state="visible" r:id="rId5"/>
    <sheet name="Design Opportunities" sheetId="4" state="visible" r:id="rId6"/>
    <sheet name="Everbee Competitors" sheetId="5" state="visible" r:id="rId7"/>
    <sheet name="Revenue Model" sheetId="6" state="visible" r:id="rId8"/>
    <sheet name="Style Guide — Non-AI" sheetId="7" state="visible" r:id="rId9"/>
    <sheet name="Action Pla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<sst xmlns="http://schemas.openxmlformats.org/spreadsheetml/2006/main" count="705" uniqueCount="469">
  <si>
    <t xml:space="preserve">Women's Dress &amp; Skirt POD Market Research</t>
  </si>
  <si>
    <t xml:space="preserve">LunarAuraDesignStore — February 2026</t>
  </si>
  <si>
    <t xml:space="preserve">Focus: Elegant, aesthetic AOP designs aligned with whimsigoth/dark cottagecore ICP</t>
  </si>
  <si>
    <t xml:space="preserve">KEY FINDINGS</t>
  </si>
  <si>
    <t xml:space="preserve">Metric</t>
  </si>
  <si>
    <t xml:space="preserve">Value</t>
  </si>
  <si>
    <t xml:space="preserve">Notes</t>
  </si>
  <si>
    <t xml:space="preserve">Total Keywords Researched</t>
  </si>
  <si>
    <t xml:space="preserve">55+</t>
  </si>
  <si>
    <t xml:space="preserve">Across Google &amp; Etsy search data</t>
  </si>
  <si>
    <t xml:space="preserve">Highest Volume Keyword</t>
  </si>
  <si>
    <t xml:space="preserve">gothic dress — 22,200/mo (Google)</t>
  </si>
  <si>
    <t xml:space="preserve">40,500/mo peak in Feb; year-round demand</t>
  </si>
  <si>
    <t xml:space="preserve">Highest Etsy Volume</t>
  </si>
  <si>
    <t xml:space="preserve">dark floral dress — 22,200/mo (Etsy)</t>
  </si>
  <si>
    <t xml:space="preserve">Strong POD-compatible niche</t>
  </si>
  <si>
    <t xml:space="preserve">Best Niche Fit Keywords</t>
  </si>
  <si>
    <t xml:space="preserve">whimsigoth dress (880), celestial dress (3,600)</t>
  </si>
  <si>
    <t xml:space="preserve">Perfect ICP alignment, lower competition entry</t>
  </si>
  <si>
    <t xml:space="preserve">Printify Products Available</t>
  </si>
  <si>
    <t xml:space="preserve">10 dress/skirt blanks ($12.12 – $25.84)</t>
  </si>
  <si>
    <t xml:space="preserve">All AOP, multiple silhouettes</t>
  </si>
  <si>
    <t xml:space="preserve">Best Margin Product</t>
  </si>
  <si>
    <t xml:space="preserve">Women's Pencil Skirt (AOP) — from $12.12</t>
  </si>
  <si>
    <t xml:space="preserve">~58% margin at $29.99 sale price</t>
  </si>
  <si>
    <t xml:space="preserve">Top Revenue Product</t>
  </si>
  <si>
    <t xml:space="preserve">Skater Dress (AOP) — from $23.75</t>
  </si>
  <si>
    <t xml:space="preserve">Premium pricing $54.99–64.99, ~40-45% margin</t>
  </si>
  <si>
    <t xml:space="preserve">Recommended Launch Products</t>
  </si>
  <si>
    <t xml:space="preserve">$13,737 revenue / $4,439 profit (60 listings)</t>
  </si>
  <si>
    <t xml:space="preserve">Skater dress + pencil skirt + racerback dress</t>
  </si>
  <si>
    <t xml:space="preserve">Est. Monthly Revenue (Month 6)</t>
  </si>
  <si>
    <t xml:space="preserve">$23,058 revenue / $7,338 profit (99 listings)</t>
  </si>
  <si>
    <t xml:space="preserve">Based on 60 listings across 3 product types</t>
  </si>
  <si>
    <t xml:space="preserve">Est. Monthly Revenue (Month 12)</t>
  </si>
  <si>
    <t xml:space="preserve">See Revenue Model sheet</t>
  </si>
  <si>
    <t xml:space="preserve">Based on 120 listings, established presence</t>
  </si>
  <si>
    <t xml:space="preserve">TOP 5 DRESS/SKIRT OPPORTUNITIES (by Composite Score)</t>
  </si>
  <si>
    <t xml:space="preserve">Rank</t>
  </si>
  <si>
    <t xml:space="preserve">Opportunity</t>
  </si>
  <si>
    <t xml:space="preserve">Combined Search Vol</t>
  </si>
  <si>
    <t xml:space="preserve">Best Product</t>
  </si>
  <si>
    <t xml:space="preserve">Target Price</t>
  </si>
  <si>
    <t xml:space="preserve">Score</t>
  </si>
  <si>
    <t xml:space="preserve">Whimsigoth Moth &amp; Crystal Dress</t>
  </si>
  <si>
    <t xml:space="preserve">1,070+</t>
  </si>
  <si>
    <t xml:space="preserve">Racerback Dress (AOP)</t>
  </si>
  <si>
    <t xml:space="preserve">$44.99</t>
  </si>
  <si>
    <t xml:space="preserve">Enchanted Mushroom Forest Dress</t>
  </si>
  <si>
    <t xml:space="preserve">5,790+</t>
  </si>
  <si>
    <t xml:space="preserve">T-Shirt Dress (AOP)</t>
  </si>
  <si>
    <t xml:space="preserve">$49.99</t>
  </si>
  <si>
    <t xml:space="preserve">Tarot &amp; Mystical Symbols Dress</t>
  </si>
  <si>
    <t xml:space="preserve">910+</t>
  </si>
  <si>
    <t xml:space="preserve">Celestial Moon Phase Dress</t>
  </si>
  <si>
    <t xml:space="preserve">10,490+</t>
  </si>
  <si>
    <t xml:space="preserve">Skater Dress (AOP)</t>
  </si>
  <si>
    <t xml:space="preserve">$54.99</t>
  </si>
  <si>
    <t xml:space="preserve">Witchy Botanical Pencil Skirt</t>
  </si>
  <si>
    <t xml:space="preserve">11,100+</t>
  </si>
  <si>
    <t xml:space="preserve">Pencil Skirt (AOP)</t>
  </si>
  <si>
    <t xml:space="preserve">$34.99</t>
  </si>
  <si>
    <t xml:space="preserve">Keyword</t>
  </si>
  <si>
    <t xml:space="preserve">Google Vol/mo</t>
  </si>
  <si>
    <t xml:space="preserve">Etsy Vol/mo</t>
  </si>
  <si>
    <t xml:space="preserve">CPC ($)</t>
  </si>
  <si>
    <t xml:space="preserve">Competition</t>
  </si>
  <si>
    <t xml:space="preserve">Peak Month</t>
  </si>
  <si>
    <t xml:space="preserve">Low Month</t>
  </si>
  <si>
    <t xml:space="preserve">Seasonality</t>
  </si>
  <si>
    <t xml:space="preserve">Niche Fit</t>
  </si>
  <si>
    <t xml:space="preserve">POD Viability</t>
  </si>
  <si>
    <t xml:space="preserve">gothic dress</t>
  </si>
  <si>
    <t xml:space="preserve">Feb</t>
  </si>
  <si>
    <t xml:space="preserve">Apr/Jun</t>
  </si>
  <si>
    <t xml:space="preserve">Year-round, Feb peak</t>
  </si>
  <si>
    <t xml:space="preserve">High</t>
  </si>
  <si>
    <t xml:space="preserve">Medium</t>
  </si>
  <si>
    <t xml:space="preserve">boho maxi dress</t>
  </si>
  <si>
    <t xml:space="preserve">Jul</t>
  </si>
  <si>
    <t xml:space="preserve">Jan</t>
  </si>
  <si>
    <t xml:space="preserve">Summer peak</t>
  </si>
  <si>
    <t xml:space="preserve">Low (fabric-dependent)</t>
  </si>
  <si>
    <t xml:space="preserve">dark floral dress</t>
  </si>
  <si>
    <t xml:space="preserve">May</t>
  </si>
  <si>
    <t xml:space="preserve">Spring-Summer</t>
  </si>
  <si>
    <t xml:space="preserve">Very High</t>
  </si>
  <si>
    <t xml:space="preserve">fairy dress</t>
  </si>
  <si>
    <t xml:space="preserve">Nov</t>
  </si>
  <si>
    <t xml:space="preserve">Dec-Jan</t>
  </si>
  <si>
    <t xml:space="preserve">Halloween peak</t>
  </si>
  <si>
    <t xml:space="preserve">floral print dress</t>
  </si>
  <si>
    <t xml:space="preserve">Aug-Sep</t>
  </si>
  <si>
    <t xml:space="preserve">cottagecore dress</t>
  </si>
  <si>
    <t xml:space="preserve">Feb-Jun</t>
  </si>
  <si>
    <t xml:space="preserve">Year-round</t>
  </si>
  <si>
    <t xml:space="preserve">witchy dress</t>
  </si>
  <si>
    <t xml:space="preserve">Halloween massive spike</t>
  </si>
  <si>
    <t xml:space="preserve">celestial dress</t>
  </si>
  <si>
    <t xml:space="preserve">Oct</t>
  </si>
  <si>
    <t xml:space="preserve">Winter/holiday peak</t>
  </si>
  <si>
    <t xml:space="preserve">kimono robe women</t>
  </si>
  <si>
    <t xml:space="preserve">Dec</t>
  </si>
  <si>
    <t xml:space="preserve">Gift season</t>
  </si>
  <si>
    <t xml:space="preserve">ethereal dress</t>
  </si>
  <si>
    <t xml:space="preserve">gothic skirt</t>
  </si>
  <si>
    <t xml:space="preserve">Nov-Dec</t>
  </si>
  <si>
    <t xml:space="preserve">Fall-Winter</t>
  </si>
  <si>
    <t xml:space="preserve">goth skirt</t>
  </si>
  <si>
    <t xml:space="preserve">mushroom dress</t>
  </si>
  <si>
    <t xml:space="preserve">Jun-Jul</t>
  </si>
  <si>
    <t xml:space="preserve">art deco dress</t>
  </si>
  <si>
    <t xml:space="preserve">Jul-Aug</t>
  </si>
  <si>
    <t xml:space="preserve">enchanted dress</t>
  </si>
  <si>
    <t xml:space="preserve">Sep</t>
  </si>
  <si>
    <t xml:space="preserve">Spring peak</t>
  </si>
  <si>
    <t xml:space="preserve">victorian gothic dress</t>
  </si>
  <si>
    <t xml:space="preserve">Halloween build</t>
  </si>
  <si>
    <t xml:space="preserve">enchanted forest dress</t>
  </si>
  <si>
    <t xml:space="preserve">May-Jun</t>
  </si>
  <si>
    <t xml:space="preserve">whimsigoth dress</t>
  </si>
  <si>
    <t xml:space="preserve">Fall peak</t>
  </si>
  <si>
    <t xml:space="preserve">PERFECT</t>
  </si>
  <si>
    <t xml:space="preserve">dark academia dress</t>
  </si>
  <si>
    <t xml:space="preserve">Sep-Oct</t>
  </si>
  <si>
    <t xml:space="preserve">Back-to-school</t>
  </si>
  <si>
    <t xml:space="preserve">dark floral skirt</t>
  </si>
  <si>
    <t xml:space="preserve">May-Jul</t>
  </si>
  <si>
    <t xml:space="preserve">Summer</t>
  </si>
  <si>
    <t xml:space="preserve">moon and stars dress</t>
  </si>
  <si>
    <t xml:space="preserve">Mar/Nov</t>
  </si>
  <si>
    <t xml:space="preserve">Holiday peak</t>
  </si>
  <si>
    <t xml:space="preserve">witch skirt</t>
  </si>
  <si>
    <t xml:space="preserve">Halloween spike</t>
  </si>
  <si>
    <t xml:space="preserve">art nouveau dress</t>
  </si>
  <si>
    <t xml:space="preserve">Feb/Oct</t>
  </si>
  <si>
    <t xml:space="preserve">forest dress</t>
  </si>
  <si>
    <t xml:space="preserve">May/Oct</t>
  </si>
  <si>
    <t xml:space="preserve">zodiac dress</t>
  </si>
  <si>
    <t xml:space="preserve">tarot card dress</t>
  </si>
  <si>
    <t xml:space="preserve">Mar</t>
  </si>
  <si>
    <t xml:space="preserve">Varied</t>
  </si>
  <si>
    <t xml:space="preserve">pagan dress</t>
  </si>
  <si>
    <t xml:space="preserve">Feb/May-Jun</t>
  </si>
  <si>
    <t xml:space="preserve">Aug</t>
  </si>
  <si>
    <t xml:space="preserve">Spring/Fall</t>
  </si>
  <si>
    <t xml:space="preserve">custom kimono</t>
  </si>
  <si>
    <t xml:space="preserve">Apr</t>
  </si>
  <si>
    <t xml:space="preserve">dark romantic dress</t>
  </si>
  <si>
    <t xml:space="preserve">dark fairy dress</t>
  </si>
  <si>
    <t xml:space="preserve">Halloween</t>
  </si>
  <si>
    <t xml:space="preserve">pre raphaelite dress</t>
  </si>
  <si>
    <t xml:space="preserve">Apr/Aug</t>
  </si>
  <si>
    <t xml:space="preserve">william morris dress</t>
  </si>
  <si>
    <t xml:space="preserve">Feb/Jan</t>
  </si>
  <si>
    <t xml:space="preserve">printed pencil skirt</t>
  </si>
  <si>
    <t xml:space="preserve">custom print dress</t>
  </si>
  <si>
    <t xml:space="preserve">Apr-Jul</t>
  </si>
  <si>
    <t xml:space="preserve">boho printed dress</t>
  </si>
  <si>
    <t xml:space="preserve">Nov/May-Jul</t>
  </si>
  <si>
    <t xml:space="preserve">Summer + holiday</t>
  </si>
  <si>
    <t xml:space="preserve">wiccan dress</t>
  </si>
  <si>
    <t xml:space="preserve">Mar/Nov-Dec</t>
  </si>
  <si>
    <t xml:space="preserve">celestial skirt</t>
  </si>
  <si>
    <t xml:space="preserve">Oct-Nov</t>
  </si>
  <si>
    <t xml:space="preserve">dark cottagecore dress</t>
  </si>
  <si>
    <t xml:space="preserve">Apr-May/Sep-Oct</t>
  </si>
  <si>
    <t xml:space="preserve">botanical print dress</t>
  </si>
  <si>
    <t xml:space="preserve">Winter-Spring</t>
  </si>
  <si>
    <t xml:space="preserve">goblincore dress</t>
  </si>
  <si>
    <t xml:space="preserve">Apr/Oct</t>
  </si>
  <si>
    <t xml:space="preserve">gothic pencil skirt</t>
  </si>
  <si>
    <t xml:space="preserve">May/Sep</t>
  </si>
  <si>
    <t xml:space="preserve">japanese print dress</t>
  </si>
  <si>
    <t xml:space="preserve">May/Jul-Aug</t>
  </si>
  <si>
    <t xml:space="preserve">moth print dress</t>
  </si>
  <si>
    <t xml:space="preserve">Feb-Mar</t>
  </si>
  <si>
    <t xml:space="preserve">all over print dress</t>
  </si>
  <si>
    <t xml:space="preserve">Oct-Jan</t>
  </si>
  <si>
    <t xml:space="preserve">Product</t>
  </si>
  <si>
    <t xml:space="preserve">Provider</t>
  </si>
  <si>
    <t xml:space="preserve">Base Cost (USD)</t>
  </si>
  <si>
    <t xml:space="preserve">Shipping (est)</t>
  </si>
  <si>
    <t xml:space="preserve">Total COGS</t>
  </si>
  <si>
    <t xml:space="preserve">Target Sale Price</t>
  </si>
  <si>
    <t xml:space="preserve">Etsy Fees (13%)</t>
  </si>
  <si>
    <t xml:space="preserve">Net Profit/Unit</t>
  </si>
  <si>
    <t xml:space="preserve">Margin %</t>
  </si>
  <si>
    <t xml:space="preserve">Units for $10K/mo</t>
  </si>
  <si>
    <t xml:space="preserve">Ships From</t>
  </si>
  <si>
    <t xml:space="preserve">Sizes</t>
  </si>
  <si>
    <t xml:space="preserve">Women's Pencil Skirt (AOP)</t>
  </si>
  <si>
    <t xml:space="preserve">MWW On Demand</t>
  </si>
  <si>
    <t xml:space="preserve">USA</t>
  </si>
  <si>
    <t xml:space="preserve">6 (XS-2XL)</t>
  </si>
  <si>
    <t xml:space="preserve">Women's Cut &amp; Sew Racerback Dress (AOP)</t>
  </si>
  <si>
    <t xml:space="preserve">Women's Skater Skirt (AOP)</t>
  </si>
  <si>
    <t xml:space="preserve">Women's Racerback Dress (AOP)</t>
  </si>
  <si>
    <t xml:space="preserve">Stylus</t>
  </si>
  <si>
    <t xml:space="preserve">Women's Mid-Waist Pencil Skirt (AOP)</t>
  </si>
  <si>
    <t xml:space="preserve">Colorway</t>
  </si>
  <si>
    <t xml:space="preserve">5 (XS-XL)</t>
  </si>
  <si>
    <t xml:space="preserve">Women's Hoodie Dress (AOP)</t>
  </si>
  <si>
    <t xml:space="preserve">Smart Printee</t>
  </si>
  <si>
    <t xml:space="preserve">CN</t>
  </si>
  <si>
    <t xml:space="preserve">Women's Skater Dress (AOP)</t>
  </si>
  <si>
    <t xml:space="preserve">Miami Sublimation</t>
  </si>
  <si>
    <t xml:space="preserve">Long Sleeve Kimono Robe (AOP)</t>
  </si>
  <si>
    <t xml:space="preserve">ArtsAdd</t>
  </si>
  <si>
    <t xml:space="preserve">Women's Long Sleeve Dance Dress (AOP)</t>
  </si>
  <si>
    <t xml:space="preserve">AVERAGE</t>
  </si>
  <si>
    <t xml:space="preserve">#</t>
  </si>
  <si>
    <t xml:space="preserve">Design Concept</t>
  </si>
  <si>
    <t xml:space="preserve">Style Direction</t>
  </si>
  <si>
    <t xml:space="preserve">Primary Keywords</t>
  </si>
  <si>
    <t xml:space="preserve">Combined Vol</t>
  </si>
  <si>
    <t xml:space="preserve">Base Cost</t>
  </si>
  <si>
    <t xml:space="preserve">Sale Price</t>
  </si>
  <si>
    <t xml:space="preserve">Est. Margin</t>
  </si>
  <si>
    <t xml:space="preserve">Automation Score</t>
  </si>
  <si>
    <t xml:space="preserve">Competition Level</t>
  </si>
  <si>
    <t xml:space="preserve">Seasonal Peak</t>
  </si>
  <si>
    <t xml:space="preserve">Composite Score</t>
  </si>
  <si>
    <t xml:space="preserve">Dark Botanical Garden Dress</t>
  </si>
  <si>
    <t xml:space="preserve">Moody dark florals on black bg — vintage botanical illustration style (hand-drawn look, NOT AI). Think: Victorian-era pressed flower journals.</t>
  </si>
  <si>
    <t xml:space="preserve">dark floral dress, gothic dress, botanical print dress</t>
  </si>
  <si>
    <t xml:space="preserve">Skater Dress</t>
  </si>
  <si>
    <t xml:space="preserve">Medium-High</t>
  </si>
  <si>
    <t xml:space="preserve">Navy/black base with gold/silver celestial elements — moon phases, constellations, stars. Elegant astronomical chart aesthetic, fine line art.</t>
  </si>
  <si>
    <t xml:space="preserve">celestial dress, moon and stars dress, moon phase dress</t>
  </si>
  <si>
    <t xml:space="preserve">Winter/Holiday</t>
  </si>
  <si>
    <t xml:space="preserve">Dark herbs, poisonous plants, apothecary illustrations on black. Witch-garden aesthetic with Latin plant names as subtle text.</t>
  </si>
  <si>
    <t xml:space="preserve">witchy dress, witch skirt, gothic pencil skirt</t>
  </si>
  <si>
    <t xml:space="preserve">Pencil Skirt</t>
  </si>
  <si>
    <t xml:space="preserve">Oct-Nov peak</t>
  </si>
  <si>
    <t xml:space="preserve">Detailed mushroom species illustrations with ferns, moths, and forest floor elements. Dark cottagecore palette (deep green, brown, cream on black).</t>
  </si>
  <si>
    <t xml:space="preserve">mushroom dress, enchanted forest dress, forest dress</t>
  </si>
  <si>
    <t xml:space="preserve">T-Shirt Dress</t>
  </si>
  <si>
    <t xml:space="preserve">Medium-Low</t>
  </si>
  <si>
    <t xml:space="preserve">Dark Academia Gothic Skirt</t>
  </si>
  <si>
    <t xml:space="preserve">Vintage library motifs — old books, quill pens, architectural details, classical busts. Sepia/dark brown/burgundy palette.</t>
  </si>
  <si>
    <t xml:space="preserve">dark academia dress, gothic skirt, vintage print dress</t>
  </si>
  <si>
    <t xml:space="preserve">Major arcana cards, all-seeing eyes, sacred geometry, crystal illustrations. Gold on deep purple/black. Sophisticated occult-chic.</t>
  </si>
  <si>
    <t xml:space="preserve">tarot dress, zodiac dress, pagan dress</t>
  </si>
  <si>
    <t xml:space="preserve">Racerback Dress</t>
  </si>
  <si>
    <t xml:space="preserve">Low</t>
  </si>
  <si>
    <t xml:space="preserve">Art Nouveau Floral Dress</t>
  </si>
  <si>
    <t xml:space="preserve">Mucha-inspired flowing organic lines, stylized flowers, gold leaf accents. Elegant peacock feathers, lilies, and sinuous curves.</t>
  </si>
  <si>
    <t xml:space="preserve">art nouveau dress, ethereal dress, william morris dress</t>
  </si>
  <si>
    <t xml:space="preserve">Low-Medium</t>
  </si>
  <si>
    <t xml:space="preserve">Japanese Ukiyo-e Wave Skirt</t>
  </si>
  <si>
    <t xml:space="preserve">Great Wave, koi fish, cherry blossoms in traditional woodblock print style. Indigo, navy, white, gold palette. NOT anime.</t>
  </si>
  <si>
    <t xml:space="preserve">japanese print dress, art deco dress, printed pencil skirt</t>
  </si>
  <si>
    <t xml:space="preserve">Skater Skirt</t>
  </si>
  <si>
    <t xml:space="preserve">Death's head moths, crystals, crescent moons, dried flowers. The signature LunarAura aesthetic on dress form. Dark purple/black/gold.</t>
  </si>
  <si>
    <t xml:space="preserve">whimsigoth dress, dark cottagecore dress, moth print dress</t>
  </si>
  <si>
    <t xml:space="preserve">Very Low</t>
  </si>
  <si>
    <t xml:space="preserve">Fall</t>
  </si>
  <si>
    <t xml:space="preserve">Dark Fairy / Enchanted Realm Kimono</t>
  </si>
  <si>
    <t xml:space="preserve">Ethereal forest scenes with fireflies, fairy silhouettes, moonlit glades. Painterly watercolor style on flowing kimono robe.</t>
  </si>
  <si>
    <t xml:space="preserve">enchanted dress, dark fairy dress, fairy dress, custom kimono</t>
  </si>
  <si>
    <t xml:space="preserve">Kimono Robe</t>
  </si>
  <si>
    <t xml:space="preserve">Search Term</t>
  </si>
  <si>
    <t xml:space="preserve">Shop Name</t>
  </si>
  <si>
    <t xml:space="preserve">Price (CAD)</t>
  </si>
  <si>
    <t xml:space="preserve">Monthly Sales</t>
  </si>
  <si>
    <t xml:space="preserve">Views</t>
  </si>
  <si>
    <t xml:space="preserve">Conv. Rate</t>
  </si>
  <si>
    <t xml:space="preserve">List. Age (Mo)</t>
  </si>
  <si>
    <t xml:space="preserve">Reviews</t>
  </si>
  <si>
    <t xml:space="preserve">Bluskysoul</t>
  </si>
  <si>
    <t xml:space="preserve">UNISEX Comfy Mushroom Print Festival Hoodi...</t>
  </si>
  <si>
    <t xml:space="preserve">4.21%</t>
  </si>
  <si>
    <t xml:space="preserve">Etsy Pick, AOP specialist</t>
  </si>
  <si>
    <t xml:space="preserve">EasyBeeasy</t>
  </si>
  <si>
    <t xml:space="preserve">Togi All Over Print Dress</t>
  </si>
  <si>
    <t xml:space="preserve">1.79%</t>
  </si>
  <si>
    <t xml:space="preserve">KatesMagicalApparel</t>
  </si>
  <si>
    <t xml:space="preserve">All-Over Print Women's Crew Neck Dress</t>
  </si>
  <si>
    <t xml:space="preserve">1.77%</t>
  </si>
  <si>
    <t xml:space="preserve">POD operation</t>
  </si>
  <si>
    <t xml:space="preserve">KeyLimeSublime</t>
  </si>
  <si>
    <t xml:space="preserve">Octopus Print Ruffle Sleeve Dress</t>
  </si>
  <si>
    <t xml:space="preserve">0%</t>
  </si>
  <si>
    <t xml:space="preserve">Ad placement</t>
  </si>
  <si>
    <t xml:space="preserve">LongLiveButterflies</t>
  </si>
  <si>
    <t xml:space="preserve">Vintage 90s Dark Floral Dresses</t>
  </si>
  <si>
    <t xml:space="preserve">Vintage/thrift</t>
  </si>
  <si>
    <t xml:space="preserve">FreyjasAlchemy</t>
  </si>
  <si>
    <t xml:space="preserve">Mystic Moth &amp; Moon Full-Print Long Hoodie</t>
  </si>
  <si>
    <t xml:space="preserve">0.41%</t>
  </si>
  <si>
    <t xml:space="preserve">AOP hoodie in dress search</t>
  </si>
  <si>
    <t xml:space="preserve">TheMoonlitElm</t>
  </si>
  <si>
    <t xml:space="preserve">Wildflower Handkerchief Dress: Dark Academia</t>
  </si>
  <si>
    <t xml:space="preserve">0.07%</t>
  </si>
  <si>
    <t xml:space="preserve">Strong brand</t>
  </si>
  <si>
    <t xml:space="preserve">RogueAndWolf</t>
  </si>
  <si>
    <t xml:space="preserve">Autumn Botanical Skater Dress</t>
  </si>
  <si>
    <t xml:space="preserve">Major alt-fashion brand</t>
  </si>
  <si>
    <t xml:space="preserve">ABDsVikingVault</t>
  </si>
  <si>
    <t xml:space="preserve">Renaissance Medieval Festival Dress</t>
  </si>
  <si>
    <t xml:space="preserve">0.29%</t>
  </si>
  <si>
    <t xml:space="preserve">Bestseller badge, 75% off</t>
  </si>
  <si>
    <t xml:space="preserve">BLACKFISHTheLabel</t>
  </si>
  <si>
    <t xml:space="preserve">The Aurora Dress Noctu...</t>
  </si>
  <si>
    <t xml:space="preserve">0.16%</t>
  </si>
  <si>
    <t xml:space="preserve">Etsy Pick, premium price</t>
  </si>
  <si>
    <t xml:space="preserve">SoNoCloset</t>
  </si>
  <si>
    <t xml:space="preserve">Gothic Velvet Black Lace Dress</t>
  </si>
  <si>
    <t xml:space="preserve">0.19%</t>
  </si>
  <si>
    <t xml:space="preserve">Volume seller, 55% off</t>
  </si>
  <si>
    <t xml:space="preserve">FairyMeDressUp</t>
  </si>
  <si>
    <t xml:space="preserve">ENCHANTED FOREST Sling Dress with Birds</t>
  </si>
  <si>
    <t xml:space="preserve">Strong niche brand</t>
  </si>
  <si>
    <t xml:space="preserve">TheWoodenWhime</t>
  </si>
  <si>
    <t xml:space="preserve">Mushroom Sling Summer Dress</t>
  </si>
  <si>
    <t xml:space="preserve">0.66%</t>
  </si>
  <si>
    <t xml:space="preserve">Budget price point</t>
  </si>
  <si>
    <t xml:space="preserve">KiAnEmbroideryVN</t>
  </si>
  <si>
    <t xml:space="preserve">Hand Embroidered Mushroom Apron</t>
  </si>
  <si>
    <t xml:space="preserve">0.48%</t>
  </si>
  <si>
    <t xml:space="preserve">Top seller, handmade</t>
  </si>
  <si>
    <t xml:space="preserve">CulturalThemesStudio</t>
  </si>
  <si>
    <t xml:space="preserve">Celestial Moon Phase Hoodie</t>
  </si>
  <si>
    <t xml:space="preserve">1.37%</t>
  </si>
  <si>
    <t xml:space="preserve">Known competitor, high conv</t>
  </si>
  <si>
    <t xml:space="preserve">FrenchMeadows</t>
  </si>
  <si>
    <t xml:space="preserve">Celestial Tulle Milkmaid Dress</t>
  </si>
  <si>
    <t xml:space="preserve">0.33%</t>
  </si>
  <si>
    <t xml:space="preserve">Mega seller, handmade</t>
  </si>
  <si>
    <t xml:space="preserve">Dreamydresshouse</t>
  </si>
  <si>
    <t xml:space="preserve">Navy Blue Gown With Stars</t>
  </si>
  <si>
    <t xml:space="preserve">0.05%</t>
  </si>
  <si>
    <t xml:space="preserve">Etsy Pick, luxury</t>
  </si>
  <si>
    <t xml:space="preserve">FloralDressAtelier</t>
  </si>
  <si>
    <t xml:space="preserve">Prairie dress floral Victorian</t>
  </si>
  <si>
    <t xml:space="preserve">Etsy Pick, handmade</t>
  </si>
  <si>
    <t xml:space="preserve">Gothic Black Rose Skirt Dark Floral Victorian</t>
  </si>
  <si>
    <t xml:space="preserve">0.04%</t>
  </si>
  <si>
    <t xml:space="preserve">55% off listed</t>
  </si>
  <si>
    <t xml:space="preserve">GlamourGrovebyBea</t>
  </si>
  <si>
    <t xml:space="preserve">Plaid Patchwork Gothic Skirt</t>
  </si>
  <si>
    <t xml:space="preserve">0.12%</t>
  </si>
  <si>
    <t xml:space="preserve">39% off, strong sales</t>
  </si>
  <si>
    <t xml:space="preserve">12-Month Revenue Projection — Women's Dress &amp; Skirt Category</t>
  </si>
  <si>
    <t xml:space="preserve">ASSUMPTIONS</t>
  </si>
  <si>
    <t xml:space="preserve">Avg Sale Price (blended)</t>
  </si>
  <si>
    <t xml:space="preserve">Mix of skirts ($34.99) and dresses ($49.99-54.99)</t>
  </si>
  <si>
    <t xml:space="preserve">Avg COGS (blended)</t>
  </si>
  <si>
    <t xml:space="preserve">Base cost + shipping average</t>
  </si>
  <si>
    <t xml:space="preserve">Etsy Fee Rate</t>
  </si>
  <si>
    <t xml:space="preserve">6.5% transaction + 3% + $0.25 processing + listing</t>
  </si>
  <si>
    <t xml:space="preserve">Avg Net Profit/Unit</t>
  </si>
  <si>
    <t xml:space="preserve">Conversion Rate</t>
  </si>
  <si>
    <t xml:space="preserve">Conservative 1.5% (industry avg 1-3%)</t>
  </si>
  <si>
    <t xml:space="preserve">Avg Monthly Views/Listing</t>
  </si>
  <si>
    <t xml:space="preserve">Based on Everbee competitor data</t>
  </si>
  <si>
    <t xml:space="preserve">Monthly Ad Budget (starting)</t>
  </si>
  <si>
    <t xml:space="preserve">Etsy Ads, scales up</t>
  </si>
  <si>
    <t xml:space="preserve">Ad ROAS Target</t>
  </si>
  <si>
    <t xml:space="preserve">Conservative $3 return per $1 ad spend</t>
  </si>
  <si>
    <t xml:space="preserve">Month</t>
  </si>
  <si>
    <t xml:space="preserve">New Listings</t>
  </si>
  <si>
    <t xml:space="preserve">Total Listings</t>
  </si>
  <si>
    <t xml:space="preserve">Organic Views</t>
  </si>
  <si>
    <t xml:space="preserve">Organic Sales</t>
  </si>
  <si>
    <t xml:space="preserve">Ad Spend</t>
  </si>
  <si>
    <t xml:space="preserve">Ad Revenue</t>
  </si>
  <si>
    <t xml:space="preserve">Organic Revenue</t>
  </si>
  <si>
    <t xml:space="preserve">Total Revenue</t>
  </si>
  <si>
    <t xml:space="preserve">Total Profit</t>
  </si>
  <si>
    <t xml:space="preserve">Cum. Profit</t>
  </si>
  <si>
    <t xml:space="preserve">TOTAL</t>
  </si>
  <si>
    <t xml:space="preserve">Design Style Guide: Elegant &amp; Aesthetic (NOT AI-Looking)</t>
  </si>
  <si>
    <t xml:space="preserve">Principle</t>
  </si>
  <si>
    <t xml:space="preserve">DO This</t>
  </si>
  <si>
    <t xml:space="preserve">AVOID This</t>
  </si>
  <si>
    <t xml:space="preserve">Reference Artists/Styles</t>
  </si>
  <si>
    <t xml:space="preserve">Line Quality</t>
  </si>
  <si>
    <t xml:space="preserve">Vary line weight naturally; include subtle imperfections, hand-drawn feel</t>
  </si>
  <si>
    <t xml:space="preserve">Perfectly uniform lines, overly smooth gradients, plastic-looking surfaces</t>
  </si>
  <si>
    <t xml:space="preserve">William Morris, Alphonse Mucha, Ernst Haeckel</t>
  </si>
  <si>
    <t xml:space="preserve">Color Palette</t>
  </si>
  <si>
    <t xml:space="preserve">Muted, sophisticated tones; dark backgrounds (black, navy, deep purple); limited accent colors (gold, sage, dusty rose)</t>
  </si>
  <si>
    <t xml:space="preserve">Neon colors, oversaturated rainbow palettes, pastel overload, high-contrast primaries</t>
  </si>
  <si>
    <t xml:space="preserve">Dark academia Tumblr, vintage botanical prints, Art Nouveau posters</t>
  </si>
  <si>
    <t xml:space="preserve">Composition</t>
  </si>
  <si>
    <t xml:space="preserve">Organic flowing layouts; asymmetric but balanced; elements that intertwine naturally</t>
  </si>
  <si>
    <t xml:space="preserve">Grid-perfect symmetry, floating disconnected elements, center-bullseye composition</t>
  </si>
  <si>
    <t xml:space="preserve">Textile patterns by William Morris, Japanese woodblock prints</t>
  </si>
  <si>
    <t xml:space="preserve">Subject Detail</t>
  </si>
  <si>
    <t xml:space="preserve">Botanically/anatomically accurate illustrations; specific species (not generic flowers); fine detail work</t>
  </si>
  <si>
    <t xml:space="preserve">Generic blob-like flowers, anatomically incorrect creatures, overly simplified shapes</t>
  </si>
  <si>
    <t xml:space="preserve">Maria Sibylla Merian, Audubon prints, Victorian botanical plates</t>
  </si>
  <si>
    <t xml:space="preserve">Texture</t>
  </si>
  <si>
    <t xml:space="preserve">Visible brushstrokes, paper grain, ink splatters, cross-hatching, stippling</t>
  </si>
  <si>
    <t xml:space="preserve">Airbrush-smooth surfaces, HDR-like over-processing, everything looks wet/glossy</t>
  </si>
  <si>
    <t xml:space="preserve">Woodcut prints, etching techniques, risograph aesthetics</t>
  </si>
  <si>
    <t xml:space="preserve">Typography (if any)</t>
  </si>
  <si>
    <t xml:space="preserve">Hand-lettered or classic serif fonts; sparse text; Latin botanical names as decorative element</t>
  </si>
  <si>
    <t xml:space="preserve">Comic Sans, generic sans-serif, watermark-style text, motivational quotes</t>
  </si>
  <si>
    <t xml:space="preserve">Apothecary labels, antique map cartouches, herbarium specimens</t>
  </si>
  <si>
    <t xml:space="preserve">Pattern Repeat</t>
  </si>
  <si>
    <t xml:space="preserve">Seamless but not mechanical; slight variations in repeat; organic flow</t>
  </si>
  <si>
    <t xml:space="preserve">Obvious tile boundaries, 4-way mirror that creates unnatural symmetry</t>
  </si>
  <si>
    <t xml:space="preserve">Liberty London fabrics, Rifle Paper Co., House of Hackney</t>
  </si>
  <si>
    <t xml:space="preserve">Mood &amp; Atmosphere</t>
  </si>
  <si>
    <t xml:space="preserve">Mysterious, romantic, scholarly, enchanted — like a story is being told</t>
  </si>
  <si>
    <t xml:space="preserve">Generic pretty, corporate clean, Instagram-filter aesthetic</t>
  </si>
  <si>
    <t xml:space="preserve">Pre-Raphaelite paintings, Gothic literature illustrations, fairy tale books</t>
  </si>
  <si>
    <t xml:space="preserve">Edge Treatment</t>
  </si>
  <si>
    <t xml:space="preserve">Elements bleed off edges naturally; background fills entire canvas as textile swatch</t>
  </si>
  <si>
    <t xml:space="preserve">Hard rectangular borders, elements floating in white space, garment outlines</t>
  </si>
  <si>
    <t xml:space="preserve">AOP textile design principles — edge-to-edge coverage</t>
  </si>
  <si>
    <t xml:space="preserve">AI Red Flags to Avoid</t>
  </si>
  <si>
    <t xml:space="preserve">Reference real art movements; study actual textile patterns; iterate on specific details</t>
  </si>
  <si>
    <t xml:space="preserve">Extra fingers/limbs on creatures; text that's almost-words; uncanny valley faces; perfect spirals everywhere; that 'Midjourney glow'</t>
  </si>
  <si>
    <t xml:space="preserve">Study competitors: RogueAndWolf, BlackCherryKiss, ShopGoldenThread</t>
  </si>
  <si>
    <t xml:space="preserve">90-Day Launch Plan — Women's Dress &amp; Skirt Category</t>
  </si>
  <si>
    <t xml:space="preserve">Phase</t>
  </si>
  <si>
    <t xml:space="preserve">Week</t>
  </si>
  <si>
    <t xml:space="preserve">Action Item</t>
  </si>
  <si>
    <t xml:space="preserve">Products</t>
  </si>
  <si>
    <t xml:space="preserve">Listings Target</t>
  </si>
  <si>
    <t xml:space="preserve">Ad Budget</t>
  </si>
  <si>
    <t xml:space="preserve">Key Metric</t>
  </si>
  <si>
    <t xml:space="preserve">Phase 1: Foundation</t>
  </si>
  <si>
    <t xml:space="preserve">1-2</t>
  </si>
  <si>
    <t xml:space="preserve">Design first 10 patterns: 5 dark botanical + 5 celestial themes. Focus on Pencil Skirt + Skater Dress.</t>
  </si>
  <si>
    <t xml:space="preserve">Pencil Skirt, Skater Dress</t>
  </si>
  <si>
    <t xml:space="preserve">$200</t>
  </si>
  <si>
    <t xml:space="preserve">Listings live, first views</t>
  </si>
  <si>
    <t xml:space="preserve">3-4</t>
  </si>
  <si>
    <t xml:space="preserve">Launch 10 more designs: mushroom/forest + witchy/pagan themes. Add Racerback Dress + T-Shirt Dress.</t>
  </si>
  <si>
    <t xml:space="preserve">Racerback Dress, T-Shirt Dress</t>
  </si>
  <si>
    <t xml:space="preserve">First sales, conv rate &gt;1%</t>
  </si>
  <si>
    <t xml:space="preserve">Phase 2: Expansion</t>
  </si>
  <si>
    <t xml:space="preserve">5-6</t>
  </si>
  <si>
    <t xml:space="preserve">Create 10 dark academia + art nouveau patterns. Start Etsy Ads on top 5 performers.</t>
  </si>
  <si>
    <t xml:space="preserve">All 4 product types</t>
  </si>
  <si>
    <t xml:space="preserve">$350</t>
  </si>
  <si>
    <t xml:space="preserve">Identify top 3 designs</t>
  </si>
  <si>
    <t xml:space="preserve">7-8</t>
  </si>
  <si>
    <t xml:space="preserve">10 more designs: tarot/zodiac + Japanese art themes. Double down on best sellers.</t>
  </si>
  <si>
    <t xml:space="preserve">All + Skater Skirt</t>
  </si>
  <si>
    <t xml:space="preserve">Monthly revenue &gt;$2K</t>
  </si>
  <si>
    <t xml:space="preserve">Phase 3: Optimization</t>
  </si>
  <si>
    <t xml:space="preserve">9-10</t>
  </si>
  <si>
    <t xml:space="preserve">Analyze data, cut underperformers. Create 8 new designs based on top sellers.</t>
  </si>
  <si>
    <t xml:space="preserve">Focus on winners</t>
  </si>
  <si>
    <t xml:space="preserve">$500</t>
  </si>
  <si>
    <t xml:space="preserve">Revenue/listing improving</t>
  </si>
  <si>
    <t xml:space="preserve">11-12</t>
  </si>
  <si>
    <t xml:space="preserve">Holiday prep: 8 gift-themed variants. Ramp ads. Target Halloween + holiday keywords.</t>
  </si>
  <si>
    <t xml:space="preserve">Gift packaging focus</t>
  </si>
  <si>
    <t xml:space="preserve">Pipeline to $5K/mo</t>
  </si>
  <si>
    <t xml:space="preserve">INVESTMENT SUMMARY</t>
  </si>
  <si>
    <t xml:space="preserve">Etsy Listing Fees (56 listings × $0.20)</t>
  </si>
  <si>
    <t xml:space="preserve">$11.20</t>
  </si>
  <si>
    <t xml:space="preserve">Gemini API Credits (artwork generation)</t>
  </si>
  <si>
    <t xml:space="preserve">~$50-100</t>
  </si>
  <si>
    <t xml:space="preserve">LLM Credits (copy writing)</t>
  </si>
  <si>
    <t xml:space="preserve">~$20-30</t>
  </si>
  <si>
    <t xml:space="preserve">Etsy Ads Budget (3 months)</t>
  </si>
  <si>
    <t xml:space="preserve">$2,100</t>
  </si>
  <si>
    <t xml:space="preserve">Sample Orders (quality check, 5 products)</t>
  </si>
  <si>
    <t xml:space="preserve">~$200</t>
  </si>
  <si>
    <t xml:space="preserve">TOTAL ESTIMATED INVESTMENT</t>
  </si>
  <si>
    <t xml:space="preserve">~$2,400-2,450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</si>
</sst>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[$$-409]#,##0.00;[RED]\-[$$-409]#,##0.00"/>
    <numFmt numFmtId="168" formatCode="\$#,##0"/>
    <numFmt numFmtId="169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A2E"/>
      <name val="Arial"/>
      <family val="0"/>
      <charset val="1"/>
    </font>
    <font>
      <b val="true"/>
      <sz val="11"/>
      <color rgb="FF16213E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0F0F5"/>
        <bgColor rgb="FFFFFFFF"/>
      </patternFill>
    </fill>
    <fill>
      <patternFill patternType="solid">
        <fgColor rgb="FFFFEAA7"/>
        <bgColor rgb="FFFFF3CD"/>
      </patternFill>
    </fill>
    <fill>
      <patternFill patternType="solid">
        <fgColor rgb="FFD4EDDA"/>
        <bgColor rgb="FFF0F0F5"/>
      </patternFill>
    </fill>
    <fill>
      <patternFill patternType="solid">
        <fgColor rgb="FFFFF3CD"/>
        <bgColor rgb="FFFFEAA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8E44AD"/>
      <rgbColor rgb="FFFFF3CD"/>
      <rgbColor rgb="FFF0F0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EAA7"/>
      <rgbColor rgb="FF99CCFF"/>
      <rgbColor rgb="FFFF99CC"/>
      <rgbColor rgb="FFCC99FF"/>
      <rgbColor rgb="FFFFCC99"/>
      <rgbColor rgb="FF3366FF"/>
      <rgbColor rgb="FF2ECC71"/>
      <rgbColor rgb="FF99CC00"/>
      <rgbColor rgb="FFFFCC00"/>
      <rgbColor rgb="FFF39C12"/>
      <rgbColor rgb="FFE74C3C"/>
      <rgbColor rgb="FF666699"/>
      <rgbColor rgb="FF969696"/>
      <rgbColor rgb="FF003366"/>
      <rgbColor rgb="FF27AE60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45"/>
    <col collapsed="false" customWidth="true" hidden="false" outlineLevel="0" max="4" min="3" style="1" width="25"/>
    <col collapsed="false" customWidth="true" hidden="false" outlineLevel="0" max="5" min="5" style="1" width="18"/>
    <col collapsed="false" customWidth="true" hidden="false" outlineLevel="0" max="6" min="6" style="1" width="12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6"/>
      <c r="C5" s="6"/>
      <c r="D5" s="6"/>
      <c r="E5" s="6"/>
      <c r="F5" s="6"/>
    </row>
    <row r="7" customFormat="false" ht="15" hidden="false" customHeight="true" outlineLevel="0" collapsed="false">
      <c r="A7" s="7" t="s">
        <v>4</v>
      </c>
      <c r="B7" s="7" t="s">
        <v>5</v>
      </c>
      <c r="C7" s="7" t="s">
        <v>6</v>
      </c>
    </row>
    <row r="8" customFormat="false" ht="23.25" hidden="false" customHeight="true" outlineLevel="0" collapsed="false">
      <c r="A8" s="8" t="s">
        <v>7</v>
      </c>
      <c r="B8" s="8" t="s">
        <v>8</v>
      </c>
      <c r="C8" s="8" t="s">
        <v>9</v>
      </c>
    </row>
    <row r="9" customFormat="false" ht="23.25" hidden="false" customHeight="true" outlineLevel="0" collapsed="false">
      <c r="A9" s="9" t="s">
        <v>10</v>
      </c>
      <c r="B9" s="9" t="s">
        <v>11</v>
      </c>
      <c r="C9" s="9" t="s">
        <v>12</v>
      </c>
    </row>
    <row r="10" customFormat="false" ht="15" hidden="false" customHeight="true" outlineLevel="0" collapsed="false">
      <c r="A10" s="8" t="s">
        <v>13</v>
      </c>
      <c r="B10" s="8" t="s">
        <v>14</v>
      </c>
      <c r="C10" s="8" t="s">
        <v>15</v>
      </c>
    </row>
    <row r="11" customFormat="false" ht="23.25" hidden="false" customHeight="true" outlineLevel="0" collapsed="false">
      <c r="A11" s="9" t="s">
        <v>16</v>
      </c>
      <c r="B11" s="9" t="s">
        <v>17</v>
      </c>
      <c r="C11" s="9" t="s">
        <v>18</v>
      </c>
    </row>
    <row r="12" customFormat="false" ht="15" hidden="false" customHeight="true" outlineLevel="0" collapsed="false">
      <c r="A12" s="8" t="s">
        <v>19</v>
      </c>
      <c r="B12" s="8" t="s">
        <v>20</v>
      </c>
      <c r="C12" s="8" t="s">
        <v>21</v>
      </c>
    </row>
    <row r="13" customFormat="false" ht="23.25" hidden="false" customHeight="true" outlineLevel="0" collapsed="false">
      <c r="A13" s="9" t="s">
        <v>22</v>
      </c>
      <c r="B13" s="9" t="s">
        <v>23</v>
      </c>
      <c r="C13" s="9" t="s">
        <v>24</v>
      </c>
    </row>
    <row r="14" customFormat="false" ht="23.25" hidden="false" customHeight="true" outlineLevel="0" collapsed="false">
      <c r="A14" s="8" t="s">
        <v>25</v>
      </c>
      <c r="B14" s="8" t="s">
        <v>26</v>
      </c>
      <c r="C14" s="8" t="s">
        <v>27</v>
      </c>
    </row>
    <row r="15" customFormat="false" ht="23.25" hidden="false" customHeight="true" outlineLevel="0" collapsed="false">
      <c r="A15" s="9" t="s">
        <v>28</v>
      </c>
      <c r="B15" s="9" t="s">
        <v>29</v>
      </c>
      <c r="C15" s="9" t="s">
        <v>30</v>
      </c>
    </row>
    <row r="16" customFormat="false" ht="23.25" hidden="false" customHeight="true" outlineLevel="0" collapsed="false">
      <c r="A16" s="8" t="s">
        <v>31</v>
      </c>
      <c r="B16" s="8" t="s">
        <v>32</v>
      </c>
      <c r="C16" s="8" t="s">
        <v>33</v>
      </c>
    </row>
    <row r="17" customFormat="false" ht="23.25" hidden="false" customHeight="true" outlineLevel="0" collapsed="false">
      <c r="A17" s="9" t="s">
        <v>34</v>
      </c>
      <c r="B17" s="9" t="s">
        <v>35</v>
      </c>
      <c r="C17" s="9" t="s">
        <v>36</v>
      </c>
    </row>
    <row r="20" customFormat="false" ht="15" hidden="false" customHeight="true" outlineLevel="0" collapsed="false">
      <c r="A20" s="5" t="s">
        <v>37</v>
      </c>
      <c r="B20" s="6"/>
      <c r="C20" s="6"/>
      <c r="D20" s="6"/>
      <c r="E20" s="6"/>
      <c r="F20" s="6"/>
    </row>
    <row r="22" customFormat="false" ht="15" hidden="false" customHeight="true" outlineLevel="0" collapsed="false">
      <c r="A22" s="7" t="s">
        <v>38</v>
      </c>
      <c r="B22" s="7" t="s">
        <v>39</v>
      </c>
      <c r="C22" s="7" t="s">
        <v>40</v>
      </c>
      <c r="D22" s="7" t="s">
        <v>41</v>
      </c>
      <c r="E22" s="7" t="s">
        <v>42</v>
      </c>
      <c r="F22" s="7" t="s">
        <v>43</v>
      </c>
    </row>
    <row r="23" customFormat="false" ht="15" hidden="false" customHeight="true" outlineLevel="0" collapsed="false">
      <c r="A23" s="8" t="n">
        <v>1</v>
      </c>
      <c r="B23" s="8" t="s">
        <v>44</v>
      </c>
      <c r="C23" s="8" t="s">
        <v>45</v>
      </c>
      <c r="D23" s="8" t="s">
        <v>46</v>
      </c>
      <c r="E23" s="8" t="s">
        <v>47</v>
      </c>
      <c r="F23" s="10" t="n">
        <v>78</v>
      </c>
    </row>
    <row r="24" customFormat="false" ht="15" hidden="false" customHeight="true" outlineLevel="0" collapsed="false">
      <c r="A24" s="9" t="n">
        <v>2</v>
      </c>
      <c r="B24" s="9" t="s">
        <v>48</v>
      </c>
      <c r="C24" s="9" t="s">
        <v>49</v>
      </c>
      <c r="D24" s="9" t="s">
        <v>50</v>
      </c>
      <c r="E24" s="9" t="s">
        <v>51</v>
      </c>
      <c r="F24" s="9" t="n">
        <v>72</v>
      </c>
    </row>
    <row r="25" customFormat="false" ht="15" hidden="false" customHeight="true" outlineLevel="0" collapsed="false">
      <c r="A25" s="8" t="n">
        <v>3</v>
      </c>
      <c r="B25" s="8" t="s">
        <v>52</v>
      </c>
      <c r="C25" s="8" t="s">
        <v>53</v>
      </c>
      <c r="D25" s="8" t="s">
        <v>46</v>
      </c>
      <c r="E25" s="8" t="s">
        <v>47</v>
      </c>
      <c r="F25" s="8" t="n">
        <v>70</v>
      </c>
    </row>
    <row r="26" customFormat="false" ht="15" hidden="false" customHeight="true" outlineLevel="0" collapsed="false">
      <c r="A26" s="9" t="n">
        <v>4</v>
      </c>
      <c r="B26" s="9" t="s">
        <v>54</v>
      </c>
      <c r="C26" s="9" t="s">
        <v>55</v>
      </c>
      <c r="D26" s="9" t="s">
        <v>56</v>
      </c>
      <c r="E26" s="9" t="s">
        <v>57</v>
      </c>
      <c r="F26" s="9" t="n">
        <v>68</v>
      </c>
    </row>
    <row r="27" customFormat="false" ht="15" hidden="false" customHeight="true" outlineLevel="0" collapsed="false">
      <c r="A27" s="8" t="n">
        <v>5</v>
      </c>
      <c r="B27" s="8" t="s">
        <v>58</v>
      </c>
      <c r="C27" s="8" t="s">
        <v>59</v>
      </c>
      <c r="D27" s="8" t="s">
        <v>60</v>
      </c>
      <c r="E27" s="8" t="s">
        <v>61</v>
      </c>
      <c r="F27" s="8" t="n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13E"/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  <col collapsed="false" customWidth="true" hidden="false" outlineLevel="0" max="4" min="4" style="1" width="10"/>
    <col collapsed="false" customWidth="true" hidden="false" outlineLevel="0" max="7" min="5" style="1" width="12"/>
    <col collapsed="false" customWidth="true" hidden="false" outlineLevel="0" max="8" min="8" style="1" width="22"/>
    <col collapsed="false" customWidth="true" hidden="false" outlineLevel="0" max="9" min="9" style="1" width="14"/>
    <col collapsed="false" customWidth="true" hidden="false" outlineLevel="0" max="10" min="10" style="1" width="16"/>
  </cols>
  <sheetData>
    <row r="1" customFormat="false" ht="15" hidden="false" customHeight="true" outlineLevel="0" collapsed="false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70</v>
      </c>
      <c r="J1" s="11" t="s">
        <v>71</v>
      </c>
    </row>
    <row r="2" customFormat="false" ht="15" hidden="false" customHeight="true" outlineLevel="0" collapsed="false">
      <c r="A2" s="8" t="s">
        <v>72</v>
      </c>
      <c r="B2" s="8" t="n">
        <v>22200</v>
      </c>
      <c r="C2" s="8" t="n">
        <v>40500</v>
      </c>
      <c r="D2" s="8" t="n">
        <v>0.33</v>
      </c>
      <c r="E2" s="8" t="n">
        <v>1</v>
      </c>
      <c r="F2" s="8" t="s">
        <v>73</v>
      </c>
      <c r="G2" s="8" t="s">
        <v>74</v>
      </c>
      <c r="H2" s="8" t="s">
        <v>75</v>
      </c>
      <c r="I2" s="8" t="s">
        <v>76</v>
      </c>
      <c r="J2" s="8" t="s">
        <v>77</v>
      </c>
    </row>
    <row r="3" customFormat="false" ht="23.25" hidden="false" customHeight="true" outlineLevel="0" collapsed="false">
      <c r="A3" s="9" t="s">
        <v>78</v>
      </c>
      <c r="B3" s="9" t="n">
        <v>14800</v>
      </c>
      <c r="C3" s="9" t="n">
        <v>18100</v>
      </c>
      <c r="D3" s="9" t="n">
        <v>0.34</v>
      </c>
      <c r="E3" s="9" t="n">
        <v>1</v>
      </c>
      <c r="F3" s="9" t="s">
        <v>79</v>
      </c>
      <c r="G3" s="9" t="s">
        <v>80</v>
      </c>
      <c r="H3" s="9" t="s">
        <v>81</v>
      </c>
      <c r="I3" s="9" t="s">
        <v>77</v>
      </c>
      <c r="J3" s="9" t="s">
        <v>82</v>
      </c>
    </row>
    <row r="4" customFormat="false" ht="15" hidden="false" customHeight="true" outlineLevel="0" collapsed="false">
      <c r="A4" s="8" t="s">
        <v>83</v>
      </c>
      <c r="B4" s="8" t="n">
        <v>9900</v>
      </c>
      <c r="C4" s="8" t="n">
        <v>22200</v>
      </c>
      <c r="D4" s="8" t="n">
        <v>0.46</v>
      </c>
      <c r="E4" s="8" t="n">
        <v>1</v>
      </c>
      <c r="F4" s="8" t="s">
        <v>84</v>
      </c>
      <c r="G4" s="8" t="s">
        <v>80</v>
      </c>
      <c r="H4" s="8" t="s">
        <v>85</v>
      </c>
      <c r="I4" s="12" t="s">
        <v>86</v>
      </c>
      <c r="J4" s="8" t="s">
        <v>76</v>
      </c>
    </row>
    <row r="5" customFormat="false" ht="15" hidden="false" customHeight="true" outlineLevel="0" collapsed="false">
      <c r="A5" s="9" t="s">
        <v>87</v>
      </c>
      <c r="B5" s="9" t="n">
        <v>9900</v>
      </c>
      <c r="C5" s="9" t="n">
        <v>14800</v>
      </c>
      <c r="D5" s="9" t="n">
        <v>0.29</v>
      </c>
      <c r="E5" s="9" t="n">
        <v>1</v>
      </c>
      <c r="F5" s="9" t="s">
        <v>88</v>
      </c>
      <c r="G5" s="9" t="s">
        <v>89</v>
      </c>
      <c r="H5" s="9" t="s">
        <v>90</v>
      </c>
      <c r="I5" s="9" t="s">
        <v>76</v>
      </c>
      <c r="J5" s="9" t="s">
        <v>77</v>
      </c>
    </row>
    <row r="6" customFormat="false" ht="15" hidden="false" customHeight="true" outlineLevel="0" collapsed="false">
      <c r="A6" s="8" t="s">
        <v>91</v>
      </c>
      <c r="B6" s="8" t="n">
        <v>6600</v>
      </c>
      <c r="C6" s="8" t="n">
        <v>8100</v>
      </c>
      <c r="D6" s="8" t="n">
        <v>0.37</v>
      </c>
      <c r="E6" s="8" t="n">
        <v>1</v>
      </c>
      <c r="F6" s="8" t="s">
        <v>92</v>
      </c>
      <c r="G6" s="8" t="s">
        <v>89</v>
      </c>
      <c r="H6" s="8" t="s">
        <v>81</v>
      </c>
      <c r="I6" s="8" t="s">
        <v>77</v>
      </c>
      <c r="J6" s="8" t="s">
        <v>76</v>
      </c>
    </row>
    <row r="7" customFormat="false" ht="15" hidden="false" customHeight="true" outlineLevel="0" collapsed="false">
      <c r="A7" s="9" t="s">
        <v>93</v>
      </c>
      <c r="B7" s="9" t="n">
        <v>6600</v>
      </c>
      <c r="C7" s="9" t="n">
        <v>18100</v>
      </c>
      <c r="D7" s="9" t="n">
        <v>0.28</v>
      </c>
      <c r="E7" s="9" t="n">
        <v>1</v>
      </c>
      <c r="F7" s="9" t="s">
        <v>94</v>
      </c>
      <c r="G7" s="9" t="s">
        <v>89</v>
      </c>
      <c r="H7" s="9" t="s">
        <v>95</v>
      </c>
      <c r="I7" s="12" t="s">
        <v>86</v>
      </c>
      <c r="J7" s="9" t="s">
        <v>77</v>
      </c>
    </row>
    <row r="8" customFormat="false" ht="15" hidden="false" customHeight="true" outlineLevel="0" collapsed="false">
      <c r="A8" s="8" t="s">
        <v>96</v>
      </c>
      <c r="B8" s="8" t="n">
        <v>5400</v>
      </c>
      <c r="C8" s="8" t="n">
        <v>9900</v>
      </c>
      <c r="D8" s="8" t="n">
        <v>0.37</v>
      </c>
      <c r="E8" s="8" t="n">
        <v>1</v>
      </c>
      <c r="F8" s="8" t="s">
        <v>88</v>
      </c>
      <c r="G8" s="8" t="s">
        <v>80</v>
      </c>
      <c r="H8" s="8" t="s">
        <v>97</v>
      </c>
      <c r="I8" s="12" t="s">
        <v>86</v>
      </c>
      <c r="J8" s="8" t="s">
        <v>76</v>
      </c>
    </row>
    <row r="9" customFormat="false" ht="15" hidden="false" customHeight="true" outlineLevel="0" collapsed="false">
      <c r="A9" s="9" t="s">
        <v>98</v>
      </c>
      <c r="B9" s="9" t="n">
        <v>3600</v>
      </c>
      <c r="C9" s="9" t="n">
        <v>5400</v>
      </c>
      <c r="D9" s="9" t="n">
        <v>0.45</v>
      </c>
      <c r="E9" s="9" t="n">
        <v>1</v>
      </c>
      <c r="F9" s="9" t="s">
        <v>73</v>
      </c>
      <c r="G9" s="9" t="s">
        <v>99</v>
      </c>
      <c r="H9" s="9" t="s">
        <v>100</v>
      </c>
      <c r="I9" s="12" t="s">
        <v>86</v>
      </c>
      <c r="J9" s="9" t="s">
        <v>76</v>
      </c>
    </row>
    <row r="10" customFormat="false" ht="15" hidden="false" customHeight="true" outlineLevel="0" collapsed="false">
      <c r="A10" s="8" t="s">
        <v>101</v>
      </c>
      <c r="B10" s="8" t="n">
        <v>3600</v>
      </c>
      <c r="C10" s="8" t="n">
        <v>4400</v>
      </c>
      <c r="D10" s="8" t="n">
        <v>0.56</v>
      </c>
      <c r="E10" s="8" t="n">
        <v>1</v>
      </c>
      <c r="F10" s="8" t="s">
        <v>73</v>
      </c>
      <c r="G10" s="8" t="s">
        <v>102</v>
      </c>
      <c r="H10" s="8" t="s">
        <v>103</v>
      </c>
      <c r="I10" s="8" t="s">
        <v>76</v>
      </c>
      <c r="J10" s="8" t="s">
        <v>76</v>
      </c>
    </row>
    <row r="11" customFormat="false" ht="15" hidden="false" customHeight="true" outlineLevel="0" collapsed="false">
      <c r="A11" s="9" t="s">
        <v>104</v>
      </c>
      <c r="B11" s="9" t="n">
        <v>2900</v>
      </c>
      <c r="C11" s="9" t="n">
        <v>3600</v>
      </c>
      <c r="D11" s="9" t="n">
        <v>0.47</v>
      </c>
      <c r="E11" s="9" t="n">
        <v>1</v>
      </c>
      <c r="F11" s="9" t="s">
        <v>84</v>
      </c>
      <c r="G11" s="9" t="s">
        <v>80</v>
      </c>
      <c r="H11" s="9" t="s">
        <v>85</v>
      </c>
      <c r="I11" s="12" t="s">
        <v>86</v>
      </c>
      <c r="J11" s="9" t="s">
        <v>77</v>
      </c>
    </row>
    <row r="12" customFormat="false" ht="15" hidden="false" customHeight="true" outlineLevel="0" collapsed="false">
      <c r="A12" s="8" t="s">
        <v>105</v>
      </c>
      <c r="B12" s="8" t="n">
        <v>2400</v>
      </c>
      <c r="C12" s="8" t="n">
        <v>5400</v>
      </c>
      <c r="D12" s="8" t="n">
        <v>0.4</v>
      </c>
      <c r="E12" s="8" t="n">
        <v>1</v>
      </c>
      <c r="F12" s="8" t="s">
        <v>106</v>
      </c>
      <c r="G12" s="8" t="s">
        <v>80</v>
      </c>
      <c r="H12" s="8" t="s">
        <v>107</v>
      </c>
      <c r="I12" s="12" t="s">
        <v>86</v>
      </c>
      <c r="J12" s="8" t="s">
        <v>76</v>
      </c>
    </row>
    <row r="13" customFormat="false" ht="15" hidden="false" customHeight="true" outlineLevel="0" collapsed="false">
      <c r="A13" s="9" t="s">
        <v>108</v>
      </c>
      <c r="B13" s="9" t="n">
        <v>2400</v>
      </c>
      <c r="C13" s="9" t="n">
        <v>5400</v>
      </c>
      <c r="D13" s="9" t="n">
        <v>0.4</v>
      </c>
      <c r="E13" s="9" t="n">
        <v>1</v>
      </c>
      <c r="F13" s="9" t="s">
        <v>106</v>
      </c>
      <c r="G13" s="9" t="s">
        <v>80</v>
      </c>
      <c r="H13" s="9" t="s">
        <v>107</v>
      </c>
      <c r="I13" s="12" t="s">
        <v>86</v>
      </c>
      <c r="J13" s="9" t="s">
        <v>76</v>
      </c>
    </row>
    <row r="14" customFormat="false" ht="15" hidden="false" customHeight="true" outlineLevel="0" collapsed="false">
      <c r="A14" s="8" t="s">
        <v>109</v>
      </c>
      <c r="B14" s="8" t="n">
        <v>1900</v>
      </c>
      <c r="C14" s="8" t="n">
        <v>3600</v>
      </c>
      <c r="D14" s="8" t="n">
        <v>0.42</v>
      </c>
      <c r="E14" s="8" t="n">
        <v>0.99</v>
      </c>
      <c r="F14" s="8" t="s">
        <v>110</v>
      </c>
      <c r="G14" s="8" t="s">
        <v>73</v>
      </c>
      <c r="H14" s="8" t="s">
        <v>95</v>
      </c>
      <c r="I14" s="12" t="s">
        <v>86</v>
      </c>
      <c r="J14" s="8" t="s">
        <v>76</v>
      </c>
    </row>
    <row r="15" customFormat="false" ht="15" hidden="false" customHeight="true" outlineLevel="0" collapsed="false">
      <c r="A15" s="9" t="s">
        <v>111</v>
      </c>
      <c r="B15" s="9" t="n">
        <v>1900</v>
      </c>
      <c r="C15" s="9" t="n">
        <v>2400</v>
      </c>
      <c r="D15" s="9" t="n">
        <v>0.3</v>
      </c>
      <c r="E15" s="9" t="n">
        <v>1</v>
      </c>
      <c r="F15" s="9" t="s">
        <v>80</v>
      </c>
      <c r="G15" s="9" t="s">
        <v>112</v>
      </c>
      <c r="H15" s="9" t="s">
        <v>95</v>
      </c>
      <c r="I15" s="9" t="s">
        <v>77</v>
      </c>
      <c r="J15" s="9" t="s">
        <v>76</v>
      </c>
    </row>
    <row r="16" customFormat="false" ht="15" hidden="false" customHeight="true" outlineLevel="0" collapsed="false">
      <c r="A16" s="8" t="s">
        <v>113</v>
      </c>
      <c r="B16" s="8" t="n">
        <v>1600</v>
      </c>
      <c r="C16" s="8" t="n">
        <v>1900</v>
      </c>
      <c r="D16" s="8" t="n">
        <v>0.37</v>
      </c>
      <c r="E16" s="8" t="n">
        <v>1</v>
      </c>
      <c r="F16" s="8" t="s">
        <v>84</v>
      </c>
      <c r="G16" s="8" t="s">
        <v>114</v>
      </c>
      <c r="H16" s="8" t="s">
        <v>115</v>
      </c>
      <c r="I16" s="12" t="s">
        <v>86</v>
      </c>
      <c r="J16" s="8" t="s">
        <v>77</v>
      </c>
    </row>
    <row r="17" customFormat="false" ht="15" hidden="false" customHeight="true" outlineLevel="0" collapsed="false">
      <c r="A17" s="9" t="s">
        <v>116</v>
      </c>
      <c r="B17" s="9" t="n">
        <v>1300</v>
      </c>
      <c r="C17" s="9" t="n">
        <v>2400</v>
      </c>
      <c r="D17" s="9" t="n">
        <v>0.32</v>
      </c>
      <c r="E17" s="9" t="n">
        <v>1</v>
      </c>
      <c r="F17" s="9" t="s">
        <v>88</v>
      </c>
      <c r="G17" s="9" t="s">
        <v>79</v>
      </c>
      <c r="H17" s="9" t="s">
        <v>117</v>
      </c>
      <c r="I17" s="12" t="s">
        <v>86</v>
      </c>
      <c r="J17" s="9" t="s">
        <v>77</v>
      </c>
    </row>
    <row r="18" customFormat="false" ht="15" hidden="false" customHeight="true" outlineLevel="0" collapsed="false">
      <c r="A18" s="8" t="s">
        <v>118</v>
      </c>
      <c r="B18" s="8" t="n">
        <v>1300</v>
      </c>
      <c r="C18" s="8" t="n">
        <v>1600</v>
      </c>
      <c r="D18" s="8" t="n">
        <v>0.41</v>
      </c>
      <c r="E18" s="8" t="n">
        <v>1</v>
      </c>
      <c r="F18" s="8" t="s">
        <v>119</v>
      </c>
      <c r="G18" s="8" t="s">
        <v>114</v>
      </c>
      <c r="H18" s="8" t="s">
        <v>85</v>
      </c>
      <c r="I18" s="12" t="s">
        <v>86</v>
      </c>
      <c r="J18" s="8" t="s">
        <v>76</v>
      </c>
    </row>
    <row r="19" customFormat="false" ht="15" hidden="false" customHeight="true" outlineLevel="0" collapsed="false">
      <c r="A19" s="9" t="s">
        <v>120</v>
      </c>
      <c r="B19" s="9" t="n">
        <v>880</v>
      </c>
      <c r="C19" s="9" t="n">
        <v>1300</v>
      </c>
      <c r="D19" s="9" t="n">
        <v>0.28</v>
      </c>
      <c r="E19" s="9" t="n">
        <v>1</v>
      </c>
      <c r="F19" s="9" t="s">
        <v>99</v>
      </c>
      <c r="G19" s="9" t="s">
        <v>89</v>
      </c>
      <c r="H19" s="9" t="s">
        <v>121</v>
      </c>
      <c r="I19" s="10" t="s">
        <v>122</v>
      </c>
      <c r="J19" s="9" t="s">
        <v>76</v>
      </c>
    </row>
    <row r="20" customFormat="false" ht="15" hidden="false" customHeight="true" outlineLevel="0" collapsed="false">
      <c r="A20" s="8" t="s">
        <v>123</v>
      </c>
      <c r="B20" s="8" t="n">
        <v>880</v>
      </c>
      <c r="C20" s="8" t="n">
        <v>1300</v>
      </c>
      <c r="D20" s="8" t="n">
        <v>0.43</v>
      </c>
      <c r="E20" s="8" t="n">
        <v>0.99</v>
      </c>
      <c r="F20" s="8" t="s">
        <v>124</v>
      </c>
      <c r="G20" s="8" t="s">
        <v>80</v>
      </c>
      <c r="H20" s="8" t="s">
        <v>125</v>
      </c>
      <c r="I20" s="12" t="s">
        <v>86</v>
      </c>
      <c r="J20" s="8" t="s">
        <v>76</v>
      </c>
    </row>
    <row r="21" customFormat="false" ht="15" hidden="false" customHeight="true" outlineLevel="0" collapsed="false">
      <c r="A21" s="9" t="s">
        <v>126</v>
      </c>
      <c r="B21" s="9" t="n">
        <v>880</v>
      </c>
      <c r="C21" s="9" t="n">
        <v>1000</v>
      </c>
      <c r="D21" s="9" t="n">
        <v>0.57</v>
      </c>
      <c r="E21" s="9" t="n">
        <v>1</v>
      </c>
      <c r="F21" s="9" t="s">
        <v>127</v>
      </c>
      <c r="G21" s="9" t="s">
        <v>73</v>
      </c>
      <c r="H21" s="9" t="s">
        <v>128</v>
      </c>
      <c r="I21" s="12" t="s">
        <v>86</v>
      </c>
      <c r="J21" s="9" t="s">
        <v>76</v>
      </c>
    </row>
    <row r="22" customFormat="false" ht="15" hidden="false" customHeight="true" outlineLevel="0" collapsed="false">
      <c r="A22" s="8" t="s">
        <v>129</v>
      </c>
      <c r="B22" s="8" t="n">
        <v>720</v>
      </c>
      <c r="C22" s="8" t="n">
        <v>880</v>
      </c>
      <c r="D22" s="8" t="n">
        <v>0.51</v>
      </c>
      <c r="E22" s="8" t="n">
        <v>1</v>
      </c>
      <c r="F22" s="8" t="s">
        <v>130</v>
      </c>
      <c r="G22" s="8" t="s">
        <v>92</v>
      </c>
      <c r="H22" s="8" t="s">
        <v>131</v>
      </c>
      <c r="I22" s="12" t="s">
        <v>86</v>
      </c>
      <c r="J22" s="8" t="s">
        <v>76</v>
      </c>
    </row>
    <row r="23" customFormat="false" ht="15" hidden="false" customHeight="true" outlineLevel="0" collapsed="false">
      <c r="A23" s="9" t="s">
        <v>132</v>
      </c>
      <c r="B23" s="9" t="n">
        <v>720</v>
      </c>
      <c r="C23" s="9" t="n">
        <v>1600</v>
      </c>
      <c r="D23" s="9" t="n">
        <v>0.38</v>
      </c>
      <c r="E23" s="9" t="n">
        <v>1</v>
      </c>
      <c r="F23" s="9" t="s">
        <v>88</v>
      </c>
      <c r="G23" s="9" t="s">
        <v>80</v>
      </c>
      <c r="H23" s="9" t="s">
        <v>133</v>
      </c>
      <c r="I23" s="12" t="s">
        <v>86</v>
      </c>
      <c r="J23" s="9" t="s">
        <v>76</v>
      </c>
    </row>
    <row r="24" customFormat="false" ht="15" hidden="false" customHeight="true" outlineLevel="0" collapsed="false">
      <c r="A24" s="8" t="s">
        <v>134</v>
      </c>
      <c r="B24" s="8" t="n">
        <v>590</v>
      </c>
      <c r="C24" s="8" t="n">
        <v>720</v>
      </c>
      <c r="D24" s="8" t="n">
        <v>0.34</v>
      </c>
      <c r="E24" s="8" t="n">
        <v>1</v>
      </c>
      <c r="F24" s="8" t="s">
        <v>135</v>
      </c>
      <c r="G24" s="8" t="s">
        <v>112</v>
      </c>
      <c r="H24" s="8" t="s">
        <v>95</v>
      </c>
      <c r="I24" s="8" t="s">
        <v>76</v>
      </c>
      <c r="J24" s="8" t="s">
        <v>76</v>
      </c>
    </row>
    <row r="25" customFormat="false" ht="15" hidden="false" customHeight="true" outlineLevel="0" collapsed="false">
      <c r="A25" s="9" t="s">
        <v>136</v>
      </c>
      <c r="B25" s="9" t="n">
        <v>390</v>
      </c>
      <c r="C25" s="9" t="n">
        <v>480</v>
      </c>
      <c r="D25" s="9" t="n">
        <v>0.53</v>
      </c>
      <c r="E25" s="9" t="n">
        <v>0.96</v>
      </c>
      <c r="F25" s="9" t="s">
        <v>137</v>
      </c>
      <c r="G25" s="9" t="s">
        <v>102</v>
      </c>
      <c r="H25" s="9" t="s">
        <v>95</v>
      </c>
      <c r="I25" s="12" t="s">
        <v>86</v>
      </c>
      <c r="J25" s="9" t="s">
        <v>76</v>
      </c>
    </row>
    <row r="26" customFormat="false" ht="15" hidden="false" customHeight="true" outlineLevel="0" collapsed="false">
      <c r="A26" s="8" t="s">
        <v>138</v>
      </c>
      <c r="B26" s="8" t="n">
        <v>260</v>
      </c>
      <c r="C26" s="8" t="n">
        <v>390</v>
      </c>
      <c r="D26" s="8" t="n">
        <v>0.81</v>
      </c>
      <c r="E26" s="8" t="n">
        <v>0.99</v>
      </c>
      <c r="F26" s="8" t="s">
        <v>73</v>
      </c>
      <c r="G26" s="8" t="s">
        <v>89</v>
      </c>
      <c r="H26" s="8" t="s">
        <v>95</v>
      </c>
      <c r="I26" s="12" t="s">
        <v>86</v>
      </c>
      <c r="J26" s="8" t="s">
        <v>76</v>
      </c>
    </row>
    <row r="27" customFormat="false" ht="15" hidden="false" customHeight="true" outlineLevel="0" collapsed="false">
      <c r="A27" s="9" t="s">
        <v>139</v>
      </c>
      <c r="B27" s="9" t="n">
        <v>260</v>
      </c>
      <c r="C27" s="9" t="n">
        <v>390</v>
      </c>
      <c r="D27" s="9" t="n">
        <v>0</v>
      </c>
      <c r="E27" s="9" t="n">
        <v>1</v>
      </c>
      <c r="F27" s="9" t="s">
        <v>140</v>
      </c>
      <c r="G27" s="9" t="s">
        <v>110</v>
      </c>
      <c r="H27" s="9" t="s">
        <v>141</v>
      </c>
      <c r="I27" s="12" t="s">
        <v>86</v>
      </c>
      <c r="J27" s="9" t="s">
        <v>76</v>
      </c>
    </row>
    <row r="28" customFormat="false" ht="15" hidden="false" customHeight="true" outlineLevel="0" collapsed="false">
      <c r="A28" s="8" t="s">
        <v>142</v>
      </c>
      <c r="B28" s="8" t="n">
        <v>260</v>
      </c>
      <c r="C28" s="8" t="n">
        <v>390</v>
      </c>
      <c r="D28" s="8" t="n">
        <v>0.17</v>
      </c>
      <c r="E28" s="8" t="n">
        <v>0.95</v>
      </c>
      <c r="F28" s="8" t="s">
        <v>143</v>
      </c>
      <c r="G28" s="8" t="s">
        <v>144</v>
      </c>
      <c r="H28" s="8" t="s">
        <v>145</v>
      </c>
      <c r="I28" s="12" t="s">
        <v>86</v>
      </c>
      <c r="J28" s="8" t="s">
        <v>77</v>
      </c>
    </row>
    <row r="29" customFormat="false" ht="15" hidden="false" customHeight="true" outlineLevel="0" collapsed="false">
      <c r="A29" s="9" t="s">
        <v>146</v>
      </c>
      <c r="B29" s="9" t="n">
        <v>210</v>
      </c>
      <c r="C29" s="9" t="n">
        <v>320</v>
      </c>
      <c r="D29" s="9" t="n">
        <v>0.47</v>
      </c>
      <c r="E29" s="9" t="n">
        <v>0.98</v>
      </c>
      <c r="F29" s="9" t="s">
        <v>147</v>
      </c>
      <c r="G29" s="9" t="s">
        <v>89</v>
      </c>
      <c r="H29" s="9" t="s">
        <v>115</v>
      </c>
      <c r="I29" s="9" t="s">
        <v>76</v>
      </c>
      <c r="J29" s="9" t="s">
        <v>76</v>
      </c>
    </row>
    <row r="30" customFormat="false" ht="15" hidden="false" customHeight="true" outlineLevel="0" collapsed="false">
      <c r="A30" s="8" t="s">
        <v>148</v>
      </c>
      <c r="B30" s="8" t="n">
        <v>210</v>
      </c>
      <c r="C30" s="8" t="n">
        <v>260</v>
      </c>
      <c r="D30" s="8" t="n">
        <v>0.44</v>
      </c>
      <c r="E30" s="8" t="n">
        <v>0.99</v>
      </c>
      <c r="F30" s="8" t="s">
        <v>124</v>
      </c>
      <c r="G30" s="8" t="s">
        <v>79</v>
      </c>
      <c r="H30" s="8" t="s">
        <v>107</v>
      </c>
      <c r="I30" s="12" t="s">
        <v>86</v>
      </c>
      <c r="J30" s="8" t="s">
        <v>76</v>
      </c>
    </row>
    <row r="31" customFormat="false" ht="15" hidden="false" customHeight="true" outlineLevel="0" collapsed="false">
      <c r="A31" s="9" t="s">
        <v>149</v>
      </c>
      <c r="B31" s="9" t="n">
        <v>210</v>
      </c>
      <c r="C31" s="9" t="n">
        <v>320</v>
      </c>
      <c r="D31" s="9" t="n">
        <v>0.23</v>
      </c>
      <c r="E31" s="9" t="n">
        <v>1</v>
      </c>
      <c r="F31" s="9" t="s">
        <v>88</v>
      </c>
      <c r="G31" s="9" t="s">
        <v>80</v>
      </c>
      <c r="H31" s="9" t="s">
        <v>150</v>
      </c>
      <c r="I31" s="12" t="s">
        <v>86</v>
      </c>
      <c r="J31" s="9" t="s">
        <v>76</v>
      </c>
    </row>
    <row r="32" customFormat="false" ht="15" hidden="false" customHeight="true" outlineLevel="0" collapsed="false">
      <c r="A32" s="8" t="s">
        <v>151</v>
      </c>
      <c r="B32" s="8" t="n">
        <v>210</v>
      </c>
      <c r="C32" s="8" t="n">
        <v>260</v>
      </c>
      <c r="D32" s="8" t="n">
        <v>0.37</v>
      </c>
      <c r="E32" s="8" t="n">
        <v>1</v>
      </c>
      <c r="F32" s="8" t="s">
        <v>152</v>
      </c>
      <c r="G32" s="8" t="s">
        <v>140</v>
      </c>
      <c r="H32" s="8" t="s">
        <v>141</v>
      </c>
      <c r="I32" s="8" t="s">
        <v>76</v>
      </c>
      <c r="J32" s="8" t="s">
        <v>76</v>
      </c>
    </row>
    <row r="33" customFormat="false" ht="15" hidden="false" customHeight="true" outlineLevel="0" collapsed="false">
      <c r="A33" s="9" t="s">
        <v>153</v>
      </c>
      <c r="B33" s="9" t="n">
        <v>170</v>
      </c>
      <c r="C33" s="9" t="n">
        <v>210</v>
      </c>
      <c r="D33" s="9" t="n">
        <v>0.26</v>
      </c>
      <c r="E33" s="9" t="n">
        <v>1</v>
      </c>
      <c r="F33" s="9" t="s">
        <v>154</v>
      </c>
      <c r="G33" s="9" t="s">
        <v>74</v>
      </c>
      <c r="H33" s="9" t="s">
        <v>95</v>
      </c>
      <c r="I33" s="9" t="s">
        <v>76</v>
      </c>
      <c r="J33" s="9" t="s">
        <v>76</v>
      </c>
    </row>
    <row r="34" customFormat="false" ht="15" hidden="false" customHeight="true" outlineLevel="0" collapsed="false">
      <c r="A34" s="8" t="s">
        <v>155</v>
      </c>
      <c r="B34" s="8" t="n">
        <v>170</v>
      </c>
      <c r="C34" s="8" t="n">
        <v>260</v>
      </c>
      <c r="D34" s="8" t="n">
        <v>0.63</v>
      </c>
      <c r="E34" s="8" t="n">
        <v>1</v>
      </c>
      <c r="F34" s="8" t="s">
        <v>84</v>
      </c>
      <c r="G34" s="8" t="s">
        <v>80</v>
      </c>
      <c r="H34" s="8" t="s">
        <v>85</v>
      </c>
      <c r="I34" s="8" t="s">
        <v>77</v>
      </c>
      <c r="J34" s="8" t="s">
        <v>86</v>
      </c>
    </row>
    <row r="35" customFormat="false" ht="15" hidden="false" customHeight="true" outlineLevel="0" collapsed="false">
      <c r="A35" s="9" t="s">
        <v>156</v>
      </c>
      <c r="B35" s="9" t="n">
        <v>170</v>
      </c>
      <c r="C35" s="9" t="n">
        <v>260</v>
      </c>
      <c r="D35" s="9" t="n">
        <v>0.63</v>
      </c>
      <c r="E35" s="9" t="n">
        <v>1</v>
      </c>
      <c r="F35" s="9" t="s">
        <v>157</v>
      </c>
      <c r="G35" s="9" t="s">
        <v>89</v>
      </c>
      <c r="H35" s="9" t="s">
        <v>81</v>
      </c>
      <c r="I35" s="9" t="s">
        <v>77</v>
      </c>
      <c r="J35" s="9" t="s">
        <v>86</v>
      </c>
    </row>
    <row r="36" customFormat="false" ht="15" hidden="false" customHeight="true" outlineLevel="0" collapsed="false">
      <c r="A36" s="8" t="s">
        <v>158</v>
      </c>
      <c r="B36" s="8" t="n">
        <v>170</v>
      </c>
      <c r="C36" s="8" t="n">
        <v>260</v>
      </c>
      <c r="D36" s="8" t="n">
        <v>0.21</v>
      </c>
      <c r="E36" s="8" t="n">
        <v>0.4</v>
      </c>
      <c r="F36" s="8" t="s">
        <v>159</v>
      </c>
      <c r="G36" s="8" t="s">
        <v>73</v>
      </c>
      <c r="H36" s="8" t="s">
        <v>160</v>
      </c>
      <c r="I36" s="8" t="s">
        <v>76</v>
      </c>
      <c r="J36" s="8" t="s">
        <v>76</v>
      </c>
    </row>
    <row r="37" customFormat="false" ht="15" hidden="false" customHeight="true" outlineLevel="0" collapsed="false">
      <c r="A37" s="9" t="s">
        <v>161</v>
      </c>
      <c r="B37" s="9" t="n">
        <v>170</v>
      </c>
      <c r="C37" s="9" t="n">
        <v>210</v>
      </c>
      <c r="D37" s="9" t="n">
        <v>0.28</v>
      </c>
      <c r="E37" s="9" t="n">
        <v>1</v>
      </c>
      <c r="F37" s="9" t="s">
        <v>162</v>
      </c>
      <c r="G37" s="9" t="s">
        <v>80</v>
      </c>
      <c r="H37" s="9" t="s">
        <v>121</v>
      </c>
      <c r="I37" s="12" t="s">
        <v>86</v>
      </c>
      <c r="J37" s="9" t="s">
        <v>77</v>
      </c>
    </row>
    <row r="38" customFormat="false" ht="15" hidden="false" customHeight="true" outlineLevel="0" collapsed="false">
      <c r="A38" s="8" t="s">
        <v>163</v>
      </c>
      <c r="B38" s="8" t="n">
        <v>170</v>
      </c>
      <c r="C38" s="8" t="n">
        <v>260</v>
      </c>
      <c r="D38" s="8" t="n">
        <v>0.58</v>
      </c>
      <c r="E38" s="8" t="n">
        <v>1</v>
      </c>
      <c r="F38" s="8" t="s">
        <v>164</v>
      </c>
      <c r="G38" s="8" t="s">
        <v>73</v>
      </c>
      <c r="H38" s="8" t="s">
        <v>107</v>
      </c>
      <c r="I38" s="12" t="s">
        <v>86</v>
      </c>
      <c r="J38" s="8" t="s">
        <v>76</v>
      </c>
    </row>
    <row r="39" customFormat="false" ht="23.25" hidden="false" customHeight="true" outlineLevel="0" collapsed="false">
      <c r="A39" s="9" t="s">
        <v>165</v>
      </c>
      <c r="B39" s="9" t="n">
        <v>140</v>
      </c>
      <c r="C39" s="9" t="n">
        <v>210</v>
      </c>
      <c r="D39" s="9" t="n">
        <v>0.42</v>
      </c>
      <c r="E39" s="9" t="n">
        <v>1</v>
      </c>
      <c r="F39" s="9" t="s">
        <v>166</v>
      </c>
      <c r="G39" s="9" t="s">
        <v>89</v>
      </c>
      <c r="H39" s="9" t="s">
        <v>95</v>
      </c>
      <c r="I39" s="10" t="s">
        <v>122</v>
      </c>
      <c r="J39" s="9" t="s">
        <v>76</v>
      </c>
    </row>
    <row r="40" customFormat="false" ht="15" hidden="false" customHeight="true" outlineLevel="0" collapsed="false">
      <c r="A40" s="8" t="s">
        <v>167</v>
      </c>
      <c r="B40" s="8" t="n">
        <v>140</v>
      </c>
      <c r="C40" s="8" t="n">
        <v>210</v>
      </c>
      <c r="D40" s="8" t="n">
        <v>0.91</v>
      </c>
      <c r="E40" s="8" t="n">
        <v>1</v>
      </c>
      <c r="F40" s="8" t="s">
        <v>73</v>
      </c>
      <c r="G40" s="8" t="s">
        <v>79</v>
      </c>
      <c r="H40" s="8" t="s">
        <v>168</v>
      </c>
      <c r="I40" s="8" t="s">
        <v>76</v>
      </c>
      <c r="J40" s="8" t="s">
        <v>76</v>
      </c>
    </row>
    <row r="41" customFormat="false" ht="15" hidden="false" customHeight="true" outlineLevel="0" collapsed="false">
      <c r="A41" s="9" t="s">
        <v>169</v>
      </c>
      <c r="B41" s="9" t="n">
        <v>140</v>
      </c>
      <c r="C41" s="9" t="n">
        <v>170</v>
      </c>
      <c r="D41" s="9" t="n">
        <v>0</v>
      </c>
      <c r="E41" s="9" t="n">
        <v>0.76</v>
      </c>
      <c r="F41" s="9" t="s">
        <v>170</v>
      </c>
      <c r="G41" s="9" t="s">
        <v>102</v>
      </c>
      <c r="H41" s="9" t="s">
        <v>121</v>
      </c>
      <c r="I41" s="12" t="s">
        <v>86</v>
      </c>
      <c r="J41" s="9" t="s">
        <v>76</v>
      </c>
    </row>
    <row r="42" customFormat="false" ht="15" hidden="false" customHeight="true" outlineLevel="0" collapsed="false">
      <c r="A42" s="8" t="s">
        <v>171</v>
      </c>
      <c r="B42" s="8" t="n">
        <v>110</v>
      </c>
      <c r="C42" s="8" t="n">
        <v>170</v>
      </c>
      <c r="D42" s="8" t="n">
        <v>0.54</v>
      </c>
      <c r="E42" s="8" t="n">
        <v>1</v>
      </c>
      <c r="F42" s="8" t="s">
        <v>172</v>
      </c>
      <c r="G42" s="8" t="s">
        <v>140</v>
      </c>
      <c r="H42" s="8" t="s">
        <v>95</v>
      </c>
      <c r="I42" s="12" t="s">
        <v>86</v>
      </c>
      <c r="J42" s="8" t="s">
        <v>86</v>
      </c>
    </row>
    <row r="43" customFormat="false" ht="15" hidden="false" customHeight="true" outlineLevel="0" collapsed="false">
      <c r="A43" s="9" t="s">
        <v>173</v>
      </c>
      <c r="B43" s="9" t="n">
        <v>110</v>
      </c>
      <c r="C43" s="9" t="n">
        <v>170</v>
      </c>
      <c r="D43" s="9" t="n">
        <v>0</v>
      </c>
      <c r="E43" s="9" t="n">
        <v>1</v>
      </c>
      <c r="F43" s="9" t="s">
        <v>174</v>
      </c>
      <c r="G43" s="9" t="s">
        <v>102</v>
      </c>
      <c r="H43" s="9" t="s">
        <v>81</v>
      </c>
      <c r="I43" s="9" t="s">
        <v>76</v>
      </c>
      <c r="J43" s="9" t="s">
        <v>76</v>
      </c>
    </row>
    <row r="44" customFormat="false" ht="15" hidden="false" customHeight="true" outlineLevel="0" collapsed="false">
      <c r="A44" s="8" t="s">
        <v>175</v>
      </c>
      <c r="B44" s="8" t="n">
        <v>50</v>
      </c>
      <c r="C44" s="8" t="n">
        <v>90</v>
      </c>
      <c r="D44" s="8" t="n">
        <v>0</v>
      </c>
      <c r="E44" s="8" t="n">
        <v>1</v>
      </c>
      <c r="F44" s="8" t="s">
        <v>84</v>
      </c>
      <c r="G44" s="8" t="s">
        <v>176</v>
      </c>
      <c r="H44" s="8" t="s">
        <v>81</v>
      </c>
      <c r="I44" s="12" t="s">
        <v>86</v>
      </c>
      <c r="J44" s="8" t="s">
        <v>76</v>
      </c>
    </row>
    <row r="45" customFormat="false" ht="15" hidden="false" customHeight="true" outlineLevel="0" collapsed="false">
      <c r="A45" s="9" t="s">
        <v>177</v>
      </c>
      <c r="B45" s="9" t="n">
        <v>50</v>
      </c>
      <c r="C45" s="9" t="n">
        <v>110</v>
      </c>
      <c r="D45" s="9" t="n">
        <v>0</v>
      </c>
      <c r="E45" s="9" t="n">
        <v>1</v>
      </c>
      <c r="F45" s="9" t="s">
        <v>84</v>
      </c>
      <c r="G45" s="9" t="s">
        <v>178</v>
      </c>
      <c r="H45" s="9" t="s">
        <v>128</v>
      </c>
      <c r="I45" s="9" t="s">
        <v>77</v>
      </c>
      <c r="J45" s="9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8" min="7" style="1" width="14"/>
    <col collapsed="false" customWidth="true" hidden="false" outlineLevel="0" max="9" min="9" style="1" width="10"/>
    <col collapsed="false" customWidth="true" hidden="false" outlineLevel="0" max="10" min="10" style="1" width="16"/>
    <col collapsed="false" customWidth="true" hidden="false" outlineLevel="0" max="11" min="11" style="1" width="12"/>
    <col collapsed="false" customWidth="true" hidden="false" outlineLevel="0" max="12" min="12" style="1" width="14"/>
  </cols>
  <sheetData>
    <row r="1" customFormat="false" ht="23.25" hidden="false" customHeight="true" outlineLevel="0" collapsed="false">
      <c r="A1" s="11" t="s">
        <v>179</v>
      </c>
      <c r="B1" s="11" t="s">
        <v>180</v>
      </c>
      <c r="C1" s="11" t="s">
        <v>181</v>
      </c>
      <c r="D1" s="11" t="s">
        <v>182</v>
      </c>
      <c r="E1" s="11" t="s">
        <v>183</v>
      </c>
      <c r="F1" s="11" t="s">
        <v>184</v>
      </c>
      <c r="G1" s="11" t="s">
        <v>185</v>
      </c>
      <c r="H1" s="11" t="s">
        <v>186</v>
      </c>
      <c r="I1" s="11" t="s">
        <v>187</v>
      </c>
      <c r="J1" s="11" t="s">
        <v>188</v>
      </c>
      <c r="K1" s="11" t="s">
        <v>189</v>
      </c>
      <c r="L1" s="11" t="s">
        <v>190</v>
      </c>
    </row>
    <row r="2" customFormat="false" ht="15" hidden="false" customHeight="true" outlineLevel="0" collapsed="false">
      <c r="A2" s="8" t="s">
        <v>191</v>
      </c>
      <c r="B2" s="8" t="s">
        <v>192</v>
      </c>
      <c r="C2" s="13" t="n">
        <v>12.12</v>
      </c>
      <c r="D2" s="13" t="n">
        <v>5.5</v>
      </c>
      <c r="E2" s="14" t="n">
        <f aca="false">C2+D2</f>
        <v>17.62</v>
      </c>
      <c r="F2" s="13" t="n">
        <v>34.99</v>
      </c>
      <c r="G2" s="14" t="n">
        <f aca="false">F2*0.13</f>
        <v>4.5487</v>
      </c>
      <c r="H2" s="14" t="n">
        <f aca="false">F2-E2-G2</f>
        <v>12.8213</v>
      </c>
      <c r="I2" s="15" t="n">
        <f aca="false">H2/F2</f>
        <v>0.36642755072878</v>
      </c>
      <c r="J2" s="8" t="n">
        <f aca="false">IF(H2&gt;0,ROUND(10000/H2,0),"N/A")</f>
        <v>780</v>
      </c>
      <c r="K2" s="8" t="s">
        <v>193</v>
      </c>
      <c r="L2" s="8" t="s">
        <v>194</v>
      </c>
    </row>
    <row r="3" customFormat="false" ht="15" hidden="false" customHeight="true" outlineLevel="0" collapsed="false">
      <c r="A3" s="9" t="s">
        <v>195</v>
      </c>
      <c r="B3" s="9" t="s">
        <v>192</v>
      </c>
      <c r="C3" s="16" t="n">
        <v>16.8</v>
      </c>
      <c r="D3" s="16" t="n">
        <v>5.5</v>
      </c>
      <c r="E3" s="17" t="n">
        <f aca="false">C3+D3</f>
        <v>22.3</v>
      </c>
      <c r="F3" s="16" t="n">
        <v>44.99</v>
      </c>
      <c r="G3" s="17" t="n">
        <f aca="false">F3*0.13</f>
        <v>5.8487</v>
      </c>
      <c r="H3" s="17" t="n">
        <f aca="false">F3-E3-G3</f>
        <v>16.8413</v>
      </c>
      <c r="I3" s="18" t="n">
        <f aca="false">H3/F3</f>
        <v>0.374334296510336</v>
      </c>
      <c r="J3" s="9" t="n">
        <f aca="false">IF(H3&gt;0,ROUND(10000/H3,0),"N/A")</f>
        <v>594</v>
      </c>
      <c r="K3" s="9" t="s">
        <v>193</v>
      </c>
      <c r="L3" s="9" t="s">
        <v>194</v>
      </c>
    </row>
    <row r="4" customFormat="false" ht="15" hidden="false" customHeight="true" outlineLevel="0" collapsed="false">
      <c r="A4" s="8" t="s">
        <v>196</v>
      </c>
      <c r="B4" s="8" t="s">
        <v>192</v>
      </c>
      <c r="C4" s="13" t="n">
        <v>18.24</v>
      </c>
      <c r="D4" s="13" t="n">
        <v>5.5</v>
      </c>
      <c r="E4" s="14" t="n">
        <f aca="false">C4+D4</f>
        <v>23.74</v>
      </c>
      <c r="F4" s="13" t="n">
        <v>39.99</v>
      </c>
      <c r="G4" s="14" t="n">
        <f aca="false">F4*0.13</f>
        <v>5.1987</v>
      </c>
      <c r="H4" s="14" t="n">
        <f aca="false">F4-E4-G4</f>
        <v>11.0513</v>
      </c>
      <c r="I4" s="15" t="n">
        <f aca="false">H4/F4</f>
        <v>0.276351587896974</v>
      </c>
      <c r="J4" s="8" t="n">
        <f aca="false">IF(H4&gt;0,ROUND(10000/H4,0),"N/A")</f>
        <v>905</v>
      </c>
      <c r="K4" s="8" t="s">
        <v>193</v>
      </c>
      <c r="L4" s="8" t="s">
        <v>194</v>
      </c>
    </row>
    <row r="5" customFormat="false" ht="15" hidden="false" customHeight="true" outlineLevel="0" collapsed="false">
      <c r="A5" s="9" t="s">
        <v>197</v>
      </c>
      <c r="B5" s="9" t="s">
        <v>198</v>
      </c>
      <c r="C5" s="16" t="n">
        <v>18.67</v>
      </c>
      <c r="D5" s="16" t="n">
        <v>5.5</v>
      </c>
      <c r="E5" s="17" t="n">
        <f aca="false">C5+D5</f>
        <v>24.17</v>
      </c>
      <c r="F5" s="16" t="n">
        <v>49.99</v>
      </c>
      <c r="G5" s="17" t="n">
        <f aca="false">F5*0.13</f>
        <v>6.4987</v>
      </c>
      <c r="H5" s="17" t="n">
        <f aca="false">F5-E5-G5</f>
        <v>19.3213</v>
      </c>
      <c r="I5" s="18" t="n">
        <f aca="false">H5/F5</f>
        <v>0.386503300660132</v>
      </c>
      <c r="J5" s="9" t="n">
        <f aca="false">IF(H5&gt;0,ROUND(10000/H5,0),"N/A")</f>
        <v>518</v>
      </c>
      <c r="K5" s="9" t="s">
        <v>193</v>
      </c>
      <c r="L5" s="9" t="s">
        <v>194</v>
      </c>
    </row>
    <row r="6" customFormat="false" ht="15" hidden="false" customHeight="true" outlineLevel="0" collapsed="false">
      <c r="A6" s="8" t="s">
        <v>50</v>
      </c>
      <c r="B6" s="8" t="s">
        <v>192</v>
      </c>
      <c r="C6" s="13" t="n">
        <v>21.09</v>
      </c>
      <c r="D6" s="13" t="n">
        <v>5.5</v>
      </c>
      <c r="E6" s="14" t="n">
        <f aca="false">C6+D6</f>
        <v>26.59</v>
      </c>
      <c r="F6" s="13" t="n">
        <v>49.99</v>
      </c>
      <c r="G6" s="14" t="n">
        <f aca="false">F6*0.13</f>
        <v>6.4987</v>
      </c>
      <c r="H6" s="14" t="n">
        <f aca="false">F6-E6-G6</f>
        <v>16.9013</v>
      </c>
      <c r="I6" s="15" t="n">
        <f aca="false">H6/F6</f>
        <v>0.338093618723745</v>
      </c>
      <c r="J6" s="8" t="n">
        <f aca="false">IF(H6&gt;0,ROUND(10000/H6,0),"N/A")</f>
        <v>592</v>
      </c>
      <c r="K6" s="8" t="s">
        <v>193</v>
      </c>
      <c r="L6" s="8" t="s">
        <v>194</v>
      </c>
    </row>
    <row r="7" customFormat="false" ht="15" hidden="false" customHeight="true" outlineLevel="0" collapsed="false">
      <c r="A7" s="9" t="s">
        <v>199</v>
      </c>
      <c r="B7" s="9" t="s">
        <v>200</v>
      </c>
      <c r="C7" s="16" t="n">
        <v>21.61</v>
      </c>
      <c r="D7" s="16" t="n">
        <v>5.5</v>
      </c>
      <c r="E7" s="17" t="n">
        <f aca="false">C7+D7</f>
        <v>27.11</v>
      </c>
      <c r="F7" s="16" t="n">
        <v>44.99</v>
      </c>
      <c r="G7" s="17" t="n">
        <f aca="false">F7*0.13</f>
        <v>5.8487</v>
      </c>
      <c r="H7" s="17" t="n">
        <f aca="false">F7-E7-G7</f>
        <v>12.0313</v>
      </c>
      <c r="I7" s="18" t="n">
        <f aca="false">H7/F7</f>
        <v>0.26742164925539</v>
      </c>
      <c r="J7" s="9" t="n">
        <f aca="false">IF(H7&gt;0,ROUND(10000/H7,0),"N/A")</f>
        <v>831</v>
      </c>
      <c r="K7" s="9" t="s">
        <v>193</v>
      </c>
      <c r="L7" s="9" t="s">
        <v>201</v>
      </c>
    </row>
    <row r="8" customFormat="false" ht="15" hidden="false" customHeight="true" outlineLevel="0" collapsed="false">
      <c r="A8" s="8" t="s">
        <v>202</v>
      </c>
      <c r="B8" s="8" t="s">
        <v>203</v>
      </c>
      <c r="C8" s="13" t="n">
        <v>21</v>
      </c>
      <c r="D8" s="13" t="n">
        <v>8</v>
      </c>
      <c r="E8" s="14" t="n">
        <f aca="false">C8+D8</f>
        <v>29</v>
      </c>
      <c r="F8" s="13" t="n">
        <v>54.99</v>
      </c>
      <c r="G8" s="14" t="n">
        <f aca="false">F8*0.13</f>
        <v>7.1487</v>
      </c>
      <c r="H8" s="14" t="n">
        <f aca="false">F8-E8-G8</f>
        <v>18.8413</v>
      </c>
      <c r="I8" s="15" t="n">
        <f aca="false">H8/F8</f>
        <v>0.342631387525005</v>
      </c>
      <c r="J8" s="8" t="n">
        <f aca="false">IF(H8&gt;0,ROUND(10000/H8,0),"N/A")</f>
        <v>531</v>
      </c>
      <c r="K8" s="8" t="s">
        <v>204</v>
      </c>
      <c r="L8" s="8" t="s">
        <v>201</v>
      </c>
    </row>
    <row r="9" customFormat="false" ht="15" hidden="false" customHeight="true" outlineLevel="0" collapsed="false">
      <c r="A9" s="9" t="s">
        <v>205</v>
      </c>
      <c r="B9" s="9" t="s">
        <v>206</v>
      </c>
      <c r="C9" s="16" t="n">
        <v>23.75</v>
      </c>
      <c r="D9" s="16" t="n">
        <v>5.5</v>
      </c>
      <c r="E9" s="17" t="n">
        <f aca="false">C9+D9</f>
        <v>29.25</v>
      </c>
      <c r="F9" s="16" t="n">
        <v>54.99</v>
      </c>
      <c r="G9" s="17" t="n">
        <f aca="false">F9*0.13</f>
        <v>7.1487</v>
      </c>
      <c r="H9" s="17" t="n">
        <f aca="false">F9-E9-G9</f>
        <v>18.5913</v>
      </c>
      <c r="I9" s="18" t="n">
        <f aca="false">H9/F9</f>
        <v>0.338085106382979</v>
      </c>
      <c r="J9" s="9" t="n">
        <f aca="false">IF(H9&gt;0,ROUND(10000/H9,0),"N/A")</f>
        <v>538</v>
      </c>
      <c r="K9" s="9" t="s">
        <v>193</v>
      </c>
      <c r="L9" s="9" t="s">
        <v>194</v>
      </c>
    </row>
    <row r="10" customFormat="false" ht="15" hidden="false" customHeight="true" outlineLevel="0" collapsed="false">
      <c r="A10" s="8" t="s">
        <v>207</v>
      </c>
      <c r="B10" s="8" t="s">
        <v>208</v>
      </c>
      <c r="C10" s="13" t="n">
        <v>25.84</v>
      </c>
      <c r="D10" s="13" t="n">
        <v>8</v>
      </c>
      <c r="E10" s="14" t="n">
        <f aca="false">C10+D10</f>
        <v>33.84</v>
      </c>
      <c r="F10" s="13" t="n">
        <v>64.99</v>
      </c>
      <c r="G10" s="14" t="n">
        <f aca="false">F10*0.13</f>
        <v>8.4487</v>
      </c>
      <c r="H10" s="14" t="n">
        <f aca="false">F10-E10-G10</f>
        <v>22.7013</v>
      </c>
      <c r="I10" s="15" t="n">
        <f aca="false">H10/F10</f>
        <v>0.349304508385905</v>
      </c>
      <c r="J10" s="8" t="n">
        <f aca="false">IF(H10&gt;0,ROUND(10000/H10,0),"N/A")</f>
        <v>441</v>
      </c>
      <c r="K10" s="8" t="s">
        <v>204</v>
      </c>
      <c r="L10" s="8" t="s">
        <v>194</v>
      </c>
    </row>
    <row r="11" customFormat="false" ht="15" hidden="false" customHeight="true" outlineLevel="0" collapsed="false">
      <c r="A11" s="9" t="s">
        <v>209</v>
      </c>
      <c r="B11" s="9" t="s">
        <v>203</v>
      </c>
      <c r="C11" s="16" t="n">
        <v>12.84</v>
      </c>
      <c r="D11" s="16" t="n">
        <v>8</v>
      </c>
      <c r="E11" s="17" t="n">
        <f aca="false">C11+D11</f>
        <v>20.84</v>
      </c>
      <c r="F11" s="16" t="n">
        <v>39.99</v>
      </c>
      <c r="G11" s="17" t="n">
        <f aca="false">F11*0.13</f>
        <v>5.1987</v>
      </c>
      <c r="H11" s="17" t="n">
        <f aca="false">F11-E11-G11</f>
        <v>13.9513</v>
      </c>
      <c r="I11" s="18" t="n">
        <f aca="false">H11/F11</f>
        <v>0.348869717429357</v>
      </c>
      <c r="J11" s="9" t="n">
        <f aca="false">IF(H11&gt;0,ROUND(10000/H11,0),"N/A")</f>
        <v>717</v>
      </c>
      <c r="K11" s="9" t="s">
        <v>204</v>
      </c>
      <c r="L11" s="9" t="s">
        <v>201</v>
      </c>
    </row>
    <row r="13" customFormat="false" ht="15" hidden="false" customHeight="true" outlineLevel="0" collapsed="false">
      <c r="A13" s="19" t="s">
        <v>210</v>
      </c>
      <c r="C13" s="20" t="n">
        <f aca="false">AVERAGE(C2:C11)</f>
        <v>19.196</v>
      </c>
      <c r="H13" s="20" t="n">
        <f aca="false">AVERAGE(H2:H11)</f>
        <v>16.3053</v>
      </c>
      <c r="I13" s="21" t="n">
        <f aca="false">AVERAGE(I2:I11)</f>
        <v>0.33880227234986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55"/>
    <col collapsed="false" customWidth="true" hidden="false" outlineLevel="0" max="4" min="4" style="1" width="40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10" min="9" style="1" width="10"/>
    <col collapsed="false" customWidth="true" hidden="false" outlineLevel="0" max="11" min="11" style="1" width="12"/>
    <col collapsed="false" customWidth="true" hidden="false" outlineLevel="0" max="13" min="12" style="1" width="14"/>
    <col collapsed="false" customWidth="true" hidden="false" outlineLevel="0" max="14" min="14" style="1" width="12"/>
  </cols>
  <sheetData>
    <row r="1" customFormat="false" ht="23.25" hidden="false" customHeight="true" outlineLevel="0" collapsed="false">
      <c r="A1" s="11" t="s">
        <v>211</v>
      </c>
      <c r="B1" s="11" t="s">
        <v>212</v>
      </c>
      <c r="C1" s="11" t="s">
        <v>213</v>
      </c>
      <c r="D1" s="11" t="s">
        <v>214</v>
      </c>
      <c r="E1" s="11" t="s">
        <v>215</v>
      </c>
      <c r="F1" s="11" t="s">
        <v>41</v>
      </c>
      <c r="G1" s="11" t="s">
        <v>216</v>
      </c>
      <c r="H1" s="11" t="s">
        <v>217</v>
      </c>
      <c r="I1" s="11" t="s">
        <v>218</v>
      </c>
      <c r="J1" s="11" t="s">
        <v>70</v>
      </c>
      <c r="K1" s="11" t="s">
        <v>219</v>
      </c>
      <c r="L1" s="11" t="s">
        <v>220</v>
      </c>
      <c r="M1" s="11" t="s">
        <v>221</v>
      </c>
      <c r="N1" s="11" t="s">
        <v>222</v>
      </c>
    </row>
    <row r="2" customFormat="false" ht="34.5" hidden="false" customHeight="true" outlineLevel="0" collapsed="false">
      <c r="A2" s="8" t="n">
        <v>1</v>
      </c>
      <c r="B2" s="22" t="s">
        <v>223</v>
      </c>
      <c r="C2" s="22" t="s">
        <v>224</v>
      </c>
      <c r="D2" s="22" t="s">
        <v>225</v>
      </c>
      <c r="E2" s="8" t="n">
        <v>32100</v>
      </c>
      <c r="F2" s="8" t="s">
        <v>226</v>
      </c>
      <c r="G2" s="14" t="n">
        <v>23.75</v>
      </c>
      <c r="H2" s="14" t="n">
        <v>54.99</v>
      </c>
      <c r="I2" s="15" t="n">
        <f aca="false">(H2-G2-5.5-H2*0.13)/H2</f>
        <v>0.338085106382979</v>
      </c>
      <c r="J2" s="8" t="n">
        <v>10</v>
      </c>
      <c r="K2" s="8" t="n">
        <v>9</v>
      </c>
      <c r="L2" s="8" t="s">
        <v>227</v>
      </c>
      <c r="M2" s="8" t="s">
        <v>95</v>
      </c>
      <c r="N2" s="10" t="n">
        <v>66</v>
      </c>
    </row>
    <row r="3" customFormat="false" ht="34.5" hidden="false" customHeight="true" outlineLevel="0" collapsed="false">
      <c r="A3" s="9" t="n">
        <v>2</v>
      </c>
      <c r="B3" s="23" t="s">
        <v>54</v>
      </c>
      <c r="C3" s="23" t="s">
        <v>228</v>
      </c>
      <c r="D3" s="23" t="s">
        <v>229</v>
      </c>
      <c r="E3" s="9" t="n">
        <v>10490</v>
      </c>
      <c r="F3" s="9" t="s">
        <v>226</v>
      </c>
      <c r="G3" s="17" t="n">
        <v>23.75</v>
      </c>
      <c r="H3" s="17" t="n">
        <v>54.99</v>
      </c>
      <c r="I3" s="18" t="n">
        <f aca="false">(H3-G3-5.5-H3*0.13)/H3</f>
        <v>0.338085106382979</v>
      </c>
      <c r="J3" s="9" t="n">
        <v>10</v>
      </c>
      <c r="K3" s="9" t="n">
        <v>9</v>
      </c>
      <c r="L3" s="9" t="s">
        <v>77</v>
      </c>
      <c r="M3" s="9" t="s">
        <v>230</v>
      </c>
      <c r="N3" s="10" t="n">
        <v>68</v>
      </c>
    </row>
    <row r="4" customFormat="false" ht="23.25" hidden="false" customHeight="true" outlineLevel="0" collapsed="false">
      <c r="A4" s="8" t="n">
        <v>3</v>
      </c>
      <c r="B4" s="22" t="s">
        <v>58</v>
      </c>
      <c r="C4" s="22" t="s">
        <v>231</v>
      </c>
      <c r="D4" s="22" t="s">
        <v>232</v>
      </c>
      <c r="E4" s="8" t="n">
        <v>11100</v>
      </c>
      <c r="F4" s="8" t="s">
        <v>233</v>
      </c>
      <c r="G4" s="14" t="n">
        <v>12.12</v>
      </c>
      <c r="H4" s="14" t="n">
        <v>34.99</v>
      </c>
      <c r="I4" s="15" t="n">
        <f aca="false">(H4-G4-5.5-H4*0.13)/H4</f>
        <v>0.36642755072878</v>
      </c>
      <c r="J4" s="8" t="n">
        <v>10</v>
      </c>
      <c r="K4" s="8" t="n">
        <v>9</v>
      </c>
      <c r="L4" s="8" t="s">
        <v>77</v>
      </c>
      <c r="M4" s="8" t="s">
        <v>234</v>
      </c>
      <c r="N4" s="10" t="n">
        <v>68</v>
      </c>
    </row>
    <row r="5" customFormat="false" ht="34.5" hidden="false" customHeight="true" outlineLevel="0" collapsed="false">
      <c r="A5" s="9" t="n">
        <v>4</v>
      </c>
      <c r="B5" s="23" t="s">
        <v>48</v>
      </c>
      <c r="C5" s="23" t="s">
        <v>235</v>
      </c>
      <c r="D5" s="23" t="s">
        <v>236</v>
      </c>
      <c r="E5" s="9" t="n">
        <v>5790</v>
      </c>
      <c r="F5" s="9" t="s">
        <v>237</v>
      </c>
      <c r="G5" s="17" t="n">
        <v>21.09</v>
      </c>
      <c r="H5" s="17" t="n">
        <v>49.99</v>
      </c>
      <c r="I5" s="18" t="n">
        <f aca="false">(H5-G5-5.5-H5*0.13)/H5</f>
        <v>0.338093618723745</v>
      </c>
      <c r="J5" s="9" t="n">
        <v>10</v>
      </c>
      <c r="K5" s="9" t="n">
        <v>9</v>
      </c>
      <c r="L5" s="9" t="s">
        <v>238</v>
      </c>
      <c r="M5" s="9" t="s">
        <v>95</v>
      </c>
      <c r="N5" s="9" t="n">
        <v>72</v>
      </c>
    </row>
    <row r="6" customFormat="false" ht="23.25" hidden="false" customHeight="true" outlineLevel="0" collapsed="false">
      <c r="A6" s="8" t="n">
        <v>5</v>
      </c>
      <c r="B6" s="22" t="s">
        <v>239</v>
      </c>
      <c r="C6" s="22" t="s">
        <v>240</v>
      </c>
      <c r="D6" s="22" t="s">
        <v>241</v>
      </c>
      <c r="E6" s="8" t="n">
        <v>4270</v>
      </c>
      <c r="F6" s="8" t="s">
        <v>233</v>
      </c>
      <c r="G6" s="14" t="n">
        <v>12.12</v>
      </c>
      <c r="H6" s="14" t="n">
        <v>34.99</v>
      </c>
      <c r="I6" s="15" t="n">
        <f aca="false">(H6-G6-5.5-H6*0.13)/H6</f>
        <v>0.36642755072878</v>
      </c>
      <c r="J6" s="8" t="n">
        <v>9</v>
      </c>
      <c r="K6" s="8" t="n">
        <v>9</v>
      </c>
      <c r="L6" s="8" t="s">
        <v>77</v>
      </c>
      <c r="M6" s="8" t="s">
        <v>124</v>
      </c>
      <c r="N6" s="8" t="n">
        <v>63</v>
      </c>
    </row>
    <row r="7" customFormat="false" ht="23.25" hidden="false" customHeight="true" outlineLevel="0" collapsed="false">
      <c r="A7" s="9" t="n">
        <v>6</v>
      </c>
      <c r="B7" s="23" t="s">
        <v>52</v>
      </c>
      <c r="C7" s="23" t="s">
        <v>242</v>
      </c>
      <c r="D7" s="23" t="s">
        <v>243</v>
      </c>
      <c r="E7" s="9" t="n">
        <v>910</v>
      </c>
      <c r="F7" s="9" t="s">
        <v>244</v>
      </c>
      <c r="G7" s="17" t="n">
        <v>16.8</v>
      </c>
      <c r="H7" s="17" t="n">
        <v>44.99</v>
      </c>
      <c r="I7" s="18" t="n">
        <f aca="false">(H7-G7-5.5-H7*0.13)/H7</f>
        <v>0.374334296510336</v>
      </c>
      <c r="J7" s="9" t="n">
        <v>10</v>
      </c>
      <c r="K7" s="9" t="n">
        <v>8</v>
      </c>
      <c r="L7" s="9" t="s">
        <v>245</v>
      </c>
      <c r="M7" s="9" t="s">
        <v>95</v>
      </c>
      <c r="N7" s="9" t="n">
        <v>70</v>
      </c>
    </row>
    <row r="8" customFormat="false" ht="23.25" hidden="false" customHeight="true" outlineLevel="0" collapsed="false">
      <c r="A8" s="8" t="n">
        <v>7</v>
      </c>
      <c r="B8" s="22" t="s">
        <v>246</v>
      </c>
      <c r="C8" s="22" t="s">
        <v>247</v>
      </c>
      <c r="D8" s="22" t="s">
        <v>248</v>
      </c>
      <c r="E8" s="8" t="n">
        <v>3660</v>
      </c>
      <c r="F8" s="8" t="s">
        <v>226</v>
      </c>
      <c r="G8" s="14" t="n">
        <v>23.75</v>
      </c>
      <c r="H8" s="14" t="n">
        <v>54.99</v>
      </c>
      <c r="I8" s="15" t="n">
        <f aca="false">(H8-G8-5.5-H8*0.13)/H8</f>
        <v>0.338085106382979</v>
      </c>
      <c r="J8" s="8" t="n">
        <v>8</v>
      </c>
      <c r="K8" s="8" t="n">
        <v>8</v>
      </c>
      <c r="L8" s="8" t="s">
        <v>249</v>
      </c>
      <c r="M8" s="8" t="s">
        <v>95</v>
      </c>
      <c r="N8" s="8" t="n">
        <v>62</v>
      </c>
    </row>
    <row r="9" customFormat="false" ht="23.25" hidden="false" customHeight="true" outlineLevel="0" collapsed="false">
      <c r="A9" s="9" t="n">
        <v>8</v>
      </c>
      <c r="B9" s="23" t="s">
        <v>250</v>
      </c>
      <c r="C9" s="23" t="s">
        <v>251</v>
      </c>
      <c r="D9" s="23" t="s">
        <v>252</v>
      </c>
      <c r="E9" s="9" t="n">
        <v>2180</v>
      </c>
      <c r="F9" s="9" t="s">
        <v>253</v>
      </c>
      <c r="G9" s="17" t="n">
        <v>18.24</v>
      </c>
      <c r="H9" s="17" t="n">
        <v>39.99</v>
      </c>
      <c r="I9" s="18" t="n">
        <f aca="false">(H9-G9-5.5-H9*0.13)/H9</f>
        <v>0.276351587896974</v>
      </c>
      <c r="J9" s="9" t="n">
        <v>8</v>
      </c>
      <c r="K9" s="9" t="n">
        <v>9</v>
      </c>
      <c r="L9" s="9" t="s">
        <v>245</v>
      </c>
      <c r="M9" s="9" t="s">
        <v>128</v>
      </c>
      <c r="N9" s="9" t="n">
        <v>67</v>
      </c>
    </row>
    <row r="10" customFormat="false" ht="34.5" hidden="false" customHeight="true" outlineLevel="0" collapsed="false">
      <c r="A10" s="8" t="n">
        <v>9</v>
      </c>
      <c r="B10" s="22" t="s">
        <v>44</v>
      </c>
      <c r="C10" s="22" t="s">
        <v>254</v>
      </c>
      <c r="D10" s="22" t="s">
        <v>255</v>
      </c>
      <c r="E10" s="8" t="n">
        <v>1070</v>
      </c>
      <c r="F10" s="8" t="s">
        <v>244</v>
      </c>
      <c r="G10" s="14" t="n">
        <v>16.8</v>
      </c>
      <c r="H10" s="14" t="n">
        <v>44.99</v>
      </c>
      <c r="I10" s="15" t="n">
        <f aca="false">(H10-G10-5.5-H10*0.13)/H10</f>
        <v>0.374334296510336</v>
      </c>
      <c r="J10" s="8" t="n">
        <v>10</v>
      </c>
      <c r="K10" s="8" t="n">
        <v>9</v>
      </c>
      <c r="L10" s="8" t="s">
        <v>256</v>
      </c>
      <c r="M10" s="8" t="s">
        <v>257</v>
      </c>
      <c r="N10" s="8" t="n">
        <v>78</v>
      </c>
    </row>
    <row r="11" customFormat="false" ht="23.25" hidden="false" customHeight="true" outlineLevel="0" collapsed="false">
      <c r="A11" s="9" t="n">
        <v>10</v>
      </c>
      <c r="B11" s="23" t="s">
        <v>258</v>
      </c>
      <c r="C11" s="23" t="s">
        <v>259</v>
      </c>
      <c r="D11" s="23" t="s">
        <v>260</v>
      </c>
      <c r="E11" s="9" t="n">
        <v>3920</v>
      </c>
      <c r="F11" s="9" t="s">
        <v>261</v>
      </c>
      <c r="G11" s="17" t="n">
        <v>25.84</v>
      </c>
      <c r="H11" s="17" t="n">
        <v>64.99</v>
      </c>
      <c r="I11" s="18" t="n">
        <f aca="false">(H11-G11-8-H11*0.13)/H11</f>
        <v>0.349304508385905</v>
      </c>
      <c r="J11" s="9" t="n">
        <v>9</v>
      </c>
      <c r="K11" s="9" t="n">
        <v>7</v>
      </c>
      <c r="L11" s="9" t="s">
        <v>249</v>
      </c>
      <c r="M11" s="9" t="s">
        <v>95</v>
      </c>
      <c r="N11" s="9" t="n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40"/>
    <col collapsed="false" customWidth="true" hidden="false" outlineLevel="0" max="5" min="4" style="1" width="12"/>
    <col collapsed="false" customWidth="true" hidden="false" outlineLevel="0" max="7" min="6" style="1" width="10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35"/>
  </cols>
  <sheetData>
    <row r="1" customFormat="false" ht="23.25" hidden="false" customHeight="true" outlineLevel="0" collapsed="false">
      <c r="A1" s="11" t="s">
        <v>262</v>
      </c>
      <c r="B1" s="11" t="s">
        <v>263</v>
      </c>
      <c r="C1" s="11" t="s">
        <v>179</v>
      </c>
      <c r="D1" s="11" t="s">
        <v>264</v>
      </c>
      <c r="E1" s="11" t="s">
        <v>265</v>
      </c>
      <c r="F1" s="11" t="s">
        <v>266</v>
      </c>
      <c r="G1" s="11" t="s">
        <v>267</v>
      </c>
      <c r="H1" s="11" t="s">
        <v>268</v>
      </c>
      <c r="I1" s="11" t="s">
        <v>269</v>
      </c>
      <c r="J1" s="11" t="s">
        <v>6</v>
      </c>
    </row>
    <row r="2" customFormat="false" ht="15" hidden="false" customHeight="true" outlineLevel="0" collapsed="false">
      <c r="A2" s="8" t="s">
        <v>177</v>
      </c>
      <c r="B2" s="8" t="s">
        <v>270</v>
      </c>
      <c r="C2" s="8" t="s">
        <v>271</v>
      </c>
      <c r="D2" s="8" t="n">
        <v>70.8</v>
      </c>
      <c r="E2" s="8" t="n">
        <v>0</v>
      </c>
      <c r="F2" s="8" t="n">
        <v>33639</v>
      </c>
      <c r="G2" s="8" t="s">
        <v>272</v>
      </c>
      <c r="H2" s="8" t="n">
        <v>41</v>
      </c>
      <c r="I2" s="8" t="n">
        <v>571</v>
      </c>
      <c r="J2" s="8" t="s">
        <v>273</v>
      </c>
    </row>
    <row r="3" customFormat="false" ht="15" hidden="false" customHeight="true" outlineLevel="0" collapsed="false">
      <c r="A3" s="9" t="s">
        <v>177</v>
      </c>
      <c r="B3" s="9" t="s">
        <v>274</v>
      </c>
      <c r="C3" s="9" t="s">
        <v>275</v>
      </c>
      <c r="D3" s="9" t="n">
        <v>57.09</v>
      </c>
      <c r="E3" s="9" t="n">
        <v>0</v>
      </c>
      <c r="F3" s="9" t="n">
        <v>3400</v>
      </c>
      <c r="G3" s="9" t="s">
        <v>276</v>
      </c>
      <c r="H3" s="9" t="n">
        <v>22</v>
      </c>
      <c r="I3" s="9" t="n">
        <v>233</v>
      </c>
      <c r="J3" s="9"/>
    </row>
    <row r="4" customFormat="false" ht="15" hidden="false" customHeight="true" outlineLevel="0" collapsed="false">
      <c r="A4" s="8" t="s">
        <v>177</v>
      </c>
      <c r="B4" s="8" t="s">
        <v>277</v>
      </c>
      <c r="C4" s="8" t="s">
        <v>278</v>
      </c>
      <c r="D4" s="8" t="n">
        <v>54.22</v>
      </c>
      <c r="E4" s="8" t="n">
        <v>0</v>
      </c>
      <c r="F4" s="8" t="n">
        <v>959</v>
      </c>
      <c r="G4" s="8" t="s">
        <v>279</v>
      </c>
      <c r="H4" s="8" t="n">
        <v>29</v>
      </c>
      <c r="I4" s="8" t="n">
        <v>718</v>
      </c>
      <c r="J4" s="8" t="s">
        <v>280</v>
      </c>
    </row>
    <row r="5" customFormat="false" ht="15" hidden="false" customHeight="true" outlineLevel="0" collapsed="false">
      <c r="A5" s="9" t="s">
        <v>177</v>
      </c>
      <c r="B5" s="9" t="s">
        <v>281</v>
      </c>
      <c r="C5" s="9" t="s">
        <v>282</v>
      </c>
      <c r="D5" s="9" t="n">
        <v>48.17</v>
      </c>
      <c r="E5" s="9" t="n">
        <v>0</v>
      </c>
      <c r="F5" s="9" t="n">
        <v>306</v>
      </c>
      <c r="G5" s="9" t="s">
        <v>283</v>
      </c>
      <c r="H5" s="9" t="n">
        <v>7</v>
      </c>
      <c r="I5" s="9" t="n">
        <v>40</v>
      </c>
      <c r="J5" s="9" t="s">
        <v>284</v>
      </c>
    </row>
    <row r="6" customFormat="false" ht="15" hidden="false" customHeight="true" outlineLevel="0" collapsed="false">
      <c r="A6" s="8" t="s">
        <v>83</v>
      </c>
      <c r="B6" s="8" t="s">
        <v>285</v>
      </c>
      <c r="C6" s="8" t="s">
        <v>286</v>
      </c>
      <c r="D6" s="8" t="n">
        <v>111.23</v>
      </c>
      <c r="E6" s="8" t="n">
        <v>0</v>
      </c>
      <c r="F6" s="8" t="n">
        <v>763</v>
      </c>
      <c r="G6" s="8" t="s">
        <v>283</v>
      </c>
      <c r="H6" s="8" t="n">
        <v>9</v>
      </c>
      <c r="I6" s="8" t="n">
        <v>27</v>
      </c>
      <c r="J6" s="8" t="s">
        <v>287</v>
      </c>
    </row>
    <row r="7" customFormat="false" ht="15" hidden="false" customHeight="true" outlineLevel="0" collapsed="false">
      <c r="A7" s="9" t="s">
        <v>83</v>
      </c>
      <c r="B7" s="9" t="s">
        <v>288</v>
      </c>
      <c r="C7" s="9" t="s">
        <v>289</v>
      </c>
      <c r="D7" s="9" t="n">
        <v>46.53</v>
      </c>
      <c r="E7" s="9" t="n">
        <v>0</v>
      </c>
      <c r="F7" s="9" t="n">
        <v>1208</v>
      </c>
      <c r="G7" s="9" t="s">
        <v>290</v>
      </c>
      <c r="H7" s="9" t="n">
        <v>3</v>
      </c>
      <c r="I7" s="9" t="n">
        <v>577</v>
      </c>
      <c r="J7" s="9" t="s">
        <v>291</v>
      </c>
    </row>
    <row r="8" customFormat="false" ht="15" hidden="false" customHeight="true" outlineLevel="0" collapsed="false">
      <c r="A8" s="8" t="s">
        <v>83</v>
      </c>
      <c r="B8" s="8" t="s">
        <v>292</v>
      </c>
      <c r="C8" s="8" t="s">
        <v>293</v>
      </c>
      <c r="D8" s="8" t="n">
        <v>86.42</v>
      </c>
      <c r="E8" s="8" t="n">
        <v>0</v>
      </c>
      <c r="F8" s="8" t="n">
        <v>4046</v>
      </c>
      <c r="G8" s="8" t="s">
        <v>294</v>
      </c>
      <c r="H8" s="8" t="n">
        <v>10</v>
      </c>
      <c r="I8" s="8" t="n">
        <v>1000</v>
      </c>
      <c r="J8" s="8" t="s">
        <v>295</v>
      </c>
    </row>
    <row r="9" customFormat="false" ht="15" hidden="false" customHeight="true" outlineLevel="0" collapsed="false">
      <c r="A9" s="9" t="s">
        <v>83</v>
      </c>
      <c r="B9" s="9" t="s">
        <v>296</v>
      </c>
      <c r="C9" s="9" t="s">
        <v>297</v>
      </c>
      <c r="D9" s="9" t="n">
        <v>87.06</v>
      </c>
      <c r="E9" s="9" t="n">
        <v>0</v>
      </c>
      <c r="F9" s="9" t="n">
        <v>0</v>
      </c>
      <c r="G9" s="9"/>
      <c r="H9" s="9" t="n">
        <v>0</v>
      </c>
      <c r="I9" s="9" t="n">
        <v>3800</v>
      </c>
      <c r="J9" s="9" t="s">
        <v>298</v>
      </c>
    </row>
    <row r="10" customFormat="false" ht="15" hidden="false" customHeight="true" outlineLevel="0" collapsed="false">
      <c r="A10" s="8" t="s">
        <v>96</v>
      </c>
      <c r="B10" s="8" t="s">
        <v>299</v>
      </c>
      <c r="C10" s="8" t="s">
        <v>300</v>
      </c>
      <c r="D10" s="8" t="n">
        <v>67.8</v>
      </c>
      <c r="E10" s="8" t="n">
        <v>0</v>
      </c>
      <c r="F10" s="8" t="n">
        <v>17865</v>
      </c>
      <c r="G10" s="8" t="s">
        <v>301</v>
      </c>
      <c r="H10" s="8" t="n">
        <v>5</v>
      </c>
      <c r="I10" s="8" t="n">
        <v>80</v>
      </c>
      <c r="J10" s="8" t="s">
        <v>302</v>
      </c>
    </row>
    <row r="11" customFormat="false" ht="15" hidden="false" customHeight="true" outlineLevel="0" collapsed="false">
      <c r="A11" s="9" t="s">
        <v>96</v>
      </c>
      <c r="B11" s="9" t="s">
        <v>303</v>
      </c>
      <c r="C11" s="9" t="s">
        <v>304</v>
      </c>
      <c r="D11" s="9" t="n">
        <v>261.97</v>
      </c>
      <c r="E11" s="24" t="n">
        <v>4</v>
      </c>
      <c r="F11" s="9" t="n">
        <v>17770</v>
      </c>
      <c r="G11" s="9" t="s">
        <v>305</v>
      </c>
      <c r="H11" s="9" t="n">
        <v>16</v>
      </c>
      <c r="I11" s="9" t="n">
        <v>141</v>
      </c>
      <c r="J11" s="9" t="s">
        <v>306</v>
      </c>
    </row>
    <row r="12" customFormat="false" ht="15" hidden="false" customHeight="true" outlineLevel="0" collapsed="false">
      <c r="A12" s="8" t="s">
        <v>96</v>
      </c>
      <c r="B12" s="8" t="s">
        <v>307</v>
      </c>
      <c r="C12" s="8" t="s">
        <v>308</v>
      </c>
      <c r="D12" s="8" t="n">
        <v>31.79</v>
      </c>
      <c r="E12" s="24" t="n">
        <v>9</v>
      </c>
      <c r="F12" s="8" t="n">
        <v>13390</v>
      </c>
      <c r="G12" s="8" t="s">
        <v>309</v>
      </c>
      <c r="H12" s="8" t="n">
        <v>10</v>
      </c>
      <c r="I12" s="8" t="n">
        <v>70</v>
      </c>
      <c r="J12" s="8" t="s">
        <v>310</v>
      </c>
    </row>
    <row r="13" customFormat="false" ht="15" hidden="false" customHeight="true" outlineLevel="0" collapsed="false">
      <c r="A13" s="9" t="s">
        <v>109</v>
      </c>
      <c r="B13" s="9" t="s">
        <v>311</v>
      </c>
      <c r="C13" s="9" t="s">
        <v>312</v>
      </c>
      <c r="D13" s="9" t="n">
        <v>73.48</v>
      </c>
      <c r="E13" s="9" t="n">
        <v>0</v>
      </c>
      <c r="F13" s="9" t="n">
        <v>5798</v>
      </c>
      <c r="G13" s="9" t="s">
        <v>305</v>
      </c>
      <c r="H13" s="9" t="n">
        <v>19</v>
      </c>
      <c r="I13" s="9" t="n">
        <v>1500</v>
      </c>
      <c r="J13" s="9" t="s">
        <v>313</v>
      </c>
    </row>
    <row r="14" customFormat="false" ht="15" hidden="false" customHeight="true" outlineLevel="0" collapsed="false">
      <c r="A14" s="8" t="s">
        <v>109</v>
      </c>
      <c r="B14" s="8" t="s">
        <v>314</v>
      </c>
      <c r="C14" s="8" t="s">
        <v>315</v>
      </c>
      <c r="D14" s="8" t="n">
        <v>16.02</v>
      </c>
      <c r="E14" s="8" t="n">
        <v>0</v>
      </c>
      <c r="F14" s="8" t="n">
        <v>1060</v>
      </c>
      <c r="G14" s="8" t="s">
        <v>316</v>
      </c>
      <c r="H14" s="8" t="n">
        <v>8</v>
      </c>
      <c r="I14" s="8" t="n">
        <v>542</v>
      </c>
      <c r="J14" s="8" t="s">
        <v>317</v>
      </c>
    </row>
    <row r="15" customFormat="false" ht="15" hidden="false" customHeight="true" outlineLevel="0" collapsed="false">
      <c r="A15" s="9" t="s">
        <v>109</v>
      </c>
      <c r="B15" s="9" t="s">
        <v>318</v>
      </c>
      <c r="C15" s="9" t="s">
        <v>319</v>
      </c>
      <c r="D15" s="9" t="n">
        <v>49.83</v>
      </c>
      <c r="E15" s="24" t="n">
        <v>23</v>
      </c>
      <c r="F15" s="9" t="n">
        <v>53265</v>
      </c>
      <c r="G15" s="9" t="s">
        <v>320</v>
      </c>
      <c r="H15" s="9" t="n">
        <v>16</v>
      </c>
      <c r="I15" s="9" t="n">
        <v>2200</v>
      </c>
      <c r="J15" s="9" t="s">
        <v>321</v>
      </c>
    </row>
    <row r="16" customFormat="false" ht="15" hidden="false" customHeight="true" outlineLevel="0" collapsed="false">
      <c r="A16" s="8" t="s">
        <v>98</v>
      </c>
      <c r="B16" s="8" t="s">
        <v>322</v>
      </c>
      <c r="C16" s="8" t="s">
        <v>323</v>
      </c>
      <c r="D16" s="8" t="n">
        <v>66.21</v>
      </c>
      <c r="E16" s="24" t="n">
        <v>7</v>
      </c>
      <c r="F16" s="8" t="n">
        <v>1317</v>
      </c>
      <c r="G16" s="8" t="s">
        <v>324</v>
      </c>
      <c r="H16" s="8" t="n">
        <v>6</v>
      </c>
      <c r="I16" s="8" t="n">
        <v>174</v>
      </c>
      <c r="J16" s="8" t="s">
        <v>325</v>
      </c>
    </row>
    <row r="17" customFormat="false" ht="15" hidden="false" customHeight="true" outlineLevel="0" collapsed="false">
      <c r="A17" s="9" t="s">
        <v>98</v>
      </c>
      <c r="B17" s="9" t="s">
        <v>326</v>
      </c>
      <c r="C17" s="9" t="s">
        <v>327</v>
      </c>
      <c r="D17" s="9" t="n">
        <v>182.7</v>
      </c>
      <c r="E17" s="24" t="n">
        <v>8</v>
      </c>
      <c r="F17" s="9" t="n">
        <v>4280</v>
      </c>
      <c r="G17" s="9" t="s">
        <v>328</v>
      </c>
      <c r="H17" s="9" t="n">
        <v>7</v>
      </c>
      <c r="I17" s="9" t="n">
        <v>24900</v>
      </c>
      <c r="J17" s="9" t="s">
        <v>329</v>
      </c>
    </row>
    <row r="18" customFormat="false" ht="15" hidden="false" customHeight="true" outlineLevel="0" collapsed="false">
      <c r="A18" s="8" t="s">
        <v>98</v>
      </c>
      <c r="B18" s="8" t="s">
        <v>330</v>
      </c>
      <c r="C18" s="8" t="s">
        <v>331</v>
      </c>
      <c r="D18" s="8" t="n">
        <v>321.14</v>
      </c>
      <c r="E18" s="24" t="n">
        <v>3</v>
      </c>
      <c r="F18" s="8" t="n">
        <v>16243</v>
      </c>
      <c r="G18" s="8" t="s">
        <v>332</v>
      </c>
      <c r="H18" s="8" t="n">
        <v>9</v>
      </c>
      <c r="I18" s="8" t="n">
        <v>81</v>
      </c>
      <c r="J18" s="8" t="s">
        <v>333</v>
      </c>
    </row>
    <row r="19" customFormat="false" ht="15" hidden="false" customHeight="true" outlineLevel="0" collapsed="false">
      <c r="A19" s="9" t="s">
        <v>93</v>
      </c>
      <c r="B19" s="9" t="s">
        <v>334</v>
      </c>
      <c r="C19" s="9" t="s">
        <v>335</v>
      </c>
      <c r="D19" s="9" t="n">
        <v>206.96</v>
      </c>
      <c r="E19" s="24" t="n">
        <v>5</v>
      </c>
      <c r="F19" s="9" t="n">
        <v>8534</v>
      </c>
      <c r="G19" s="9" t="s">
        <v>332</v>
      </c>
      <c r="H19" s="9" t="n">
        <v>6</v>
      </c>
      <c r="I19" s="9" t="n">
        <v>19</v>
      </c>
      <c r="J19" s="9" t="s">
        <v>336</v>
      </c>
    </row>
    <row r="20" customFormat="false" ht="15" hidden="false" customHeight="true" outlineLevel="0" collapsed="false">
      <c r="A20" s="8" t="s">
        <v>105</v>
      </c>
      <c r="B20" s="8" t="s">
        <v>307</v>
      </c>
      <c r="C20" s="8" t="s">
        <v>337</v>
      </c>
      <c r="D20" s="8" t="n">
        <v>85.84</v>
      </c>
      <c r="E20" s="24" t="n">
        <v>4</v>
      </c>
      <c r="F20" s="8" t="n">
        <v>4606</v>
      </c>
      <c r="G20" s="8" t="s">
        <v>338</v>
      </c>
      <c r="H20" s="8" t="n">
        <v>10</v>
      </c>
      <c r="I20" s="8" t="n">
        <v>70</v>
      </c>
      <c r="J20" s="8" t="s">
        <v>339</v>
      </c>
    </row>
    <row r="21" customFormat="false" ht="15" hidden="false" customHeight="true" outlineLevel="0" collapsed="false">
      <c r="A21" s="9" t="s">
        <v>105</v>
      </c>
      <c r="B21" s="9" t="s">
        <v>340</v>
      </c>
      <c r="C21" s="9" t="s">
        <v>341</v>
      </c>
      <c r="D21" s="9" t="n">
        <v>95.76</v>
      </c>
      <c r="E21" s="24" t="n">
        <v>7</v>
      </c>
      <c r="F21" s="9" t="n">
        <v>1602</v>
      </c>
      <c r="G21" s="9" t="s">
        <v>342</v>
      </c>
      <c r="H21" s="9" t="n">
        <v>6</v>
      </c>
      <c r="I21" s="9" t="n">
        <v>10</v>
      </c>
      <c r="J21" s="9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1" min="10" style="1" width="12"/>
    <col collapsed="false" customWidth="true" hidden="false" outlineLevel="0" max="12" min="12" style="1" width="14"/>
  </cols>
  <sheetData>
    <row r="1" customFormat="false" ht="17.25" hidden="false" customHeight="true" outlineLevel="0" collapsed="false">
      <c r="A1" s="25" t="s">
        <v>344</v>
      </c>
    </row>
    <row r="3" customFormat="false" ht="15" hidden="false" customHeight="true" outlineLevel="0" collapsed="false">
      <c r="A3" s="26" t="s">
        <v>345</v>
      </c>
      <c r="B3" s="6"/>
      <c r="C3" s="6"/>
    </row>
    <row r="5" customFormat="false" ht="15" hidden="false" customHeight="true" outlineLevel="0" collapsed="false">
      <c r="A5" s="4" t="s">
        <v>346</v>
      </c>
      <c r="B5" s="27" t="n">
        <v>46.99</v>
      </c>
      <c r="C5" s="28" t="s">
        <v>347</v>
      </c>
    </row>
    <row r="6" customFormat="false" ht="15" hidden="false" customHeight="true" outlineLevel="0" collapsed="false">
      <c r="A6" s="4" t="s">
        <v>348</v>
      </c>
      <c r="B6" s="27" t="n">
        <v>24.5</v>
      </c>
      <c r="C6" s="28" t="s">
        <v>349</v>
      </c>
    </row>
    <row r="7" customFormat="false" ht="15" hidden="false" customHeight="true" outlineLevel="0" collapsed="false">
      <c r="A7" s="4" t="s">
        <v>350</v>
      </c>
      <c r="B7" s="29" t="n">
        <v>0.13</v>
      </c>
      <c r="C7" s="28" t="s">
        <v>351</v>
      </c>
    </row>
    <row r="8" customFormat="false" ht="15" hidden="false" customHeight="true" outlineLevel="0" collapsed="false">
      <c r="A8" s="4" t="s">
        <v>352</v>
      </c>
      <c r="B8" s="27" t="n">
        <f aca="false">B5-B6-B5*B7</f>
        <v>16.3813</v>
      </c>
      <c r="C8" s="30" t="n">
        <f aca="false">B5-B6-B5*B7</f>
        <v>16.3813</v>
      </c>
    </row>
    <row r="9" customFormat="false" ht="15" hidden="false" customHeight="true" outlineLevel="0" collapsed="false">
      <c r="A9" s="4" t="s">
        <v>353</v>
      </c>
      <c r="B9" s="29" t="n">
        <v>0.015</v>
      </c>
      <c r="C9" s="28" t="s">
        <v>354</v>
      </c>
    </row>
    <row r="10" customFormat="false" ht="15" hidden="false" customHeight="true" outlineLevel="0" collapsed="false">
      <c r="A10" s="4" t="s">
        <v>355</v>
      </c>
      <c r="B10" s="27" t="n">
        <v>300</v>
      </c>
      <c r="C10" s="28" t="s">
        <v>356</v>
      </c>
    </row>
    <row r="11" customFormat="false" ht="15" hidden="false" customHeight="true" outlineLevel="0" collapsed="false">
      <c r="A11" s="4" t="s">
        <v>357</v>
      </c>
      <c r="B11" s="31" t="n">
        <v>200</v>
      </c>
      <c r="C11" s="28" t="s">
        <v>358</v>
      </c>
    </row>
    <row r="12" customFormat="false" ht="15" hidden="false" customHeight="true" outlineLevel="0" collapsed="false">
      <c r="A12" s="4" t="s">
        <v>359</v>
      </c>
      <c r="B12" s="32" t="n">
        <v>3</v>
      </c>
      <c r="C12" s="28" t="s">
        <v>360</v>
      </c>
    </row>
    <row r="15" customFormat="false" ht="15" hidden="false" customHeight="true" outlineLevel="0" collapsed="false">
      <c r="A15" s="11" t="s">
        <v>361</v>
      </c>
      <c r="B15" s="11" t="s">
        <v>362</v>
      </c>
      <c r="C15" s="11" t="s">
        <v>363</v>
      </c>
      <c r="D15" s="11" t="s">
        <v>364</v>
      </c>
      <c r="E15" s="11" t="s">
        <v>365</v>
      </c>
      <c r="F15" s="11" t="s">
        <v>366</v>
      </c>
      <c r="G15" s="11" t="s">
        <v>367</v>
      </c>
      <c r="H15" s="11" t="s">
        <v>368</v>
      </c>
      <c r="I15" s="11" t="s">
        <v>369</v>
      </c>
      <c r="J15" s="11" t="s">
        <v>183</v>
      </c>
      <c r="K15" s="11" t="s">
        <v>370</v>
      </c>
      <c r="L15" s="11" t="s">
        <v>371</v>
      </c>
    </row>
    <row r="16" customFormat="false" ht="15" hidden="false" customHeight="true" outlineLevel="0" collapsed="false">
      <c r="A16" s="8" t="n">
        <v>1</v>
      </c>
      <c r="B16" s="8" t="n">
        <v>10</v>
      </c>
      <c r="C16" s="8" t="n">
        <f aca="false">B16</f>
        <v>10</v>
      </c>
      <c r="D16" s="33" t="n">
        <f aca="false">C16*$B$10</f>
        <v>3000</v>
      </c>
      <c r="E16" s="8" t="n">
        <f aca="false">ROUND(D16*$B$9,0)</f>
        <v>45</v>
      </c>
      <c r="F16" s="34" t="n">
        <v>200</v>
      </c>
      <c r="G16" s="34" t="n">
        <f aca="false">F16*$B$12</f>
        <v>600</v>
      </c>
      <c r="H16" s="34" t="n">
        <f aca="false">E16*$B$5</f>
        <v>2114.55</v>
      </c>
      <c r="I16" s="34" t="n">
        <f aca="false">H16+G16</f>
        <v>2714.55</v>
      </c>
      <c r="J16" s="34" t="n">
        <f aca="false">(E16+G16/$B$5)*$B$6</f>
        <v>1415.33251755693</v>
      </c>
      <c r="K16" s="34" t="n">
        <f aca="false">I16-J16-I16*$B$7-F16</f>
        <v>746.325982443073</v>
      </c>
      <c r="L16" s="34" t="n">
        <f aca="false">K16</f>
        <v>746.325982443073</v>
      </c>
    </row>
    <row r="17" customFormat="false" ht="15" hidden="false" customHeight="true" outlineLevel="0" collapsed="false">
      <c r="A17" s="9" t="n">
        <v>2</v>
      </c>
      <c r="B17" s="9" t="n">
        <v>10</v>
      </c>
      <c r="C17" s="9" t="n">
        <f aca="false">C16+B17</f>
        <v>20</v>
      </c>
      <c r="D17" s="35" t="n">
        <f aca="false">C17*$B$10</f>
        <v>6000</v>
      </c>
      <c r="E17" s="9" t="n">
        <f aca="false">ROUND(D17*$B$9,0)</f>
        <v>90</v>
      </c>
      <c r="F17" s="36" t="n">
        <v>200</v>
      </c>
      <c r="G17" s="36" t="n">
        <f aca="false">F17*$B$12</f>
        <v>600</v>
      </c>
      <c r="H17" s="36" t="n">
        <f aca="false">E17*$B$5</f>
        <v>4229.1</v>
      </c>
      <c r="I17" s="36" t="n">
        <f aca="false">H17+G17</f>
        <v>4829.1</v>
      </c>
      <c r="J17" s="36" t="n">
        <f aca="false">(E17+G17/$B$5)*$B$6</f>
        <v>2517.83251755693</v>
      </c>
      <c r="K17" s="36" t="n">
        <f aca="false">I17-J17-I17*$B$7-F17</f>
        <v>1483.48448244307</v>
      </c>
      <c r="L17" s="36" t="n">
        <f aca="false">L16+K17</f>
        <v>2229.81046488615</v>
      </c>
    </row>
    <row r="18" customFormat="false" ht="15" hidden="false" customHeight="true" outlineLevel="0" collapsed="false">
      <c r="A18" s="8" t="n">
        <v>3</v>
      </c>
      <c r="B18" s="8" t="n">
        <v>10</v>
      </c>
      <c r="C18" s="8" t="n">
        <f aca="false">C17+B18</f>
        <v>30</v>
      </c>
      <c r="D18" s="33" t="n">
        <f aca="false">C18*$B$10</f>
        <v>9000</v>
      </c>
      <c r="E18" s="8" t="n">
        <f aca="false">ROUND(D18*$B$9,0)</f>
        <v>135</v>
      </c>
      <c r="F18" s="34" t="n">
        <v>200</v>
      </c>
      <c r="G18" s="34" t="n">
        <f aca="false">F18*$B$12</f>
        <v>600</v>
      </c>
      <c r="H18" s="34" t="n">
        <f aca="false">E18*$B$5</f>
        <v>6343.65</v>
      </c>
      <c r="I18" s="34" t="n">
        <f aca="false">H18+G18</f>
        <v>6943.65</v>
      </c>
      <c r="J18" s="34" t="n">
        <f aca="false">(E18+G18/$B$5)*$B$6</f>
        <v>3620.33251755693</v>
      </c>
      <c r="K18" s="34" t="n">
        <f aca="false">I18-J18-I18*$B$7-F18</f>
        <v>2220.64298244307</v>
      </c>
      <c r="L18" s="34" t="n">
        <f aca="false">L17+K18</f>
        <v>4450.45344732922</v>
      </c>
    </row>
    <row r="19" customFormat="false" ht="15" hidden="false" customHeight="true" outlineLevel="0" collapsed="false">
      <c r="A19" s="9" t="n">
        <v>4</v>
      </c>
      <c r="B19" s="9" t="n">
        <v>10</v>
      </c>
      <c r="C19" s="9" t="n">
        <f aca="false">C18+B19</f>
        <v>40</v>
      </c>
      <c r="D19" s="35" t="n">
        <f aca="false">C19*$B$10</f>
        <v>12000</v>
      </c>
      <c r="E19" s="9" t="n">
        <f aca="false">ROUND(D19*$B$9,0)</f>
        <v>180</v>
      </c>
      <c r="F19" s="36" t="n">
        <v>350</v>
      </c>
      <c r="G19" s="36" t="n">
        <f aca="false">F19*$B$12</f>
        <v>1050</v>
      </c>
      <c r="H19" s="36" t="n">
        <f aca="false">E19*$B$5</f>
        <v>8458.2</v>
      </c>
      <c r="I19" s="36" t="n">
        <f aca="false">H19+G19</f>
        <v>9508.2</v>
      </c>
      <c r="J19" s="36" t="n">
        <f aca="false">(E19+G19/$B$5)*$B$6</f>
        <v>4957.45690572462</v>
      </c>
      <c r="K19" s="36" t="n">
        <f aca="false">I19-J19-I19*$B$7-F19</f>
        <v>2964.67709427538</v>
      </c>
      <c r="L19" s="36" t="n">
        <f aca="false">L18+K19</f>
        <v>7415.1305416046</v>
      </c>
    </row>
    <row r="20" customFormat="false" ht="15" hidden="false" customHeight="true" outlineLevel="0" collapsed="false">
      <c r="A20" s="8" t="n">
        <v>5</v>
      </c>
      <c r="B20" s="8" t="n">
        <v>10</v>
      </c>
      <c r="C20" s="8" t="n">
        <f aca="false">C19+B20</f>
        <v>50</v>
      </c>
      <c r="D20" s="33" t="n">
        <f aca="false">C20*$B$10</f>
        <v>15000</v>
      </c>
      <c r="E20" s="8" t="n">
        <f aca="false">ROUND(D20*$B$9,0)</f>
        <v>225</v>
      </c>
      <c r="F20" s="34" t="n">
        <v>350</v>
      </c>
      <c r="G20" s="34" t="n">
        <f aca="false">F20*$B$12</f>
        <v>1050</v>
      </c>
      <c r="H20" s="34" t="n">
        <f aca="false">E20*$B$5</f>
        <v>10572.75</v>
      </c>
      <c r="I20" s="34" t="n">
        <f aca="false">H20+G20</f>
        <v>11622.75</v>
      </c>
      <c r="J20" s="34" t="n">
        <f aca="false">(E20+G20/$B$5)*$B$6</f>
        <v>6059.95690572462</v>
      </c>
      <c r="K20" s="34" t="n">
        <f aca="false">I20-J20-I20*$B$7-F20</f>
        <v>3701.83559427538</v>
      </c>
      <c r="L20" s="34" t="n">
        <f aca="false">L19+K20</f>
        <v>11116.96613588</v>
      </c>
    </row>
    <row r="21" customFormat="false" ht="15" hidden="false" customHeight="true" outlineLevel="0" collapsed="false">
      <c r="A21" s="9" t="n">
        <v>6</v>
      </c>
      <c r="B21" s="9" t="n">
        <v>10</v>
      </c>
      <c r="C21" s="9" t="n">
        <f aca="false">C20+B21</f>
        <v>60</v>
      </c>
      <c r="D21" s="35" t="n">
        <f aca="false">C21*$B$10</f>
        <v>18000</v>
      </c>
      <c r="E21" s="9" t="n">
        <f aca="false">ROUND(D21*$B$9,0)</f>
        <v>270</v>
      </c>
      <c r="F21" s="36" t="n">
        <v>350</v>
      </c>
      <c r="G21" s="36" t="n">
        <f aca="false">F21*$B$12</f>
        <v>1050</v>
      </c>
      <c r="H21" s="36" t="n">
        <f aca="false">E21*$B$5</f>
        <v>12687.3</v>
      </c>
      <c r="I21" s="36" t="n">
        <f aca="false">H21+G21</f>
        <v>13737.3</v>
      </c>
      <c r="J21" s="36" t="n">
        <f aca="false">(E21+G21/$B$5)*$B$6</f>
        <v>7162.45690572462</v>
      </c>
      <c r="K21" s="36" t="n">
        <f aca="false">I21-J21-I21*$B$7-F21</f>
        <v>4438.99409427538</v>
      </c>
      <c r="L21" s="36" t="n">
        <f aca="false">L20+K21</f>
        <v>15555.9602301554</v>
      </c>
    </row>
    <row r="22" customFormat="false" ht="15" hidden="false" customHeight="true" outlineLevel="0" collapsed="false">
      <c r="A22" s="8" t="n">
        <v>7</v>
      </c>
      <c r="B22" s="8" t="n">
        <v>8</v>
      </c>
      <c r="C22" s="8" t="n">
        <f aca="false">C21+B22</f>
        <v>68</v>
      </c>
      <c r="D22" s="33" t="n">
        <f aca="false">C22*$B$10</f>
        <v>20400</v>
      </c>
      <c r="E22" s="8" t="n">
        <f aca="false">ROUND(D22*$B$9,0)</f>
        <v>306</v>
      </c>
      <c r="F22" s="34" t="n">
        <v>500</v>
      </c>
      <c r="G22" s="34" t="n">
        <f aca="false">F22*$B$12</f>
        <v>1500</v>
      </c>
      <c r="H22" s="34" t="n">
        <f aca="false">E22*$B$5</f>
        <v>14378.94</v>
      </c>
      <c r="I22" s="34" t="n">
        <f aca="false">H22+G22</f>
        <v>15878.94</v>
      </c>
      <c r="J22" s="34" t="n">
        <f aca="false">(E22+G22/$B$5)*$B$6</f>
        <v>8279.08129389232</v>
      </c>
      <c r="K22" s="34" t="n">
        <f aca="false">I22-J22-I22*$B$7-F22</f>
        <v>5035.59650610768</v>
      </c>
      <c r="L22" s="34" t="n">
        <f aca="false">L21+K22</f>
        <v>20591.556736263</v>
      </c>
    </row>
    <row r="23" customFormat="false" ht="15" hidden="false" customHeight="true" outlineLevel="0" collapsed="false">
      <c r="A23" s="9" t="n">
        <v>8</v>
      </c>
      <c r="B23" s="9" t="n">
        <v>8</v>
      </c>
      <c r="C23" s="9" t="n">
        <f aca="false">C22+B23</f>
        <v>76</v>
      </c>
      <c r="D23" s="35" t="n">
        <f aca="false">C23*$B$10</f>
        <v>22800</v>
      </c>
      <c r="E23" s="9" t="n">
        <f aca="false">ROUND(D23*$B$9,0)</f>
        <v>342</v>
      </c>
      <c r="F23" s="36" t="n">
        <v>500</v>
      </c>
      <c r="G23" s="36" t="n">
        <f aca="false">F23*$B$12</f>
        <v>1500</v>
      </c>
      <c r="H23" s="36" t="n">
        <f aca="false">E23*$B$5</f>
        <v>16070.58</v>
      </c>
      <c r="I23" s="36" t="n">
        <f aca="false">H23+G23</f>
        <v>17570.58</v>
      </c>
      <c r="J23" s="36" t="n">
        <f aca="false">(E23+G23/$B$5)*$B$6</f>
        <v>9161.08129389232</v>
      </c>
      <c r="K23" s="36" t="n">
        <f aca="false">I23-J23-I23*$B$7-F23</f>
        <v>5625.32330610768</v>
      </c>
      <c r="L23" s="36" t="n">
        <f aca="false">L22+K23</f>
        <v>26216.8800423707</v>
      </c>
    </row>
    <row r="24" customFormat="false" ht="15" hidden="false" customHeight="true" outlineLevel="0" collapsed="false">
      <c r="A24" s="8" t="n">
        <v>9</v>
      </c>
      <c r="B24" s="8" t="n">
        <v>8</v>
      </c>
      <c r="C24" s="8" t="n">
        <f aca="false">C23+B24</f>
        <v>84</v>
      </c>
      <c r="D24" s="33" t="n">
        <f aca="false">C24*$B$10</f>
        <v>25200</v>
      </c>
      <c r="E24" s="8" t="n">
        <f aca="false">ROUND(D24*$B$9,0)</f>
        <v>378</v>
      </c>
      <c r="F24" s="34" t="n">
        <v>500</v>
      </c>
      <c r="G24" s="34" t="n">
        <f aca="false">F24*$B$12</f>
        <v>1500</v>
      </c>
      <c r="H24" s="34" t="n">
        <f aca="false">E24*$B$5</f>
        <v>17762.22</v>
      </c>
      <c r="I24" s="34" t="n">
        <f aca="false">H24+G24</f>
        <v>19262.22</v>
      </c>
      <c r="J24" s="34" t="n">
        <f aca="false">(E24+G24/$B$5)*$B$6</f>
        <v>10043.0812938923</v>
      </c>
      <c r="K24" s="34" t="n">
        <f aca="false">I24-J24-I24*$B$7-F24</f>
        <v>6215.05010610768</v>
      </c>
      <c r="L24" s="34" t="n">
        <f aca="false">L23+K24</f>
        <v>32431.9301484784</v>
      </c>
    </row>
    <row r="25" customFormat="false" ht="15" hidden="false" customHeight="true" outlineLevel="0" collapsed="false">
      <c r="A25" s="9" t="n">
        <v>10</v>
      </c>
      <c r="B25" s="9" t="n">
        <v>5</v>
      </c>
      <c r="C25" s="9" t="n">
        <f aca="false">C24+B25</f>
        <v>89</v>
      </c>
      <c r="D25" s="35" t="n">
        <f aca="false">C25*$B$10</f>
        <v>26700</v>
      </c>
      <c r="E25" s="9" t="n">
        <f aca="false">ROUND(D25*$B$9,0)</f>
        <v>401</v>
      </c>
      <c r="F25" s="36" t="n">
        <v>700</v>
      </c>
      <c r="G25" s="36" t="n">
        <f aca="false">F25*$B$12</f>
        <v>2100</v>
      </c>
      <c r="H25" s="36" t="n">
        <f aca="false">E25*$B$5</f>
        <v>18842.99</v>
      </c>
      <c r="I25" s="36" t="n">
        <f aca="false">H25+G25</f>
        <v>20942.99</v>
      </c>
      <c r="J25" s="36" t="n">
        <f aca="false">(E25+G25/$B$5)*$B$6</f>
        <v>10919.4138114492</v>
      </c>
      <c r="K25" s="36" t="n">
        <f aca="false">I25-J25-I25*$B$7-F25</f>
        <v>6600.98748855076</v>
      </c>
      <c r="L25" s="36" t="n">
        <f aca="false">L24+K25</f>
        <v>39032.9176370292</v>
      </c>
    </row>
    <row r="26" customFormat="false" ht="15" hidden="false" customHeight="true" outlineLevel="0" collapsed="false">
      <c r="A26" s="8" t="n">
        <v>11</v>
      </c>
      <c r="B26" s="8" t="n">
        <v>5</v>
      </c>
      <c r="C26" s="8" t="n">
        <f aca="false">C25+B26</f>
        <v>94</v>
      </c>
      <c r="D26" s="33" t="n">
        <f aca="false">C26*$B$10</f>
        <v>28200</v>
      </c>
      <c r="E26" s="8" t="n">
        <f aca="false">ROUND(D26*$B$9,0)</f>
        <v>423</v>
      </c>
      <c r="F26" s="34" t="n">
        <v>700</v>
      </c>
      <c r="G26" s="34" t="n">
        <f aca="false">F26*$B$12</f>
        <v>2100</v>
      </c>
      <c r="H26" s="34" t="n">
        <f aca="false">E26*$B$5</f>
        <v>19876.77</v>
      </c>
      <c r="I26" s="34" t="n">
        <f aca="false">H26+G26</f>
        <v>21976.77</v>
      </c>
      <c r="J26" s="34" t="n">
        <f aca="false">(E26+G26/$B$5)*$B$6</f>
        <v>11458.4138114492</v>
      </c>
      <c r="K26" s="34" t="n">
        <f aca="false">I26-J26-I26*$B$7-F26</f>
        <v>6961.37608855075</v>
      </c>
      <c r="L26" s="34" t="n">
        <f aca="false">L25+K26</f>
        <v>45994.2937255799</v>
      </c>
    </row>
    <row r="27" customFormat="false" ht="15" hidden="false" customHeight="true" outlineLevel="0" collapsed="false">
      <c r="A27" s="9" t="n">
        <v>12</v>
      </c>
      <c r="B27" s="9" t="n">
        <v>5</v>
      </c>
      <c r="C27" s="9" t="n">
        <f aca="false">C26+B27</f>
        <v>99</v>
      </c>
      <c r="D27" s="35" t="n">
        <f aca="false">C27*$B$10</f>
        <v>29700</v>
      </c>
      <c r="E27" s="9" t="n">
        <f aca="false">ROUND(D27*$B$9,0)</f>
        <v>446</v>
      </c>
      <c r="F27" s="36" t="n">
        <v>700</v>
      </c>
      <c r="G27" s="36" t="n">
        <f aca="false">F27*$B$12</f>
        <v>2100</v>
      </c>
      <c r="H27" s="36" t="n">
        <f aca="false">E27*$B$5</f>
        <v>20957.54</v>
      </c>
      <c r="I27" s="36" t="n">
        <f aca="false">H27+G27</f>
        <v>23057.54</v>
      </c>
      <c r="J27" s="36" t="n">
        <f aca="false">(E27+G27/$B$5)*$B$6</f>
        <v>12021.9138114492</v>
      </c>
      <c r="K27" s="36" t="n">
        <f aca="false">I27-J27-I27*$B$7-F27</f>
        <v>7338.14598855076</v>
      </c>
      <c r="L27" s="36" t="n">
        <f aca="false">L26+K27</f>
        <v>53332.4397141307</v>
      </c>
    </row>
    <row r="28" customFormat="false" ht="15" hidden="false" customHeight="true" outlineLevel="0" collapsed="false">
      <c r="A28" s="19" t="s">
        <v>372</v>
      </c>
      <c r="B28" s="37" t="n">
        <f aca="false">SUM(B16:B27)</f>
        <v>99</v>
      </c>
      <c r="C28" s="1" t="n">
        <f aca="false">C27</f>
        <v>99</v>
      </c>
      <c r="E28" s="37" t="n">
        <f aca="false">SUM(E16:E27)</f>
        <v>3241</v>
      </c>
      <c r="F28" s="38" t="n">
        <f aca="false">SUM(F16:F27)</f>
        <v>5250</v>
      </c>
      <c r="G28" s="38" t="n">
        <f aca="false">SUM(G16:G27)</f>
        <v>15750</v>
      </c>
      <c r="H28" s="38" t="n">
        <f aca="false">SUM(H16:H27)</f>
        <v>152294.59</v>
      </c>
      <c r="I28" s="38" t="n">
        <f aca="false">SUM(I16:I27)</f>
        <v>168044.59</v>
      </c>
      <c r="J28" s="38" t="n">
        <f aca="false">SUM(J16:J27)</f>
        <v>87616.3535858693</v>
      </c>
      <c r="K28" s="38" t="n">
        <f aca="false">SUM(K16:K27)</f>
        <v>53332.4397141307</v>
      </c>
      <c r="L28" s="38" t="n">
        <f aca="false">L27</f>
        <v>53332.4397141307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55"/>
    <col collapsed="false" customWidth="true" hidden="false" outlineLevel="0" max="4" min="4" style="1" width="45"/>
  </cols>
  <sheetData>
    <row r="1" customFormat="false" ht="17.25" hidden="false" customHeight="true" outlineLevel="0" collapsed="false">
      <c r="A1" s="25" t="s">
        <v>373</v>
      </c>
    </row>
    <row r="3" customFormat="false" ht="15" hidden="false" customHeight="true" outlineLevel="0" collapsed="false">
      <c r="A3" s="11" t="s">
        <v>374</v>
      </c>
      <c r="B3" s="11" t="s">
        <v>375</v>
      </c>
      <c r="C3" s="11" t="s">
        <v>376</v>
      </c>
      <c r="D3" s="11" t="s">
        <v>377</v>
      </c>
    </row>
    <row r="4" customFormat="false" ht="23.25" hidden="false" customHeight="true" outlineLevel="0" collapsed="false">
      <c r="A4" s="22" t="s">
        <v>378</v>
      </c>
      <c r="B4" s="22" t="s">
        <v>379</v>
      </c>
      <c r="C4" s="22" t="s">
        <v>380</v>
      </c>
      <c r="D4" s="22" t="s">
        <v>381</v>
      </c>
    </row>
    <row r="5" customFormat="false" ht="23.25" hidden="false" customHeight="true" outlineLevel="0" collapsed="false">
      <c r="A5" s="23" t="s">
        <v>382</v>
      </c>
      <c r="B5" s="23" t="s">
        <v>383</v>
      </c>
      <c r="C5" s="23" t="s">
        <v>384</v>
      </c>
      <c r="D5" s="23" t="s">
        <v>385</v>
      </c>
    </row>
    <row r="6" customFormat="false" ht="23.25" hidden="false" customHeight="true" outlineLevel="0" collapsed="false">
      <c r="A6" s="22" t="s">
        <v>386</v>
      </c>
      <c r="B6" s="22" t="s">
        <v>387</v>
      </c>
      <c r="C6" s="22" t="s">
        <v>388</v>
      </c>
      <c r="D6" s="22" t="s">
        <v>389</v>
      </c>
    </row>
    <row r="7" customFormat="false" ht="23.25" hidden="false" customHeight="true" outlineLevel="0" collapsed="false">
      <c r="A7" s="23" t="s">
        <v>390</v>
      </c>
      <c r="B7" s="23" t="s">
        <v>391</v>
      </c>
      <c r="C7" s="23" t="s">
        <v>392</v>
      </c>
      <c r="D7" s="23" t="s">
        <v>393</v>
      </c>
    </row>
    <row r="8" customFormat="false" ht="23.25" hidden="false" customHeight="true" outlineLevel="0" collapsed="false">
      <c r="A8" s="22" t="s">
        <v>394</v>
      </c>
      <c r="B8" s="22" t="s">
        <v>395</v>
      </c>
      <c r="C8" s="22" t="s">
        <v>396</v>
      </c>
      <c r="D8" s="22" t="s">
        <v>397</v>
      </c>
    </row>
    <row r="9" customFormat="false" ht="23.25" hidden="false" customHeight="true" outlineLevel="0" collapsed="false">
      <c r="A9" s="23" t="s">
        <v>398</v>
      </c>
      <c r="B9" s="23" t="s">
        <v>399</v>
      </c>
      <c r="C9" s="23" t="s">
        <v>400</v>
      </c>
      <c r="D9" s="23" t="s">
        <v>401</v>
      </c>
    </row>
    <row r="10" customFormat="false" ht="23.25" hidden="false" customHeight="true" outlineLevel="0" collapsed="false">
      <c r="A10" s="22" t="s">
        <v>402</v>
      </c>
      <c r="B10" s="22" t="s">
        <v>403</v>
      </c>
      <c r="C10" s="22" t="s">
        <v>404</v>
      </c>
      <c r="D10" s="22" t="s">
        <v>405</v>
      </c>
    </row>
    <row r="11" customFormat="false" ht="23.25" hidden="false" customHeight="true" outlineLevel="0" collapsed="false">
      <c r="A11" s="23" t="s">
        <v>406</v>
      </c>
      <c r="B11" s="23" t="s">
        <v>407</v>
      </c>
      <c r="C11" s="23" t="s">
        <v>408</v>
      </c>
      <c r="D11" s="23" t="s">
        <v>409</v>
      </c>
    </row>
    <row r="12" customFormat="false" ht="23.25" hidden="false" customHeight="true" outlineLevel="0" collapsed="false">
      <c r="A12" s="22" t="s">
        <v>410</v>
      </c>
      <c r="B12" s="22" t="s">
        <v>411</v>
      </c>
      <c r="C12" s="22" t="s">
        <v>412</v>
      </c>
      <c r="D12" s="22" t="s">
        <v>413</v>
      </c>
    </row>
    <row r="13" customFormat="false" ht="23.25" hidden="false" customHeight="true" outlineLevel="0" collapsed="false">
      <c r="A13" s="23" t="s">
        <v>414</v>
      </c>
      <c r="B13" s="23" t="s">
        <v>415</v>
      </c>
      <c r="C13" s="23" t="s">
        <v>416</v>
      </c>
      <c r="D13" s="23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C71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2"/>
    <col collapsed="false" customWidth="true" hidden="false" outlineLevel="0" max="3" min="3" style="1" width="60"/>
    <col collapsed="false" customWidth="true" hidden="false" outlineLevel="0" max="4" min="4" style="1" width="28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30"/>
  </cols>
  <sheetData>
    <row r="1" customFormat="false" ht="17.25" hidden="false" customHeight="true" outlineLevel="0" collapsed="false">
      <c r="A1" s="25" t="s">
        <v>418</v>
      </c>
    </row>
    <row r="3" customFormat="false" ht="15" hidden="false" customHeight="true" outlineLevel="0" collapsed="false">
      <c r="A3" s="11" t="s">
        <v>419</v>
      </c>
      <c r="B3" s="11" t="s">
        <v>420</v>
      </c>
      <c r="C3" s="11" t="s">
        <v>421</v>
      </c>
      <c r="D3" s="11" t="s">
        <v>422</v>
      </c>
      <c r="E3" s="11" t="s">
        <v>423</v>
      </c>
      <c r="F3" s="11" t="s">
        <v>424</v>
      </c>
      <c r="G3" s="11" t="s">
        <v>425</v>
      </c>
    </row>
    <row r="4" customFormat="false" ht="23.25" hidden="false" customHeight="true" outlineLevel="0" collapsed="false">
      <c r="A4" s="22" t="s">
        <v>426</v>
      </c>
      <c r="B4" s="8" t="s">
        <v>427</v>
      </c>
      <c r="C4" s="22" t="s">
        <v>428</v>
      </c>
      <c r="D4" s="22" t="s">
        <v>429</v>
      </c>
      <c r="E4" s="8" t="n">
        <v>10</v>
      </c>
      <c r="F4" s="8" t="s">
        <v>430</v>
      </c>
      <c r="G4" s="22" t="s">
        <v>431</v>
      </c>
    </row>
    <row r="5" customFormat="false" ht="23.25" hidden="false" customHeight="true" outlineLevel="0" collapsed="false">
      <c r="A5" s="23" t="s">
        <v>426</v>
      </c>
      <c r="B5" s="9" t="s">
        <v>432</v>
      </c>
      <c r="C5" s="23" t="s">
        <v>433</v>
      </c>
      <c r="D5" s="23" t="s">
        <v>434</v>
      </c>
      <c r="E5" s="9" t="n">
        <v>20</v>
      </c>
      <c r="F5" s="9" t="s">
        <v>430</v>
      </c>
      <c r="G5" s="23" t="s">
        <v>435</v>
      </c>
    </row>
    <row r="6" customFormat="false" ht="23.25" hidden="false" customHeight="true" outlineLevel="0" collapsed="false">
      <c r="A6" s="22" t="s">
        <v>436</v>
      </c>
      <c r="B6" s="8" t="s">
        <v>437</v>
      </c>
      <c r="C6" s="22" t="s">
        <v>438</v>
      </c>
      <c r="D6" s="22" t="s">
        <v>439</v>
      </c>
      <c r="E6" s="8" t="n">
        <v>30</v>
      </c>
      <c r="F6" s="8" t="s">
        <v>440</v>
      </c>
      <c r="G6" s="22" t="s">
        <v>441</v>
      </c>
    </row>
    <row r="7" customFormat="false" ht="23.25" hidden="false" customHeight="true" outlineLevel="0" collapsed="false">
      <c r="A7" s="23" t="s">
        <v>436</v>
      </c>
      <c r="B7" s="9" t="s">
        <v>442</v>
      </c>
      <c r="C7" s="23" t="s">
        <v>443</v>
      </c>
      <c r="D7" s="23" t="s">
        <v>444</v>
      </c>
      <c r="E7" s="9" t="n">
        <v>40</v>
      </c>
      <c r="F7" s="9" t="s">
        <v>440</v>
      </c>
      <c r="G7" s="23" t="s">
        <v>445</v>
      </c>
    </row>
    <row r="8" customFormat="false" ht="23.25" hidden="false" customHeight="true" outlineLevel="0" collapsed="false">
      <c r="A8" s="22" t="s">
        <v>446</v>
      </c>
      <c r="B8" s="8" t="s">
        <v>447</v>
      </c>
      <c r="C8" s="22" t="s">
        <v>448</v>
      </c>
      <c r="D8" s="22" t="s">
        <v>449</v>
      </c>
      <c r="E8" s="8" t="n">
        <v>48</v>
      </c>
      <c r="F8" s="8" t="s">
        <v>450</v>
      </c>
      <c r="G8" s="22" t="s">
        <v>451</v>
      </c>
    </row>
    <row r="9" customFormat="false" ht="23.25" hidden="false" customHeight="true" outlineLevel="0" collapsed="false">
      <c r="A9" s="23" t="s">
        <v>446</v>
      </c>
      <c r="B9" s="9" t="s">
        <v>452</v>
      </c>
      <c r="C9" s="23" t="s">
        <v>453</v>
      </c>
      <c r="D9" s="23" t="s">
        <v>454</v>
      </c>
      <c r="E9" s="9" t="n">
        <v>56</v>
      </c>
      <c r="F9" s="9" t="s">
        <v>450</v>
      </c>
      <c r="G9" s="23" t="s">
        <v>455</v>
      </c>
    </row>
    <row r="12" customFormat="false" ht="15" hidden="false" customHeight="true" outlineLevel="0" collapsed="false">
      <c r="A12" s="26" t="s">
        <v>456</v>
      </c>
      <c r="B12" s="6"/>
      <c r="C12" s="6"/>
      <c r="D12" s="6"/>
      <c r="E12" s="6"/>
      <c r="F12" s="6"/>
      <c r="G12" s="6"/>
    </row>
    <row r="13" customFormat="false" ht="15" hidden="false" customHeight="true" outlineLevel="0" collapsed="false">
      <c r="A13" s="4" t="s">
        <v>457</v>
      </c>
      <c r="B13" s="4" t="s">
        <v>458</v>
      </c>
    </row>
    <row r="14" customFormat="false" ht="15" hidden="false" customHeight="true" outlineLevel="0" collapsed="false">
      <c r="A14" s="4" t="s">
        <v>459</v>
      </c>
      <c r="B14" s="4" t="s">
        <v>460</v>
      </c>
    </row>
    <row r="15" customFormat="false" ht="15" hidden="false" customHeight="true" outlineLevel="0" collapsed="false">
      <c r="A15" s="4" t="s">
        <v>461</v>
      </c>
      <c r="B15" s="4" t="s">
        <v>462</v>
      </c>
    </row>
    <row r="16" customFormat="false" ht="15" hidden="false" customHeight="true" outlineLevel="0" collapsed="false">
      <c r="A16" s="4" t="s">
        <v>463</v>
      </c>
      <c r="B16" s="4" t="s">
        <v>464</v>
      </c>
    </row>
    <row r="17" customFormat="false" ht="15" hidden="false" customHeight="true" outlineLevel="0" collapsed="false">
      <c r="A17" s="4" t="s">
        <v>465</v>
      </c>
      <c r="B17" s="4" t="s">
        <v>466</v>
      </c>
    </row>
    <row r="18" customFormat="false" ht="15" hidden="false" customHeight="true" outlineLevel="0" collapsed="false">
      <c r="A18" s="39" t="s">
        <v>467</v>
      </c>
      <c r="B18" s="40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2026-02-18T05:46:30Z</dcterms:created>
  <dc:creator>openpyxl</dc:creator>
  <dc:description/>
  <dc:language>en-US</dc:language>
  <cp:lastModifiedBy/>
  <dcterms:modified xsi:type="dcterms:W3CDTF">2026-02-18T05:47:29Z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