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OP Product Catalog" sheetId="1" state="visible" r:id="rId3"/>
    <sheet name="Profitability Analysis" sheetId="2" state="visible" r:id="rId4"/>
    <sheet name="API &amp; Integration" sheetId="3" state="visible" r:id="rId5"/>
    <sheet name="Recommendation" sheetId="4" state="visible" r:id="rId6"/>
    <sheet name="Size-Based Pric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<sst xmlns="http://schemas.openxmlformats.org/spreadsheetml/2006/main" count="365" uniqueCount="236">
  <si>
    <t xml:space="preserve">Platform</t>
  </si>
  <si>
    <t xml:space="preserve">Product Name</t>
  </si>
  <si>
    <t xml:space="preserve">Blueprint/ID</t>
  </si>
  <si>
    <t xml:space="preserve">Provider</t>
  </si>
  <si>
    <t xml:space="preserve">Location</t>
  </si>
  <si>
    <t xml:space="preserve">Tariff</t>
  </si>
  <si>
    <t xml:space="preserve">Material</t>
  </si>
  <si>
    <t xml:space="preserve">Weight (g/m²)</t>
  </si>
  <si>
    <t xml:space="preserve">Style</t>
  </si>
  <si>
    <t xml:space="preserve">Sizes</t>
  </si>
  <si>
    <t xml:space="preserve">Size Count</t>
  </si>
  <si>
    <t xml:space="preserve">COGS (USD)</t>
  </si>
  <si>
    <t xml:space="preserve">COGS (CAD)</t>
  </si>
  <si>
    <t xml:space="preserve">Shipping US (USD)</t>
  </si>
  <si>
    <t xml:space="preserve">Shipping CA (CAD)</t>
  </si>
  <si>
    <t xml:space="preserve">Production (days)</t>
  </si>
  <si>
    <t xml:space="preserve">Rating</t>
  </si>
  <si>
    <t xml:space="preserve">API</t>
  </si>
  <si>
    <t xml:space="preserve">Notes</t>
  </si>
  <si>
    <t xml:space="preserve">Printify</t>
  </si>
  <si>
    <t xml:space="preserve">AOP Pullover Hoodie</t>
  </si>
  <si>
    <t xml:space="preserve">BP450</t>
  </si>
  <si>
    <t xml:space="preserve">MWW On Demand</t>
  </si>
  <si>
    <t xml:space="preserve">USA (NC)</t>
  </si>
  <si>
    <t xml:space="preserve">0%</t>
  </si>
  <si>
    <t xml:space="preserve">100% polyester</t>
  </si>
  <si>
    <t xml:space="preserve">Fashion hoodie</t>
  </si>
  <si>
    <t xml:space="preserve">XS-2XL</t>
  </si>
  <si>
    <t xml:space="preserve">4.0+</t>
  </si>
  <si>
    <t xml:space="preserve">Yes (Printify)</t>
  </si>
  <si>
    <t xml:space="preserve">Current product. Heavy, cozy fashion hoodie with kangaroo pocket.</t>
  </si>
  <si>
    <t xml:space="preserve">AOP Zip Hoodie</t>
  </si>
  <si>
    <t xml:space="preserve">BP (Zip)</t>
  </si>
  <si>
    <t xml:space="preserve">Fashion zip hoodie</t>
  </si>
  <si>
    <t xml:space="preserve">Zip variant of BP450. Higher cost, less popular silhouette for AOP.</t>
  </si>
  <si>
    <t xml:space="preserve">Sports Warmup Hoodie</t>
  </si>
  <si>
    <t xml:space="preserve">BP1338</t>
  </si>
  <si>
    <t xml:space="preserve">Miami Sublimation</t>
  </si>
  <si>
    <t xml:space="preserve">USA (FL)</t>
  </si>
  <si>
    <t xml:space="preserve">100% polyester (moisture-wicking)</t>
  </si>
  <si>
    <t xml:space="preserve">Athletic/outdoor</t>
  </si>
  <si>
    <t xml:space="preserve">XS-4XL</t>
  </si>
  <si>
    <t xml:space="preserve">CHEAPEST US option. UPF 50+, lightweight athletic. NOT a fashion hoodie.</t>
  </si>
  <si>
    <t xml:space="preserve">AOP Sweatshirt</t>
  </si>
  <si>
    <t xml:space="preserve">BP449</t>
  </si>
  <si>
    <t xml:space="preserve">Fashion crewneck</t>
  </si>
  <si>
    <t xml:space="preserve">3.2</t>
  </si>
  <si>
    <t xml:space="preserve">Current sweatshirt product. Cut and sewn, no seam lines.</t>
  </si>
  <si>
    <t xml:space="preserve">Lightweight Sweatshirt</t>
  </si>
  <si>
    <t xml:space="preserve">BP1023</t>
  </si>
  <si>
    <t xml:space="preserve">Smart Printee</t>
  </si>
  <si>
    <t xml:space="preserve">CHINA</t>
  </si>
  <si>
    <t xml:space="preserve">~34.5%</t>
  </si>
  <si>
    <t xml:space="preserve">95% polyester / 5% spandex</t>
  </si>
  <si>
    <t xml:space="preserve">S-4XL</t>
  </si>
  <si>
    <t xml:space="preserve">China-only. Cheap COGS but $18 shipping + 34.5% tariff kills margin.</t>
  </si>
  <si>
    <t xml:space="preserve">Printful</t>
  </si>
  <si>
    <t xml:space="preserve">AOP Recycled Hoodie</t>
  </si>
  <si>
    <t xml:space="preserve">N/A</t>
  </si>
  <si>
    <t xml:space="preserve">Printful (in-house)</t>
  </si>
  <si>
    <t xml:space="preserve">USA</t>
  </si>
  <si>
    <t xml:space="preserve">100% recycled polyester</t>
  </si>
  <si>
    <t xml:space="preserve">2XS-6XL</t>
  </si>
  <si>
    <t xml:space="preserve">5-7</t>
  </si>
  <si>
    <t xml:space="preserve">Yes (Printful)</t>
  </si>
  <si>
    <t xml:space="preserve">562 reviews. Eco-friendly. Widest size range (11 sizes). EXPENSIVE.</t>
  </si>
  <si>
    <t xml:space="preserve">AOP Cotton Hoodie</t>
  </si>
  <si>
    <t xml:space="preserve">100% cotton (all-over)</t>
  </si>
  <si>
    <t xml:space="preserve">Cotton AOP — unique feel but highest cost.</t>
  </si>
  <si>
    <t xml:space="preserve">Zip variant. Most expensive option.</t>
  </si>
  <si>
    <t xml:space="preserve">CustomCat</t>
  </si>
  <si>
    <t xml:space="preserve">NO AOP HOODIE</t>
  </si>
  <si>
    <t xml:space="preserve">USA (MI)</t>
  </si>
  <si>
    <t xml:space="preserve">Yes (CustomCat)</t>
  </si>
  <si>
    <t xml:space="preserve">Only has AOP leggings. NO AOP hoodies or sweatshirts.</t>
  </si>
  <si>
    <t xml:space="preserve">Gooten</t>
  </si>
  <si>
    <t xml:space="preserve">Gooten network</t>
  </si>
  <si>
    <t xml:space="preserve">Global (250+ hubs)</t>
  </si>
  <si>
    <t xml:space="preserve">0% (US hubs)</t>
  </si>
  <si>
    <t xml:space="preserve">Varies</t>
  </si>
  <si>
    <t xml:space="preserve">Yes (Gooten)</t>
  </si>
  <si>
    <t xml:space="preserve">Pricing hidden behind merchant account. Cut &amp; sewn, kangaroo pocket.</t>
  </si>
  <si>
    <t xml:space="preserve">SPOD</t>
  </si>
  <si>
    <t xml:space="preserve">AOP products</t>
  </si>
  <si>
    <t xml:space="preserve">Spreadshirt</t>
  </si>
  <si>
    <t xml:space="preserve">Germany + US</t>
  </si>
  <si>
    <t xml:space="preserve">0% (US)</t>
  </si>
  <si>
    <t xml:space="preserve">Various</t>
  </si>
  <si>
    <t xml:space="preserve">Yes (SPOD)</t>
  </si>
  <si>
    <t xml:space="preserve">AOP hoodie availability unconfirmed. ~$20+ base cost.</t>
  </si>
  <si>
    <t xml:space="preserve">Gelato</t>
  </si>
  <si>
    <t xml:space="preserve">AOP Hoodie</t>
  </si>
  <si>
    <t xml:space="preserve">Gelato network</t>
  </si>
  <si>
    <t xml:space="preserve">90% local to buyer</t>
  </si>
  <si>
    <t xml:space="preserve">100% polyester (Gildan 18500)</t>
  </si>
  <si>
    <t xml:space="preserve">S-5XL</t>
  </si>
  <si>
    <t xml:space="preserve">4-6</t>
  </si>
  <si>
    <t xml:space="preserve">Yes (Gelato)</t>
  </si>
  <si>
    <t xml:space="preserve">DTG on Gildan, NOT true cut-and-sew AOP. May have seam lines.</t>
  </si>
  <si>
    <t xml:space="preserve">ASSUMPTIONS</t>
  </si>
  <si>
    <t xml:space="preserve">CAD/USD Exchange Rate</t>
  </si>
  <si>
    <t xml:space="preserve">Etsy Transaction Fee</t>
  </si>
  <si>
    <t xml:space="preserve">Etsy Payment Fee</t>
  </si>
  <si>
    <t xml:space="preserve">Etsy Fixed Fees</t>
  </si>
  <si>
    <t xml:space="preserve">China Tariff Rate</t>
  </si>
  <si>
    <t xml:space="preserve">Product</t>
  </si>
  <si>
    <t xml:space="preserve">Tariff Cost</t>
  </si>
  <si>
    <t xml:space="preserve">Landed COGS</t>
  </si>
  <si>
    <t xml:space="preserve">Shipping (USD)</t>
  </si>
  <si>
    <t xml:space="preserve">Total Cost (USD)</t>
  </si>
  <si>
    <t xml:space="preserve">Sale CAD $40</t>
  </si>
  <si>
    <t xml:space="preserve">Sale CAD $45</t>
  </si>
  <si>
    <t xml:space="preserve">Sale CAD $50</t>
  </si>
  <si>
    <t xml:space="preserve">Sale CAD $55</t>
  </si>
  <si>
    <t xml:space="preserve">Sale CAD $60</t>
  </si>
  <si>
    <t xml:space="preserve">Profit @$40</t>
  </si>
  <si>
    <t xml:space="preserve">Profit @$45</t>
  </si>
  <si>
    <t xml:space="preserve">Profit @$50</t>
  </si>
  <si>
    <t xml:space="preserve">Profit @$55</t>
  </si>
  <si>
    <t xml:space="preserve">Profit @$60</t>
  </si>
  <si>
    <t xml:space="preserve">Margin @$40</t>
  </si>
  <si>
    <t xml:space="preserve">Margin @$45</t>
  </si>
  <si>
    <t xml:space="preserve">Margin @$50</t>
  </si>
  <si>
    <t xml:space="preserve">Margin @$55</t>
  </si>
  <si>
    <t xml:space="preserve">Margin @$60</t>
  </si>
  <si>
    <t xml:space="preserve">Break-Even CAD</t>
  </si>
  <si>
    <t xml:space="preserve">Verdict</t>
  </si>
  <si>
    <t xml:space="preserve">AOP Tee (BP1242)</t>
  </si>
  <si>
    <t xml:space="preserve">AOP Sweatshirt (BP449)</t>
  </si>
  <si>
    <t xml:space="preserve">Sports Warmup Hoodie (BP1338)</t>
  </si>
  <si>
    <t xml:space="preserve">AOP Pullover Hoodie (BP450)</t>
  </si>
  <si>
    <t xml:space="preserve">Lightweight Sweatshirt (BP1023)</t>
  </si>
  <si>
    <t xml:space="preserve">Gelato AOP Hoodie</t>
  </si>
  <si>
    <t xml:space="preserve">API Available</t>
  </si>
  <si>
    <t xml:space="preserve">API Type</t>
  </si>
  <si>
    <t xml:space="preserve">Etsy Integration</t>
  </si>
  <si>
    <t xml:space="preserve">Shopify Integration</t>
  </si>
  <si>
    <t xml:space="preserve">Auto-fulfillment</t>
  </si>
  <si>
    <t xml:space="preserve">Webhook Support</t>
  </si>
  <si>
    <t xml:space="preserve">Current Setup</t>
  </si>
  <si>
    <t xml:space="preserve">Migration Effort</t>
  </si>
  <si>
    <t xml:space="preserve">Yes</t>
  </si>
  <si>
    <t xml:space="preserve">REST API (v1)</t>
  </si>
  <si>
    <t xml:space="preserve">Yes (native)</t>
  </si>
  <si>
    <t xml:space="preserve">CURRENT - Full pipeline built</t>
  </si>
  <si>
    <t xml:space="preserve">N/A (already using)</t>
  </si>
  <si>
    <t xml:space="preserve">Already integrated. 200 req/30min limit.</t>
  </si>
  <si>
    <t xml:space="preserve">REST API (v2)</t>
  </si>
  <si>
    <t xml:space="preserve">Not set up</t>
  </si>
  <si>
    <t xml:space="preserve">MEDIUM - New API, similar concepts</t>
  </si>
  <si>
    <t xml:space="preserve">Good docs at developers.printful.com. OAuth2.</t>
  </si>
  <si>
    <t xml:space="preserve">REST API</t>
  </si>
  <si>
    <t xml:space="preserve">Yes (via API)</t>
  </si>
  <si>
    <t xml:space="preserve">HIGH - Different model/endpoints</t>
  </si>
  <si>
    <t xml:space="preserve">Requires merchant account for pricing/access.</t>
  </si>
  <si>
    <t xml:space="preserve">REST API + CSV</t>
  </si>
  <si>
    <t xml:space="preserve">Limited</t>
  </si>
  <si>
    <t xml:space="preserve">HIGH - No AOP products anyway</t>
  </si>
  <si>
    <t xml:space="preserve">Has API but no AOP hoodies/sweatshirts to use it with.</t>
  </si>
  <si>
    <t xml:space="preserve">HIGH - AOP unconfirmed</t>
  </si>
  <si>
    <t xml:space="preserve">api.spod.com/docs. Germany-based, US fulfillment partial.</t>
  </si>
  <si>
    <t xml:space="preserve">MEDIUM - Good docs</t>
  </si>
  <si>
    <t xml:space="preserve">BUT may not be true cut-and-sew AOP (DTG on Gildan blanks).</t>
  </si>
  <si>
    <t xml:space="preserve">AOP HOODIE &amp; SWEATSHIRT PROVIDER ANALYSIS — RECOMMENDATION</t>
  </si>
  <si>
    <t xml:space="preserve">EXECUTIVE SUMMARY</t>
  </si>
  <si>
    <t xml:space="preserve">Problem:</t>
  </si>
  <si>
    <t xml:space="preserve">Competitors sell AOP hoodies/sweatshirts at CAD $40-60. Our current products (MWW On Demand via Printify) have COGS of $44.25 USD for hoodies and $27.90 USD for sweatshirts — making hoodies unprofitable and sweatshirts barely viable at market prices.</t>
  </si>
  <si>
    <t xml:space="preserve">Research Scope:</t>
  </si>
  <si>
    <t xml:space="preserve">Checked all Printify blueprints (BP450, BP1338, BP449, BP1023), Printful (3 AOP hoodies), CustomCat (no AOP hoodies), Gooten (hidden pricing), SPOD (AOP unconfirmed), Gelato (may not be true AOP).</t>
  </si>
  <si>
    <t xml:space="preserve">Key Finding #1:</t>
  </si>
  <si>
    <t xml:space="preserve">NO US-based provider offers an AOP fashion hoodie under $28 USD. The cheapest US option is the Miami Sublimation Sports Warmup Hoodie at $28.28 — but it is an athletic/outdoor hoodie (lightweight, moisture-wicking), NOT a cozy fashion hoodie.</t>
  </si>
  <si>
    <t xml:space="preserve">Key Finding #2:</t>
  </si>
  <si>
    <t xml:space="preserve">The AOP sweatshirt (BP449) at $27.90 USD is the ONLY fashion product that can work at CAD $50-60 with thin margins (1.7-13.6%).</t>
  </si>
  <si>
    <t xml:space="preserve">Key Finding #3:</t>
  </si>
  <si>
    <t xml:space="preserve">All non-Printify platforms (Printful, Gelato) are MORE expensive than Printify for comparable AOP products. CustomCat has no AOP hoodies at all.</t>
  </si>
  <si>
    <t xml:space="preserve">Key Finding #4:</t>
  </si>
  <si>
    <t xml:space="preserve">China-based products (BP1023 at $15.63) look cheap but $17.99 shipping + 34.5% tariff = $39.01 total landed cost — worse than MWW.</t>
  </si>
  <si>
    <t xml:space="preserve">VIABLE PRODUCTS AT CAD $40-60</t>
  </si>
  <si>
    <t xml:space="preserve">COGS+Ship</t>
  </si>
  <si>
    <t xml:space="preserve">Best Price CAD</t>
  </si>
  <si>
    <t xml:space="preserve">Profit USD</t>
  </si>
  <si>
    <t xml:space="preserve">Margin</t>
  </si>
  <si>
    <t xml:space="preserve">AOP Tee (BP1242) — Miami Sub</t>
  </si>
  <si>
    <t xml:space="preserve">$25.63</t>
  </si>
  <si>
    <t xml:space="preserve">$40-60</t>
  </si>
  <si>
    <t xml:space="preserve">$1.87-$16.07</t>
  </si>
  <si>
    <t xml:space="preserve">6.5-37.2%</t>
  </si>
  <si>
    <t xml:space="preserve">BEST — profitable at all prices</t>
  </si>
  <si>
    <t xml:space="preserve">AOP Sweatshirt (BP449) — MWW</t>
  </si>
  <si>
    <t xml:space="preserve">$36.49</t>
  </si>
  <si>
    <t xml:space="preserve">$50-60</t>
  </si>
  <si>
    <t xml:space="preserve">$0.47-$6.62</t>
  </si>
  <si>
    <t xml:space="preserve">1.3-15.3%</t>
  </si>
  <si>
    <t xml:space="preserve">OK at $55-60 only</t>
  </si>
  <si>
    <t xml:space="preserve">$34.37</t>
  </si>
  <si>
    <t xml:space="preserve">$1.59-$8.43</t>
  </si>
  <si>
    <t xml:space="preserve">4.4-19.5%</t>
  </si>
  <si>
    <t xml:space="preserve">NICHE — athletic only, not fashion</t>
  </si>
  <si>
    <t xml:space="preserve">AOP Hoodie (BP450) — MWW</t>
  </si>
  <si>
    <t xml:space="preserve">$52.84</t>
  </si>
  <si>
    <t xml:space="preserve">LOSS at all prices</t>
  </si>
  <si>
    <t xml:space="preserve">Negative</t>
  </si>
  <si>
    <t xml:space="preserve">NOT VIABLE at CAD $40-60</t>
  </si>
  <si>
    <t xml:space="preserve">Printful Recycled Hoodie</t>
  </si>
  <si>
    <t xml:space="preserve">$48.74</t>
  </si>
  <si>
    <t xml:space="preserve">NOT VIABLE — even more expensive</t>
  </si>
  <si>
    <t xml:space="preserve">STRATEGIC RECOMMENDATIONS</t>
  </si>
  <si>
    <t xml:space="preserve">Strategy A: Price Higher</t>
  </si>
  <si>
    <t xml:space="preserve">Keep current AOP hoodie at CAD $74.99 (your current price). Differentiate on design quality, not price. Target buyers who value unique AOP art over cheap hoodies. This is what top sellers (QMLDesignLab) do.</t>
  </si>
  <si>
    <t xml:space="preserve">Strategy B: Multi-Tier</t>
  </si>
  <si>
    <t xml:space="preserve">Use AOP Tee ($40-50 CAD) as entry + AOP Sweatshirt ($55-60 CAD) as mid-tier + AOP Hoodie ($75 CAD) as premium. The tee captures price-sensitive buyers, hoodie captures design lovers.</t>
  </si>
  <si>
    <t xml:space="preserve">Strategy C: Athletic Niche</t>
  </si>
  <si>
    <t xml:space="preserve">Add BP1338 Sports Warmup Hoodie ($45-50 CAD) for outdoor/fitness niche. Market as "performance art hoodie" with UPF 50+ sun protection. Different audience than fashion hoodies.</t>
  </si>
  <si>
    <t xml:space="preserve">Strategy D: Wait for Market</t>
  </si>
  <si>
    <t xml:space="preserve">AOP production costs are high industry-wide. No platform offers a cheap US-based AOP hoodie. Wait for new providers/blanks, or wait for tariffs to expire (Section 122 expires Jul 2026).</t>
  </si>
  <si>
    <t xml:space="preserve">RECOMMENDED:</t>
  </si>
  <si>
    <t xml:space="preserve">Strategy B (Multi-Tier) — Already planned. The AOP tee is your margin-maker at competitive prices. The hoodie is your brand-builder at premium prices. Do NOT try to compete on hoodie price.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</si>
  <si>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</si>
  <si>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</si>
  <si>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</si>
  <si>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</si>
  <si>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</si>
  <si>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</si>
  <si>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</si>
  <si>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4XL</t>
  </si>
  <si>
    <t xml:space="preserve">5XL</t>
  </si>
  <si>
    <t xml:space="preserve">6XL</t>
  </si>
  <si>
    <t xml:space="preserve">Currency</t>
  </si>
  <si>
    <t xml:space="preserve">BP450 AOP Hoodie (MWW)</t>
  </si>
  <si>
    <t xml:space="preserve">USD</t>
  </si>
  <si>
    <t xml:space="preserve">BP1338 Sports Warmup (Miami)</t>
  </si>
  <si>
    <t xml:space="preserve">USD (Premium)</t>
  </si>
  <si>
    <t xml:space="preserve">USD (Standard)</t>
  </si>
  <si>
    <t xml:space="preserve">BP449 AOP Sweatshirt (MWW)</t>
  </si>
  <si>
    <t xml:space="preserve">BP1023 Lightweight (Smart Printee)</t>
  </si>
  <si>
    <t xml:space="preserve">USD (est.)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</si>
</sst>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[$$-en-CA]#,##0.00"/>
    <numFmt numFmtId="167" formatCode="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AEEF3"/>
        <bgColor rgb="FFCCFFFF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C6EFCE"/>
        <bgColor rgb="FFDAEEF3"/>
      </patternFill>
    </fill>
    <fill>
      <patternFill patternType="solid">
        <fgColor rgb="FFFFD966"/>
        <bgColor rgb="FFFFCC00"/>
      </patternFill>
    </fill>
    <fill>
      <patternFill patternType="solid">
        <fgColor rgb="FFFFC7CE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3" min="12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8" min="18" style="0" width="14"/>
    <col collapsed="false" customWidth="true" hidden="false" outlineLevel="0" max="19" min="19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3.8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3" t="s">
        <v>23</v>
      </c>
      <c r="F2" s="2" t="s">
        <v>24</v>
      </c>
      <c r="G2" s="2" t="s">
        <v>25</v>
      </c>
      <c r="H2" s="2" t="n">
        <v>250</v>
      </c>
      <c r="I2" s="2" t="s">
        <v>26</v>
      </c>
      <c r="J2" s="2" t="s">
        <v>27</v>
      </c>
      <c r="K2" s="2" t="n">
        <v>6</v>
      </c>
      <c r="L2" s="4" t="n">
        <v>44.25</v>
      </c>
      <c r="M2" s="2"/>
      <c r="N2" s="4" t="n">
        <v>8.59</v>
      </c>
      <c r="O2" s="2"/>
      <c r="P2" s="2" t="s">
        <v>28</v>
      </c>
      <c r="Q2" s="2" t="n">
        <v>7.4</v>
      </c>
      <c r="R2" s="2" t="s">
        <v>29</v>
      </c>
      <c r="S2" s="2" t="s">
        <v>30</v>
      </c>
    </row>
    <row r="3" customFormat="false" ht="23.85" hidden="false" customHeight="false" outlineLevel="0" collapsed="false">
      <c r="A3" s="2" t="s">
        <v>19</v>
      </c>
      <c r="B3" s="2" t="s">
        <v>31</v>
      </c>
      <c r="C3" s="2" t="s">
        <v>32</v>
      </c>
      <c r="D3" s="2" t="s">
        <v>22</v>
      </c>
      <c r="E3" s="3" t="s">
        <v>23</v>
      </c>
      <c r="F3" s="2" t="s">
        <v>24</v>
      </c>
      <c r="G3" s="2" t="s">
        <v>25</v>
      </c>
      <c r="H3" s="2" t="n">
        <v>250</v>
      </c>
      <c r="I3" s="2" t="s">
        <v>33</v>
      </c>
      <c r="J3" s="2" t="s">
        <v>27</v>
      </c>
      <c r="K3" s="2" t="n">
        <v>6</v>
      </c>
      <c r="L3" s="4" t="n">
        <v>47.76</v>
      </c>
      <c r="M3" s="2"/>
      <c r="N3" s="4" t="n">
        <v>8.59</v>
      </c>
      <c r="O3" s="2"/>
      <c r="P3" s="2" t="s">
        <v>28</v>
      </c>
      <c r="Q3" s="2" t="n">
        <v>7.4</v>
      </c>
      <c r="R3" s="2" t="s">
        <v>29</v>
      </c>
      <c r="S3" s="2" t="s">
        <v>34</v>
      </c>
    </row>
    <row r="4" customFormat="false" ht="23.85" hidden="false" customHeight="false" outlineLevel="0" collapsed="false">
      <c r="A4" s="2" t="s">
        <v>19</v>
      </c>
      <c r="B4" s="2" t="s">
        <v>35</v>
      </c>
      <c r="C4" s="2" t="s">
        <v>36</v>
      </c>
      <c r="D4" s="2" t="s">
        <v>37</v>
      </c>
      <c r="E4" s="3" t="s">
        <v>38</v>
      </c>
      <c r="F4" s="2" t="s">
        <v>24</v>
      </c>
      <c r="G4" s="2" t="s">
        <v>39</v>
      </c>
      <c r="H4" s="2" t="n">
        <v>140</v>
      </c>
      <c r="I4" s="2" t="s">
        <v>40</v>
      </c>
      <c r="J4" s="2" t="s">
        <v>41</v>
      </c>
      <c r="K4" s="2" t="n">
        <v>8</v>
      </c>
      <c r="L4" s="4" t="n">
        <v>28.28</v>
      </c>
      <c r="M4" s="2"/>
      <c r="N4" s="4" t="n">
        <v>6.09</v>
      </c>
      <c r="O4" s="2"/>
      <c r="P4" s="2" t="s">
        <v>28</v>
      </c>
      <c r="Q4" s="2" t="n">
        <v>9.6</v>
      </c>
      <c r="R4" s="2" t="s">
        <v>29</v>
      </c>
      <c r="S4" s="2" t="s">
        <v>42</v>
      </c>
    </row>
    <row r="5" customFormat="false" ht="15" hidden="false" customHeight="false" outlineLevel="0" collapsed="false">
      <c r="A5" s="2" t="s">
        <v>19</v>
      </c>
      <c r="B5" s="2" t="s">
        <v>43</v>
      </c>
      <c r="C5" s="2" t="s">
        <v>44</v>
      </c>
      <c r="D5" s="2" t="s">
        <v>22</v>
      </c>
      <c r="E5" s="3" t="s">
        <v>23</v>
      </c>
      <c r="F5" s="2" t="s">
        <v>24</v>
      </c>
      <c r="G5" s="2" t="s">
        <v>25</v>
      </c>
      <c r="H5" s="2" t="n">
        <v>250</v>
      </c>
      <c r="I5" s="2" t="s">
        <v>45</v>
      </c>
      <c r="J5" s="2" t="s">
        <v>27</v>
      </c>
      <c r="K5" s="2" t="n">
        <v>6</v>
      </c>
      <c r="L5" s="4" t="n">
        <v>27.9</v>
      </c>
      <c r="M5" s="2"/>
      <c r="N5" s="4" t="n">
        <v>8.59</v>
      </c>
      <c r="O5" s="2"/>
      <c r="P5" s="2" t="s">
        <v>46</v>
      </c>
      <c r="Q5" s="2" t="n">
        <v>7.4</v>
      </c>
      <c r="R5" s="2" t="s">
        <v>29</v>
      </c>
      <c r="S5" s="2" t="s">
        <v>47</v>
      </c>
    </row>
    <row r="6" customFormat="false" ht="23.85" hidden="false" customHeight="false" outlineLevel="0" collapsed="false">
      <c r="A6" s="2" t="s">
        <v>19</v>
      </c>
      <c r="B6" s="2" t="s">
        <v>48</v>
      </c>
      <c r="C6" s="2" t="s">
        <v>49</v>
      </c>
      <c r="D6" s="2" t="s">
        <v>50</v>
      </c>
      <c r="E6" s="5" t="s">
        <v>51</v>
      </c>
      <c r="F6" s="2" t="s">
        <v>52</v>
      </c>
      <c r="G6" s="2" t="s">
        <v>53</v>
      </c>
      <c r="H6" s="2" t="n">
        <v>270</v>
      </c>
      <c r="I6" s="2" t="s">
        <v>45</v>
      </c>
      <c r="J6" s="2" t="s">
        <v>54</v>
      </c>
      <c r="K6" s="2" t="n">
        <v>7</v>
      </c>
      <c r="L6" s="4" t="n">
        <v>15.63</v>
      </c>
      <c r="M6" s="2"/>
      <c r="N6" s="4" t="n">
        <v>17.99</v>
      </c>
      <c r="O6" s="2"/>
      <c r="P6" s="2" t="s">
        <v>28</v>
      </c>
      <c r="Q6" s="2" t="n">
        <v>9.4</v>
      </c>
      <c r="R6" s="2" t="s">
        <v>29</v>
      </c>
      <c r="S6" s="2" t="s">
        <v>55</v>
      </c>
    </row>
    <row r="7" customFormat="false" ht="23.85" hidden="false" customHeight="false" outlineLevel="0" collapsed="false">
      <c r="A7" s="2" t="s">
        <v>56</v>
      </c>
      <c r="B7" s="2" t="s">
        <v>57</v>
      </c>
      <c r="C7" s="2" t="s">
        <v>58</v>
      </c>
      <c r="D7" s="2" t="s">
        <v>59</v>
      </c>
      <c r="E7" s="3" t="s">
        <v>60</v>
      </c>
      <c r="F7" s="2" t="s">
        <v>24</v>
      </c>
      <c r="G7" s="2" t="s">
        <v>61</v>
      </c>
      <c r="H7" s="2"/>
      <c r="I7" s="2" t="s">
        <v>26</v>
      </c>
      <c r="J7" s="2" t="s">
        <v>62</v>
      </c>
      <c r="K7" s="2" t="n">
        <v>11</v>
      </c>
      <c r="L7" s="4" t="n">
        <v>40.14</v>
      </c>
      <c r="M7" s="6" t="n">
        <v>55.75</v>
      </c>
      <c r="N7" s="4" t="n">
        <v>8.6</v>
      </c>
      <c r="O7" s="6" t="n">
        <v>11.95</v>
      </c>
      <c r="P7" s="2" t="s">
        <v>63</v>
      </c>
      <c r="Q7" s="2" t="n">
        <v>4.5</v>
      </c>
      <c r="R7" s="2" t="s">
        <v>64</v>
      </c>
      <c r="S7" s="2" t="s">
        <v>65</v>
      </c>
    </row>
    <row r="8" customFormat="false" ht="15" hidden="false" customHeight="false" outlineLevel="0" collapsed="false">
      <c r="A8" s="2" t="s">
        <v>56</v>
      </c>
      <c r="B8" s="2" t="s">
        <v>66</v>
      </c>
      <c r="C8" s="2" t="s">
        <v>58</v>
      </c>
      <c r="D8" s="2" t="s">
        <v>59</v>
      </c>
      <c r="E8" s="3" t="s">
        <v>60</v>
      </c>
      <c r="F8" s="2" t="s">
        <v>24</v>
      </c>
      <c r="G8" s="2" t="s">
        <v>67</v>
      </c>
      <c r="H8" s="2"/>
      <c r="I8" s="2" t="s">
        <v>26</v>
      </c>
      <c r="J8" s="2" t="s">
        <v>62</v>
      </c>
      <c r="K8" s="2" t="n">
        <v>11</v>
      </c>
      <c r="L8" s="4" t="n">
        <v>45.72</v>
      </c>
      <c r="M8" s="6" t="n">
        <v>63.5</v>
      </c>
      <c r="N8" s="4" t="n">
        <v>8.6</v>
      </c>
      <c r="O8" s="6" t="n">
        <v>11.95</v>
      </c>
      <c r="P8" s="2" t="s">
        <v>63</v>
      </c>
      <c r="Q8" s="2"/>
      <c r="R8" s="2" t="s">
        <v>64</v>
      </c>
      <c r="S8" s="2" t="s">
        <v>68</v>
      </c>
    </row>
    <row r="9" customFormat="false" ht="15" hidden="false" customHeight="false" outlineLevel="0" collapsed="false">
      <c r="A9" s="2" t="s">
        <v>56</v>
      </c>
      <c r="B9" s="2" t="s">
        <v>31</v>
      </c>
      <c r="C9" s="2" t="s">
        <v>58</v>
      </c>
      <c r="D9" s="2" t="s">
        <v>59</v>
      </c>
      <c r="E9" s="3" t="s">
        <v>60</v>
      </c>
      <c r="F9" s="2" t="s">
        <v>24</v>
      </c>
      <c r="G9" s="2" t="s">
        <v>61</v>
      </c>
      <c r="H9" s="2"/>
      <c r="I9" s="2" t="s">
        <v>33</v>
      </c>
      <c r="J9" s="2" t="s">
        <v>62</v>
      </c>
      <c r="K9" s="2" t="n">
        <v>11</v>
      </c>
      <c r="L9" s="4" t="n">
        <v>51.08</v>
      </c>
      <c r="M9" s="6" t="n">
        <v>70.95</v>
      </c>
      <c r="N9" s="4" t="n">
        <v>8.6</v>
      </c>
      <c r="O9" s="6" t="n">
        <v>11.95</v>
      </c>
      <c r="P9" s="2" t="s">
        <v>63</v>
      </c>
      <c r="Q9" s="2" t="n">
        <v>4.5</v>
      </c>
      <c r="R9" s="2" t="s">
        <v>64</v>
      </c>
      <c r="S9" s="2" t="s">
        <v>69</v>
      </c>
    </row>
    <row r="10" customFormat="false" ht="23.85" hidden="false" customHeight="false" outlineLevel="0" collapsed="false">
      <c r="A10" s="2" t="s">
        <v>70</v>
      </c>
      <c r="B10" s="2" t="s">
        <v>71</v>
      </c>
      <c r="C10" s="2" t="s">
        <v>58</v>
      </c>
      <c r="D10" s="2" t="s">
        <v>58</v>
      </c>
      <c r="E10" s="3" t="s">
        <v>72</v>
      </c>
      <c r="F10" s="2" t="s">
        <v>58</v>
      </c>
      <c r="G10" s="2" t="s">
        <v>58</v>
      </c>
      <c r="H10" s="2"/>
      <c r="I10" s="2" t="s">
        <v>58</v>
      </c>
      <c r="J10" s="2" t="s">
        <v>58</v>
      </c>
      <c r="K10" s="2" t="n">
        <v>0</v>
      </c>
      <c r="L10" s="2"/>
      <c r="M10" s="2"/>
      <c r="N10" s="2"/>
      <c r="O10" s="2"/>
      <c r="P10" s="2" t="s">
        <v>58</v>
      </c>
      <c r="Q10" s="2"/>
      <c r="R10" s="2" t="s">
        <v>73</v>
      </c>
      <c r="S10" s="2" t="s">
        <v>74</v>
      </c>
    </row>
    <row r="11" customFormat="false" ht="23.85" hidden="false" customHeight="false" outlineLevel="0" collapsed="false">
      <c r="A11" s="2" t="s">
        <v>75</v>
      </c>
      <c r="B11" s="2" t="s">
        <v>20</v>
      </c>
      <c r="C11" s="2" t="s">
        <v>58</v>
      </c>
      <c r="D11" s="2" t="s">
        <v>76</v>
      </c>
      <c r="E11" s="2" t="s">
        <v>77</v>
      </c>
      <c r="F11" s="2" t="s">
        <v>78</v>
      </c>
      <c r="G11" s="2" t="s">
        <v>25</v>
      </c>
      <c r="H11" s="2"/>
      <c r="I11" s="2" t="s">
        <v>26</v>
      </c>
      <c r="J11" s="2" t="s">
        <v>27</v>
      </c>
      <c r="K11" s="2" t="n">
        <v>6</v>
      </c>
      <c r="L11" s="2"/>
      <c r="M11" s="2"/>
      <c r="N11" s="2"/>
      <c r="O11" s="2"/>
      <c r="P11" s="2" t="s">
        <v>79</v>
      </c>
      <c r="Q11" s="2"/>
      <c r="R11" s="2" t="s">
        <v>80</v>
      </c>
      <c r="S11" s="2" t="s">
        <v>81</v>
      </c>
    </row>
    <row r="12" customFormat="false" ht="15" hidden="false" customHeight="false" outlineLevel="0" collapsed="false">
      <c r="A12" s="2" t="s">
        <v>82</v>
      </c>
      <c r="B12" s="2" t="s">
        <v>83</v>
      </c>
      <c r="C12" s="2" t="s">
        <v>58</v>
      </c>
      <c r="D12" s="2" t="s">
        <v>84</v>
      </c>
      <c r="E12" s="2" t="s">
        <v>85</v>
      </c>
      <c r="F12" s="2" t="s">
        <v>86</v>
      </c>
      <c r="G12" s="2" t="s">
        <v>79</v>
      </c>
      <c r="H12" s="2"/>
      <c r="I12" s="2" t="s">
        <v>87</v>
      </c>
      <c r="J12" s="2" t="s">
        <v>79</v>
      </c>
      <c r="K12" s="2"/>
      <c r="L12" s="2"/>
      <c r="M12" s="2"/>
      <c r="N12" s="2"/>
      <c r="O12" s="2"/>
      <c r="P12" s="2" t="s">
        <v>79</v>
      </c>
      <c r="Q12" s="2"/>
      <c r="R12" s="2" t="s">
        <v>88</v>
      </c>
      <c r="S12" s="2" t="s">
        <v>89</v>
      </c>
    </row>
    <row r="13" customFormat="false" ht="23.85" hidden="false" customHeight="false" outlineLevel="0" collapsed="false">
      <c r="A13" s="2" t="s">
        <v>90</v>
      </c>
      <c r="B13" s="2" t="s">
        <v>91</v>
      </c>
      <c r="C13" s="2" t="s">
        <v>58</v>
      </c>
      <c r="D13" s="2" t="s">
        <v>92</v>
      </c>
      <c r="E13" s="2" t="s">
        <v>93</v>
      </c>
      <c r="F13" s="2" t="s">
        <v>86</v>
      </c>
      <c r="G13" s="2" t="s">
        <v>94</v>
      </c>
      <c r="H13" s="2"/>
      <c r="I13" s="2" t="s">
        <v>26</v>
      </c>
      <c r="J13" s="2" t="s">
        <v>95</v>
      </c>
      <c r="K13" s="2"/>
      <c r="L13" s="4" t="n">
        <v>19.55</v>
      </c>
      <c r="M13" s="2"/>
      <c r="N13" s="4" t="n">
        <v>6.88</v>
      </c>
      <c r="O13" s="2"/>
      <c r="P13" s="2" t="s">
        <v>96</v>
      </c>
      <c r="Q13" s="2"/>
      <c r="R13" s="2" t="s">
        <v>97</v>
      </c>
      <c r="S13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24" min="3" style="0" width="13"/>
  </cols>
  <sheetData>
    <row r="1" customFormat="false" ht="15" hidden="false" customHeight="false" outlineLevel="0" collapsed="false">
      <c r="A1" s="7" t="s">
        <v>99</v>
      </c>
    </row>
    <row r="2" customFormat="false" ht="15" hidden="false" customHeight="false" outlineLevel="0" collapsed="false">
      <c r="A2" s="8" t="s">
        <v>100</v>
      </c>
      <c r="B2" s="9" t="n">
        <v>0.72</v>
      </c>
    </row>
    <row r="3" customFormat="false" ht="15" hidden="false" customHeight="false" outlineLevel="0" collapsed="false">
      <c r="A3" s="8" t="s">
        <v>101</v>
      </c>
      <c r="B3" s="10" t="n">
        <v>0.065</v>
      </c>
    </row>
    <row r="4" customFormat="false" ht="15" hidden="false" customHeight="false" outlineLevel="0" collapsed="false">
      <c r="A4" s="8" t="s">
        <v>102</v>
      </c>
      <c r="B4" s="10" t="n">
        <v>0.03</v>
      </c>
    </row>
    <row r="5" customFormat="false" ht="15" hidden="false" customHeight="false" outlineLevel="0" collapsed="false">
      <c r="A5" s="8" t="s">
        <v>103</v>
      </c>
      <c r="B5" s="11" t="n">
        <v>0.45</v>
      </c>
    </row>
    <row r="6" customFormat="false" ht="15" hidden="false" customHeight="false" outlineLevel="0" collapsed="false">
      <c r="A6" s="8" t="s">
        <v>104</v>
      </c>
      <c r="B6" s="10" t="n">
        <v>0.345</v>
      </c>
    </row>
    <row r="8" customFormat="false" ht="26.85" hidden="false" customHeight="false" outlineLevel="0" collapsed="false">
      <c r="A8" s="1" t="s">
        <v>105</v>
      </c>
      <c r="B8" s="1" t="s">
        <v>0</v>
      </c>
      <c r="C8" s="1" t="s">
        <v>11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110</v>
      </c>
      <c r="I8" s="1" t="s">
        <v>111</v>
      </c>
      <c r="J8" s="1" t="s">
        <v>112</v>
      </c>
      <c r="K8" s="1" t="s">
        <v>113</v>
      </c>
      <c r="L8" s="1" t="s">
        <v>114</v>
      </c>
      <c r="M8" s="1" t="s">
        <v>115</v>
      </c>
      <c r="N8" s="1" t="s">
        <v>116</v>
      </c>
      <c r="O8" s="1" t="s">
        <v>117</v>
      </c>
      <c r="P8" s="1" t="s">
        <v>118</v>
      </c>
      <c r="Q8" s="1" t="s">
        <v>119</v>
      </c>
      <c r="R8" s="1" t="s">
        <v>120</v>
      </c>
      <c r="S8" s="1" t="s">
        <v>121</v>
      </c>
      <c r="T8" s="1" t="s">
        <v>122</v>
      </c>
      <c r="U8" s="1" t="s">
        <v>123</v>
      </c>
      <c r="V8" s="1" t="s">
        <v>124</v>
      </c>
      <c r="W8" s="1" t="s">
        <v>125</v>
      </c>
      <c r="X8" s="1" t="s">
        <v>126</v>
      </c>
    </row>
    <row r="9" customFormat="false" ht="15" hidden="false" customHeight="false" outlineLevel="0" collapsed="false">
      <c r="A9" s="2" t="s">
        <v>127</v>
      </c>
      <c r="B9" s="2" t="s">
        <v>19</v>
      </c>
      <c r="C9" s="12" t="n">
        <v>19.54</v>
      </c>
      <c r="D9" s="4" t="n">
        <v>0</v>
      </c>
      <c r="E9" s="4" t="n">
        <f aca="false">C9+D9</f>
        <v>19.54</v>
      </c>
      <c r="F9" s="12" t="n">
        <v>6.09</v>
      </c>
      <c r="G9" s="4" t="n">
        <f aca="false">E9+F9</f>
        <v>25.63</v>
      </c>
      <c r="H9" s="4" t="n">
        <f aca="false">40*$B$2</f>
        <v>28.8</v>
      </c>
      <c r="I9" s="4" t="n">
        <f aca="false">45*$B$2</f>
        <v>32.4</v>
      </c>
      <c r="J9" s="4" t="n">
        <f aca="false">50*$B$2</f>
        <v>36</v>
      </c>
      <c r="K9" s="4" t="n">
        <f aca="false">55*$B$2</f>
        <v>39.6</v>
      </c>
      <c r="L9" s="4" t="n">
        <f aca="false">60*$B$2</f>
        <v>43.2</v>
      </c>
      <c r="M9" s="4" t="n">
        <f aca="false">H9-G9-(H9*($B$3+$B$4)+$B$5)</f>
        <v>-0.0160000000000018</v>
      </c>
      <c r="N9" s="4" t="n">
        <f aca="false">I9-G9-(I9*($B$3+$B$4)+$B$5)</f>
        <v>3.242</v>
      </c>
      <c r="O9" s="4" t="n">
        <f aca="false">J9-G9-(J9*($B$3+$B$4)+$B$5)</f>
        <v>6.5</v>
      </c>
      <c r="P9" s="4" t="n">
        <f aca="false">K9-G9-(K9*($B$3+$B$4)+$B$5)</f>
        <v>9.758</v>
      </c>
      <c r="Q9" s="4" t="n">
        <f aca="false">L9-G9-(L9*($B$3+$B$4)+$B$5)</f>
        <v>13.016</v>
      </c>
      <c r="R9" s="13" t="n">
        <f aca="false">IF(H9=0,0,M9/H9)</f>
        <v>-0.000555555555555618</v>
      </c>
      <c r="S9" s="13" t="n">
        <f aca="false">IF(I9=0,0,N9/I9)</f>
        <v>0.100061728395062</v>
      </c>
      <c r="T9" s="13" t="n">
        <f aca="false">IF(J9=0,0,O9/J9)</f>
        <v>0.180555555555556</v>
      </c>
      <c r="U9" s="13" t="n">
        <f aca="false">IF(K9=0,0,P9/K9)</f>
        <v>0.246414141414141</v>
      </c>
      <c r="V9" s="13" t="n">
        <f aca="false">IF(L9=0,0,Q9/L9)</f>
        <v>0.301296296296296</v>
      </c>
      <c r="W9" s="4" t="n">
        <f aca="false">(G9+$B$5)/($B$2*(1-$B$3-$B$4))</f>
        <v>40.024554941682</v>
      </c>
      <c r="X9" s="2" t="str">
        <f aca="false">IF(T9&gt;0.15,"VIABLE",IF(T9&gt;0.05,"TIGHT",IF(T9&gt;0,"MARGINAL","LOSS")))</f>
        <v>VIABLE</v>
      </c>
    </row>
    <row r="10" customFormat="false" ht="15" hidden="false" customHeight="false" outlineLevel="0" collapsed="false">
      <c r="A10" s="2" t="s">
        <v>128</v>
      </c>
      <c r="B10" s="2" t="s">
        <v>19</v>
      </c>
      <c r="C10" s="12" t="n">
        <v>27.9</v>
      </c>
      <c r="D10" s="4" t="n">
        <v>0</v>
      </c>
      <c r="E10" s="4" t="n">
        <f aca="false">C10+D10</f>
        <v>27.9</v>
      </c>
      <c r="F10" s="12" t="n">
        <v>8.59</v>
      </c>
      <c r="G10" s="4" t="n">
        <f aca="false">E10+F10</f>
        <v>36.49</v>
      </c>
      <c r="H10" s="4" t="n">
        <f aca="false">40*$B$2</f>
        <v>28.8</v>
      </c>
      <c r="I10" s="4" t="n">
        <f aca="false">45*$B$2</f>
        <v>32.4</v>
      </c>
      <c r="J10" s="4" t="n">
        <f aca="false">50*$B$2</f>
        <v>36</v>
      </c>
      <c r="K10" s="4" t="n">
        <f aca="false">55*$B$2</f>
        <v>39.6</v>
      </c>
      <c r="L10" s="4" t="n">
        <f aca="false">60*$B$2</f>
        <v>43.2</v>
      </c>
      <c r="M10" s="4" t="n">
        <f aca="false">H10-G10-(H10*($B$3+$B$4)+$B$5)</f>
        <v>-10.876</v>
      </c>
      <c r="N10" s="4" t="n">
        <f aca="false">I10-G10-(I10*($B$3+$B$4)+$B$5)</f>
        <v>-7.618</v>
      </c>
      <c r="O10" s="4" t="n">
        <f aca="false">J10-G10-(J10*($B$3+$B$4)+$B$5)</f>
        <v>-4.36</v>
      </c>
      <c r="P10" s="4" t="n">
        <f aca="false">K10-G10-(K10*($B$3+$B$4)+$B$5)</f>
        <v>-1.10199999999999</v>
      </c>
      <c r="Q10" s="4" t="n">
        <f aca="false">L10-G10-(L10*($B$3+$B$4)+$B$5)</f>
        <v>2.156</v>
      </c>
      <c r="R10" s="13" t="n">
        <f aca="false">IF(H10=0,0,M10/H10)</f>
        <v>-0.377638888888889</v>
      </c>
      <c r="S10" s="13" t="n">
        <f aca="false">IF(I10=0,0,N10/I10)</f>
        <v>-0.235123456790123</v>
      </c>
      <c r="T10" s="13" t="n">
        <f aca="false">IF(J10=0,0,O10/J10)</f>
        <v>-0.121111111111111</v>
      </c>
      <c r="U10" s="13" t="n">
        <f aca="false">IF(K10=0,0,P10/K10)</f>
        <v>-0.0278282828282827</v>
      </c>
      <c r="V10" s="13" t="n">
        <f aca="false">IF(L10=0,0,Q10/L10)</f>
        <v>0.0499074074074075</v>
      </c>
      <c r="W10" s="4" t="n">
        <f aca="false">(G10+$B$5)/($B$2*(1-$B$3-$B$4))</f>
        <v>56.6912216083487</v>
      </c>
      <c r="X10" s="2" t="str">
        <f aca="false">IF(T10&gt;0.15,"VIABLE",IF(T10&gt;0.05,"TIGHT",IF(T10&gt;0,"MARGINAL","LOSS")))</f>
        <v>LOSS</v>
      </c>
    </row>
    <row r="11" customFormat="false" ht="15" hidden="false" customHeight="false" outlineLevel="0" collapsed="false">
      <c r="A11" s="2" t="s">
        <v>129</v>
      </c>
      <c r="B11" s="2" t="s">
        <v>19</v>
      </c>
      <c r="C11" s="12" t="n">
        <v>28.28</v>
      </c>
      <c r="D11" s="4" t="n">
        <v>0</v>
      </c>
      <c r="E11" s="4" t="n">
        <f aca="false">C11+D11</f>
        <v>28.28</v>
      </c>
      <c r="F11" s="12" t="n">
        <v>6.09</v>
      </c>
      <c r="G11" s="4" t="n">
        <f aca="false">E11+F11</f>
        <v>34.37</v>
      </c>
      <c r="H11" s="4" t="n">
        <f aca="false">40*$B$2</f>
        <v>28.8</v>
      </c>
      <c r="I11" s="4" t="n">
        <f aca="false">45*$B$2</f>
        <v>32.4</v>
      </c>
      <c r="J11" s="4" t="n">
        <f aca="false">50*$B$2</f>
        <v>36</v>
      </c>
      <c r="K11" s="4" t="n">
        <f aca="false">55*$B$2</f>
        <v>39.6</v>
      </c>
      <c r="L11" s="4" t="n">
        <f aca="false">60*$B$2</f>
        <v>43.2</v>
      </c>
      <c r="M11" s="4" t="n">
        <f aca="false">H11-G11-(H11*($B$3+$B$4)+$B$5)</f>
        <v>-8.75600000000001</v>
      </c>
      <c r="N11" s="4" t="n">
        <f aca="false">I11-G11-(I11*($B$3+$B$4)+$B$5)</f>
        <v>-5.49800000000001</v>
      </c>
      <c r="O11" s="4" t="n">
        <f aca="false">J11-G11-(J11*($B$3+$B$4)+$B$5)</f>
        <v>-2.24</v>
      </c>
      <c r="P11" s="4" t="n">
        <f aca="false">K11-G11-(K11*($B$3+$B$4)+$B$5)</f>
        <v>1.018</v>
      </c>
      <c r="Q11" s="4" t="n">
        <f aca="false">L11-G11-(L11*($B$3+$B$4)+$B$5)</f>
        <v>4.27599999999999</v>
      </c>
      <c r="R11" s="13" t="n">
        <f aca="false">IF(H11=0,0,M11/H11)</f>
        <v>-0.304027777777778</v>
      </c>
      <c r="S11" s="13" t="n">
        <f aca="false">IF(I11=0,0,N11/I11)</f>
        <v>-0.169691358024692</v>
      </c>
      <c r="T11" s="13" t="n">
        <f aca="false">IF(J11=0,0,O11/J11)</f>
        <v>-0.0622222222222224</v>
      </c>
      <c r="U11" s="13" t="n">
        <f aca="false">IF(K11=0,0,P11/K11)</f>
        <v>0.0257070707070706</v>
      </c>
      <c r="V11" s="13" t="n">
        <f aca="false">IF(L11=0,0,Q11/L11)</f>
        <v>0.0989814814814813</v>
      </c>
      <c r="W11" s="4" t="n">
        <f aca="false">(G11+$B$5)/($B$2*(1-$B$3-$B$4))</f>
        <v>53.4376918354819</v>
      </c>
      <c r="X11" s="2" t="str">
        <f aca="false">IF(T11&gt;0.15,"VIABLE",IF(T11&gt;0.05,"TIGHT",IF(T11&gt;0,"MARGINAL","LOSS")))</f>
        <v>LOSS</v>
      </c>
    </row>
    <row r="12" customFormat="false" ht="15" hidden="false" customHeight="false" outlineLevel="0" collapsed="false">
      <c r="A12" s="2" t="s">
        <v>130</v>
      </c>
      <c r="B12" s="2" t="s">
        <v>19</v>
      </c>
      <c r="C12" s="12" t="n">
        <v>44.25</v>
      </c>
      <c r="D12" s="4" t="n">
        <v>0</v>
      </c>
      <c r="E12" s="4" t="n">
        <f aca="false">C12+D12</f>
        <v>44.25</v>
      </c>
      <c r="F12" s="12" t="n">
        <v>8.59</v>
      </c>
      <c r="G12" s="4" t="n">
        <f aca="false">E12+F12</f>
        <v>52.84</v>
      </c>
      <c r="H12" s="4" t="n">
        <f aca="false">40*$B$2</f>
        <v>28.8</v>
      </c>
      <c r="I12" s="4" t="n">
        <f aca="false">45*$B$2</f>
        <v>32.4</v>
      </c>
      <c r="J12" s="4" t="n">
        <f aca="false">50*$B$2</f>
        <v>36</v>
      </c>
      <c r="K12" s="4" t="n">
        <f aca="false">55*$B$2</f>
        <v>39.6</v>
      </c>
      <c r="L12" s="4" t="n">
        <f aca="false">60*$B$2</f>
        <v>43.2</v>
      </c>
      <c r="M12" s="4" t="n">
        <f aca="false">H12-G12-(H12*($B$3+$B$4)+$B$5)</f>
        <v>-27.226</v>
      </c>
      <c r="N12" s="4" t="n">
        <f aca="false">I12-G12-(I12*($B$3+$B$4)+$B$5)</f>
        <v>-23.968</v>
      </c>
      <c r="O12" s="4" t="n">
        <f aca="false">J12-G12-(J12*($B$3+$B$4)+$B$5)</f>
        <v>-20.71</v>
      </c>
      <c r="P12" s="4" t="n">
        <f aca="false">K12-G12-(K12*($B$3+$B$4)+$B$5)</f>
        <v>-17.452</v>
      </c>
      <c r="Q12" s="4" t="n">
        <f aca="false">L12-G12-(L12*($B$3+$B$4)+$B$5)</f>
        <v>-14.194</v>
      </c>
      <c r="R12" s="13" t="n">
        <f aca="false">IF(H12=0,0,M12/H12)</f>
        <v>-0.945347222222223</v>
      </c>
      <c r="S12" s="13" t="n">
        <f aca="false">IF(I12=0,0,N12/I12)</f>
        <v>-0.739753086419753</v>
      </c>
      <c r="T12" s="13" t="n">
        <f aca="false">IF(J12=0,0,O12/J12)</f>
        <v>-0.575277777777778</v>
      </c>
      <c r="U12" s="13" t="n">
        <f aca="false">IF(K12=0,0,P12/K12)</f>
        <v>-0.440707070707071</v>
      </c>
      <c r="V12" s="13" t="n">
        <f aca="false">IF(L12=0,0,Q12/L12)</f>
        <v>-0.328564814814815</v>
      </c>
      <c r="W12" s="4" t="n">
        <f aca="false">(G12+$B$5)/($B$2*(1-$B$3-$B$4))</f>
        <v>81.7833026396562</v>
      </c>
      <c r="X12" s="2" t="str">
        <f aca="false">IF(T12&gt;0.15,"VIABLE",IF(T12&gt;0.05,"TIGHT",IF(T12&gt;0,"MARGINAL","LOSS")))</f>
        <v>LOSS</v>
      </c>
    </row>
    <row r="13" customFormat="false" ht="15" hidden="false" customHeight="false" outlineLevel="0" collapsed="false">
      <c r="A13" s="2" t="s">
        <v>131</v>
      </c>
      <c r="B13" s="2" t="s">
        <v>19</v>
      </c>
      <c r="C13" s="12" t="n">
        <v>15.63</v>
      </c>
      <c r="D13" s="4" t="n">
        <f aca="false">C13*$B$6</f>
        <v>5.39235</v>
      </c>
      <c r="E13" s="4" t="n">
        <f aca="false">C13+D13</f>
        <v>21.02235</v>
      </c>
      <c r="F13" s="12" t="n">
        <v>17.99</v>
      </c>
      <c r="G13" s="4" t="n">
        <f aca="false">E13+F13</f>
        <v>39.01235</v>
      </c>
      <c r="H13" s="4" t="n">
        <f aca="false">40*$B$2</f>
        <v>28.8</v>
      </c>
      <c r="I13" s="4" t="n">
        <f aca="false">45*$B$2</f>
        <v>32.4</v>
      </c>
      <c r="J13" s="4" t="n">
        <f aca="false">50*$B$2</f>
        <v>36</v>
      </c>
      <c r="K13" s="4" t="n">
        <f aca="false">55*$B$2</f>
        <v>39.6</v>
      </c>
      <c r="L13" s="4" t="n">
        <f aca="false">60*$B$2</f>
        <v>43.2</v>
      </c>
      <c r="M13" s="4" t="n">
        <f aca="false">H13-G13-(H13*($B$3+$B$4)+$B$5)</f>
        <v>-13.39835</v>
      </c>
      <c r="N13" s="4" t="n">
        <f aca="false">I13-G13-(I13*($B$3+$B$4)+$B$5)</f>
        <v>-10.14035</v>
      </c>
      <c r="O13" s="4" t="n">
        <f aca="false">J13-G13-(J13*($B$3+$B$4)+$B$5)</f>
        <v>-6.88235</v>
      </c>
      <c r="P13" s="4" t="n">
        <f aca="false">K13-G13-(K13*($B$3+$B$4)+$B$5)</f>
        <v>-3.62435</v>
      </c>
      <c r="Q13" s="4" t="n">
        <f aca="false">L13-G13-(L13*($B$3+$B$4)+$B$5)</f>
        <v>-0.366350000000002</v>
      </c>
      <c r="R13" s="13" t="n">
        <f aca="false">IF(H13=0,0,M13/H13)</f>
        <v>-0.465220486111111</v>
      </c>
      <c r="S13" s="13" t="n">
        <f aca="false">IF(I13=0,0,N13/I13)</f>
        <v>-0.312973765432099</v>
      </c>
      <c r="T13" s="13" t="n">
        <f aca="false">IF(J13=0,0,O13/J13)</f>
        <v>-0.191176388888889</v>
      </c>
      <c r="U13" s="13" t="n">
        <f aca="false">IF(K13=0,0,P13/K13)</f>
        <v>-0.0915239898989898</v>
      </c>
      <c r="V13" s="13" t="n">
        <f aca="false">IF(L13=0,0,Q13/L13)</f>
        <v>-0.00848032407407411</v>
      </c>
      <c r="W13" s="4" t="n">
        <f aca="false">(G13+$B$5)/($B$2*(1-$B$3-$B$4))</f>
        <v>60.5622314303254</v>
      </c>
      <c r="X13" s="2" t="str">
        <f aca="false">IF(T13&gt;0.15,"VIABLE",IF(T13&gt;0.05,"TIGHT",IF(T13&gt;0,"MARGINAL","LOSS")))</f>
        <v>LOSS</v>
      </c>
    </row>
    <row r="14" customFormat="false" ht="15" hidden="false" customHeight="false" outlineLevel="0" collapsed="false">
      <c r="A14" s="2" t="s">
        <v>57</v>
      </c>
      <c r="B14" s="2" t="s">
        <v>56</v>
      </c>
      <c r="C14" s="12" t="n">
        <v>40.14</v>
      </c>
      <c r="D14" s="4" t="n">
        <v>0</v>
      </c>
      <c r="E14" s="4" t="n">
        <f aca="false">C14+D14</f>
        <v>40.14</v>
      </c>
      <c r="F14" s="12" t="n">
        <v>8.6</v>
      </c>
      <c r="G14" s="4" t="n">
        <f aca="false">E14+F14</f>
        <v>48.74</v>
      </c>
      <c r="H14" s="4" t="n">
        <f aca="false">40*$B$2</f>
        <v>28.8</v>
      </c>
      <c r="I14" s="4" t="n">
        <f aca="false">45*$B$2</f>
        <v>32.4</v>
      </c>
      <c r="J14" s="4" t="n">
        <f aca="false">50*$B$2</f>
        <v>36</v>
      </c>
      <c r="K14" s="4" t="n">
        <f aca="false">55*$B$2</f>
        <v>39.6</v>
      </c>
      <c r="L14" s="4" t="n">
        <f aca="false">60*$B$2</f>
        <v>43.2</v>
      </c>
      <c r="M14" s="4" t="n">
        <f aca="false">H14-G14-(H14*($B$3+$B$4)+$B$5)</f>
        <v>-23.126</v>
      </c>
      <c r="N14" s="4" t="n">
        <f aca="false">I14-G14-(I14*($B$3+$B$4)+$B$5)</f>
        <v>-19.868</v>
      </c>
      <c r="O14" s="4" t="n">
        <f aca="false">J14-G14-(J14*($B$3+$B$4)+$B$5)</f>
        <v>-16.61</v>
      </c>
      <c r="P14" s="4" t="n">
        <f aca="false">K14-G14-(K14*($B$3+$B$4)+$B$5)</f>
        <v>-13.352</v>
      </c>
      <c r="Q14" s="4" t="n">
        <f aca="false">L14-G14-(L14*($B$3+$B$4)+$B$5)</f>
        <v>-10.094</v>
      </c>
      <c r="R14" s="13" t="n">
        <f aca="false">IF(H14=0,0,M14/H14)</f>
        <v>-0.802986111111111</v>
      </c>
      <c r="S14" s="13" t="n">
        <f aca="false">IF(I14=0,0,N14/I14)</f>
        <v>-0.61320987654321</v>
      </c>
      <c r="T14" s="13" t="n">
        <f aca="false">IF(J14=0,0,O14/J14)</f>
        <v>-0.461388888888889</v>
      </c>
      <c r="U14" s="13" t="n">
        <f aca="false">IF(K14=0,0,P14/K14)</f>
        <v>-0.337171717171717</v>
      </c>
      <c r="V14" s="13" t="n">
        <f aca="false">IF(L14=0,0,Q14/L14)</f>
        <v>-0.233657407407408</v>
      </c>
      <c r="W14" s="4" t="n">
        <f aca="false">(G14+$B$5)/($B$2*(1-$B$3-$B$4))</f>
        <v>75.4910988336403</v>
      </c>
      <c r="X14" s="2" t="str">
        <f aca="false">IF(T14&gt;0.15,"VIABLE",IF(T14&gt;0.05,"TIGHT",IF(T14&gt;0,"MARGINAL","LOSS")))</f>
        <v>LOSS</v>
      </c>
    </row>
    <row r="15" customFormat="false" ht="15" hidden="false" customHeight="false" outlineLevel="0" collapsed="false">
      <c r="A15" s="2" t="s">
        <v>66</v>
      </c>
      <c r="B15" s="2" t="s">
        <v>56</v>
      </c>
      <c r="C15" s="12" t="n">
        <v>45.72</v>
      </c>
      <c r="D15" s="4" t="n">
        <v>0</v>
      </c>
      <c r="E15" s="4" t="n">
        <f aca="false">C15+D15</f>
        <v>45.72</v>
      </c>
      <c r="F15" s="12" t="n">
        <v>8.6</v>
      </c>
      <c r="G15" s="4" t="n">
        <f aca="false">E15+F15</f>
        <v>54.32</v>
      </c>
      <c r="H15" s="4" t="n">
        <f aca="false">40*$B$2</f>
        <v>28.8</v>
      </c>
      <c r="I15" s="4" t="n">
        <f aca="false">45*$B$2</f>
        <v>32.4</v>
      </c>
      <c r="J15" s="4" t="n">
        <f aca="false">50*$B$2</f>
        <v>36</v>
      </c>
      <c r="K15" s="4" t="n">
        <f aca="false">55*$B$2</f>
        <v>39.6</v>
      </c>
      <c r="L15" s="4" t="n">
        <f aca="false">60*$B$2</f>
        <v>43.2</v>
      </c>
      <c r="M15" s="4" t="n">
        <f aca="false">H15-G15-(H15*($B$3+$B$4)+$B$5)</f>
        <v>-28.706</v>
      </c>
      <c r="N15" s="4" t="n">
        <f aca="false">I15-G15-(I15*($B$3+$B$4)+$B$5)</f>
        <v>-25.448</v>
      </c>
      <c r="O15" s="4" t="n">
        <f aca="false">J15-G15-(J15*($B$3+$B$4)+$B$5)</f>
        <v>-22.19</v>
      </c>
      <c r="P15" s="4" t="n">
        <f aca="false">K15-G15-(K15*($B$3+$B$4)+$B$5)</f>
        <v>-18.932</v>
      </c>
      <c r="Q15" s="4" t="n">
        <f aca="false">L15-G15-(L15*($B$3+$B$4)+$B$5)</f>
        <v>-15.674</v>
      </c>
      <c r="R15" s="13" t="n">
        <f aca="false">IF(H15=0,0,M15/H15)</f>
        <v>-0.996736111111111</v>
      </c>
      <c r="S15" s="13" t="n">
        <f aca="false">IF(I15=0,0,N15/I15)</f>
        <v>-0.785432098765432</v>
      </c>
      <c r="T15" s="13" t="n">
        <f aca="false">IF(J15=0,0,O15/J15)</f>
        <v>-0.616388888888889</v>
      </c>
      <c r="U15" s="13" t="n">
        <f aca="false">IF(K15=0,0,P15/K15)</f>
        <v>-0.478080808080808</v>
      </c>
      <c r="V15" s="13" t="n">
        <f aca="false">IF(L15=0,0,Q15/L15)</f>
        <v>-0.362824074074074</v>
      </c>
      <c r="W15" s="4" t="n">
        <f aca="false">(G15+$B$5)/($B$2*(1-$B$3-$B$4))</f>
        <v>84.0546347452425</v>
      </c>
      <c r="X15" s="2" t="str">
        <f aca="false">IF(T15&gt;0.15,"VIABLE",IF(T15&gt;0.05,"TIGHT",IF(T15&gt;0,"MARGINAL","LOSS")))</f>
        <v>LOSS</v>
      </c>
    </row>
    <row r="16" customFormat="false" ht="15" hidden="false" customHeight="false" outlineLevel="0" collapsed="false">
      <c r="A16" s="2" t="s">
        <v>132</v>
      </c>
      <c r="B16" s="2" t="s">
        <v>90</v>
      </c>
      <c r="C16" s="12" t="n">
        <v>19.55</v>
      </c>
      <c r="D16" s="4" t="n">
        <v>0</v>
      </c>
      <c r="E16" s="4" t="n">
        <f aca="false">C16+D16</f>
        <v>19.55</v>
      </c>
      <c r="F16" s="12" t="n">
        <v>6.88</v>
      </c>
      <c r="G16" s="4" t="n">
        <f aca="false">E16+F16</f>
        <v>26.43</v>
      </c>
      <c r="H16" s="4" t="n">
        <f aca="false">40*$B$2</f>
        <v>28.8</v>
      </c>
      <c r="I16" s="4" t="n">
        <f aca="false">45*$B$2</f>
        <v>32.4</v>
      </c>
      <c r="J16" s="4" t="n">
        <f aca="false">50*$B$2</f>
        <v>36</v>
      </c>
      <c r="K16" s="4" t="n">
        <f aca="false">55*$B$2</f>
        <v>39.6</v>
      </c>
      <c r="L16" s="4" t="n">
        <f aca="false">60*$B$2</f>
        <v>43.2</v>
      </c>
      <c r="M16" s="4" t="n">
        <f aca="false">H16-G16-(H16*($B$3+$B$4)+$B$5)</f>
        <v>-0.816000000000003</v>
      </c>
      <c r="N16" s="4" t="n">
        <f aca="false">I16-G16-(I16*($B$3+$B$4)+$B$5)</f>
        <v>2.442</v>
      </c>
      <c r="O16" s="4" t="n">
        <f aca="false">J16-G16-(J16*($B$3+$B$4)+$B$5)</f>
        <v>5.7</v>
      </c>
      <c r="P16" s="4" t="n">
        <f aca="false">K16-G16-(K16*($B$3+$B$4)+$B$5)</f>
        <v>8.958</v>
      </c>
      <c r="Q16" s="4" t="n">
        <f aca="false">L16-G16-(L16*($B$3+$B$4)+$B$5)</f>
        <v>12.216</v>
      </c>
      <c r="R16" s="13" t="n">
        <f aca="false">IF(H16=0,0,M16/H16)</f>
        <v>-0.0283333333333334</v>
      </c>
      <c r="S16" s="13" t="n">
        <f aca="false">IF(I16=0,0,N16/I16)</f>
        <v>0.0753703703703703</v>
      </c>
      <c r="T16" s="13" t="n">
        <f aca="false">IF(J16=0,0,O16/J16)</f>
        <v>0.158333333333333</v>
      </c>
      <c r="U16" s="13" t="n">
        <f aca="false">IF(K16=0,0,P16/K16)</f>
        <v>0.226212121212121</v>
      </c>
      <c r="V16" s="13" t="n">
        <f aca="false">IF(L16=0,0,Q16/L16)</f>
        <v>0.282777777777778</v>
      </c>
      <c r="W16" s="4" t="n">
        <f aca="false">(G16+$B$5)/($B$2*(1-$B$3-$B$4))</f>
        <v>41.2523020257827</v>
      </c>
      <c r="X16" s="2" t="str">
        <f aca="false">IF(T16&gt;0.15,"VIABLE",IF(T16&gt;0.05,"TIGHT",IF(T16&gt;0,"MARGINAL","LOSS")))</f>
        <v>VIABLE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50"/>
  </cols>
  <sheetData>
    <row r="1" customFormat="false" ht="26.85" hidden="false" customHeight="false" outlineLevel="0" collapsed="false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18</v>
      </c>
    </row>
    <row r="2" customFormat="false" ht="15" hidden="false" customHeight="false" outlineLevel="0" collapsed="false">
      <c r="A2" s="14" t="s">
        <v>19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141</v>
      </c>
      <c r="G2" s="2" t="s">
        <v>141</v>
      </c>
      <c r="H2" s="2" t="s">
        <v>144</v>
      </c>
      <c r="I2" s="2" t="s">
        <v>145</v>
      </c>
      <c r="J2" s="2" t="s">
        <v>146</v>
      </c>
    </row>
    <row r="3" customFormat="false" ht="23.85" hidden="false" customHeight="false" outlineLevel="0" collapsed="false">
      <c r="A3" s="2" t="s">
        <v>56</v>
      </c>
      <c r="B3" s="2" t="s">
        <v>141</v>
      </c>
      <c r="C3" s="2" t="s">
        <v>147</v>
      </c>
      <c r="D3" s="2" t="s">
        <v>143</v>
      </c>
      <c r="E3" s="2" t="s">
        <v>143</v>
      </c>
      <c r="F3" s="2" t="s">
        <v>141</v>
      </c>
      <c r="G3" s="2" t="s">
        <v>141</v>
      </c>
      <c r="H3" s="2" t="s">
        <v>148</v>
      </c>
      <c r="I3" s="2" t="s">
        <v>149</v>
      </c>
      <c r="J3" s="2" t="s">
        <v>150</v>
      </c>
    </row>
    <row r="4" customFormat="false" ht="23.85" hidden="false" customHeight="false" outlineLevel="0" collapsed="false">
      <c r="A4" s="2" t="s">
        <v>75</v>
      </c>
      <c r="B4" s="2" t="s">
        <v>141</v>
      </c>
      <c r="C4" s="2" t="s">
        <v>151</v>
      </c>
      <c r="D4" s="2" t="s">
        <v>152</v>
      </c>
      <c r="E4" s="2" t="s">
        <v>143</v>
      </c>
      <c r="F4" s="2" t="s">
        <v>141</v>
      </c>
      <c r="G4" s="2" t="s">
        <v>141</v>
      </c>
      <c r="H4" s="2" t="s">
        <v>148</v>
      </c>
      <c r="I4" s="2" t="s">
        <v>153</v>
      </c>
      <c r="J4" s="2" t="s">
        <v>154</v>
      </c>
    </row>
    <row r="5" customFormat="false" ht="23.85" hidden="false" customHeight="false" outlineLevel="0" collapsed="false">
      <c r="A5" s="2" t="s">
        <v>70</v>
      </c>
      <c r="B5" s="2" t="s">
        <v>141</v>
      </c>
      <c r="C5" s="2" t="s">
        <v>155</v>
      </c>
      <c r="D5" s="2" t="s">
        <v>152</v>
      </c>
      <c r="E5" s="2" t="s">
        <v>143</v>
      </c>
      <c r="F5" s="2" t="s">
        <v>141</v>
      </c>
      <c r="G5" s="2" t="s">
        <v>156</v>
      </c>
      <c r="H5" s="2" t="s">
        <v>148</v>
      </c>
      <c r="I5" s="2" t="s">
        <v>157</v>
      </c>
      <c r="J5" s="2" t="s">
        <v>158</v>
      </c>
    </row>
    <row r="6" customFormat="false" ht="15" hidden="false" customHeight="false" outlineLevel="0" collapsed="false">
      <c r="A6" s="2" t="s">
        <v>82</v>
      </c>
      <c r="B6" s="2" t="s">
        <v>141</v>
      </c>
      <c r="C6" s="2" t="s">
        <v>151</v>
      </c>
      <c r="D6" s="2" t="s">
        <v>152</v>
      </c>
      <c r="E6" s="2" t="s">
        <v>143</v>
      </c>
      <c r="F6" s="2" t="s">
        <v>141</v>
      </c>
      <c r="G6" s="2" t="s">
        <v>141</v>
      </c>
      <c r="H6" s="2" t="s">
        <v>148</v>
      </c>
      <c r="I6" s="2" t="s">
        <v>159</v>
      </c>
      <c r="J6" s="2" t="s">
        <v>160</v>
      </c>
    </row>
    <row r="7" customFormat="false" ht="23.85" hidden="false" customHeight="false" outlineLevel="0" collapsed="false">
      <c r="A7" s="2" t="s">
        <v>90</v>
      </c>
      <c r="B7" s="2" t="s">
        <v>141</v>
      </c>
      <c r="C7" s="2" t="s">
        <v>151</v>
      </c>
      <c r="D7" s="2" t="s">
        <v>152</v>
      </c>
      <c r="E7" s="2" t="s">
        <v>143</v>
      </c>
      <c r="F7" s="2" t="s">
        <v>141</v>
      </c>
      <c r="G7" s="2" t="s">
        <v>141</v>
      </c>
      <c r="H7" s="2" t="s">
        <v>148</v>
      </c>
      <c r="I7" s="2" t="s">
        <v>161</v>
      </c>
      <c r="J7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5" t="s">
        <v>163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16" t="s">
        <v>164</v>
      </c>
    </row>
    <row r="5" customFormat="false" ht="39.75" hidden="false" customHeight="true" outlineLevel="0" collapsed="false">
      <c r="A5" s="17" t="s">
        <v>165</v>
      </c>
      <c r="B5" s="18" t="s">
        <v>166</v>
      </c>
      <c r="C5" s="18"/>
      <c r="D5" s="18"/>
      <c r="E5" s="18"/>
      <c r="F5" s="18"/>
    </row>
    <row r="6" customFormat="false" ht="39.75" hidden="false" customHeight="true" outlineLevel="0" collapsed="false">
      <c r="A6" s="17" t="s">
        <v>167</v>
      </c>
      <c r="B6" s="18" t="s">
        <v>168</v>
      </c>
      <c r="C6" s="18"/>
      <c r="D6" s="18"/>
      <c r="E6" s="18"/>
      <c r="F6" s="18"/>
    </row>
    <row r="7" customFormat="false" ht="39.75" hidden="false" customHeight="true" outlineLevel="0" collapsed="false">
      <c r="A7" s="17" t="s">
        <v>169</v>
      </c>
      <c r="B7" s="18" t="s">
        <v>170</v>
      </c>
      <c r="C7" s="18"/>
      <c r="D7" s="18"/>
      <c r="E7" s="18"/>
      <c r="F7" s="18"/>
    </row>
    <row r="8" customFormat="false" ht="39.75" hidden="false" customHeight="true" outlineLevel="0" collapsed="false">
      <c r="A8" s="17" t="s">
        <v>171</v>
      </c>
      <c r="B8" s="18" t="s">
        <v>172</v>
      </c>
      <c r="C8" s="18"/>
      <c r="D8" s="18"/>
      <c r="E8" s="18"/>
      <c r="F8" s="18"/>
    </row>
    <row r="9" customFormat="false" ht="39.75" hidden="false" customHeight="true" outlineLevel="0" collapsed="false">
      <c r="A9" s="17" t="s">
        <v>173</v>
      </c>
      <c r="B9" s="18" t="s">
        <v>174</v>
      </c>
      <c r="C9" s="18"/>
      <c r="D9" s="18"/>
      <c r="E9" s="18"/>
      <c r="F9" s="18"/>
    </row>
    <row r="10" customFormat="false" ht="39.75" hidden="false" customHeight="true" outlineLevel="0" collapsed="false">
      <c r="A10" s="17" t="s">
        <v>175</v>
      </c>
      <c r="B10" s="18" t="s">
        <v>176</v>
      </c>
      <c r="C10" s="18"/>
      <c r="D10" s="18"/>
      <c r="E10" s="18"/>
      <c r="F10" s="18"/>
    </row>
    <row r="12" customFormat="false" ht="15" hidden="false" customHeight="false" outlineLevel="0" collapsed="false">
      <c r="A12" s="19" t="s">
        <v>177</v>
      </c>
      <c r="B12" s="19"/>
      <c r="C12" s="19"/>
      <c r="D12" s="19"/>
      <c r="E12" s="19"/>
      <c r="F12" s="19"/>
    </row>
    <row r="13" customFormat="false" ht="15" hidden="false" customHeight="false" outlineLevel="0" collapsed="false">
      <c r="A13" s="1" t="s">
        <v>105</v>
      </c>
      <c r="B13" s="1" t="s">
        <v>178</v>
      </c>
      <c r="C13" s="1" t="s">
        <v>179</v>
      </c>
      <c r="D13" s="1" t="s">
        <v>180</v>
      </c>
      <c r="E13" s="1" t="s">
        <v>181</v>
      </c>
      <c r="F13" s="1" t="s">
        <v>126</v>
      </c>
    </row>
    <row r="14" customFormat="false" ht="23.85" hidden="false" customHeight="false" outlineLevel="0" collapsed="false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0" t="s">
        <v>187</v>
      </c>
    </row>
    <row r="15" customFormat="false" ht="23.85" hidden="false" customHeight="false" outlineLevel="0" collapsed="false">
      <c r="A15" s="2" t="s">
        <v>188</v>
      </c>
      <c r="B15" s="2" t="s">
        <v>189</v>
      </c>
      <c r="C15" s="2" t="s">
        <v>190</v>
      </c>
      <c r="D15" s="2" t="s">
        <v>191</v>
      </c>
      <c r="E15" s="2" t="s">
        <v>192</v>
      </c>
      <c r="F15" s="21" t="s">
        <v>193</v>
      </c>
    </row>
    <row r="16" customFormat="false" ht="23.85" hidden="false" customHeight="false" outlineLevel="0" collapsed="false">
      <c r="A16" s="2" t="s">
        <v>129</v>
      </c>
      <c r="B16" s="2" t="s">
        <v>194</v>
      </c>
      <c r="C16" s="2" t="s">
        <v>190</v>
      </c>
      <c r="D16" s="2" t="s">
        <v>195</v>
      </c>
      <c r="E16" s="2" t="s">
        <v>196</v>
      </c>
      <c r="F16" s="21" t="s">
        <v>197</v>
      </c>
    </row>
    <row r="17" customFormat="false" ht="23.85" hidden="false" customHeight="false" outlineLevel="0" collapsed="false">
      <c r="A17" s="2" t="s">
        <v>198</v>
      </c>
      <c r="B17" s="2" t="s">
        <v>199</v>
      </c>
      <c r="C17" s="2" t="s">
        <v>58</v>
      </c>
      <c r="D17" s="2" t="s">
        <v>200</v>
      </c>
      <c r="E17" s="2" t="s">
        <v>201</v>
      </c>
      <c r="F17" s="22" t="s">
        <v>202</v>
      </c>
    </row>
    <row r="18" customFormat="false" ht="23.85" hidden="false" customHeight="false" outlineLevel="0" collapsed="false">
      <c r="A18" s="2" t="s">
        <v>203</v>
      </c>
      <c r="B18" s="2" t="s">
        <v>204</v>
      </c>
      <c r="C18" s="2" t="s">
        <v>58</v>
      </c>
      <c r="D18" s="2" t="s">
        <v>200</v>
      </c>
      <c r="E18" s="2" t="s">
        <v>201</v>
      </c>
      <c r="F18" s="22" t="s">
        <v>205</v>
      </c>
    </row>
    <row r="20" customFormat="false" ht="15" hidden="false" customHeight="false" outlineLevel="0" collapsed="false">
      <c r="A20" s="16" t="s">
        <v>206</v>
      </c>
    </row>
    <row r="21" customFormat="false" ht="45" hidden="false" customHeight="true" outlineLevel="0" collapsed="false">
      <c r="A21" s="17" t="s">
        <v>207</v>
      </c>
      <c r="B21" s="18" t="s">
        <v>208</v>
      </c>
      <c r="C21" s="18"/>
      <c r="D21" s="18"/>
      <c r="E21" s="18"/>
      <c r="F21" s="18"/>
    </row>
    <row r="22" customFormat="false" ht="45" hidden="false" customHeight="true" outlineLevel="0" collapsed="false">
      <c r="A22" s="17" t="s">
        <v>209</v>
      </c>
      <c r="B22" s="18" t="s">
        <v>210</v>
      </c>
      <c r="C22" s="18"/>
      <c r="D22" s="18"/>
      <c r="E22" s="18"/>
      <c r="F22" s="18"/>
    </row>
    <row r="23" customFormat="false" ht="45" hidden="false" customHeight="true" outlineLevel="0" collapsed="false">
      <c r="A23" s="17" t="s">
        <v>211</v>
      </c>
      <c r="B23" s="18" t="s">
        <v>212</v>
      </c>
      <c r="C23" s="18"/>
      <c r="D23" s="18"/>
      <c r="E23" s="18"/>
      <c r="F23" s="18"/>
    </row>
    <row r="24" customFormat="false" ht="45" hidden="false" customHeight="true" outlineLevel="0" collapsed="false">
      <c r="A24" s="17" t="s">
        <v>213</v>
      </c>
      <c r="B24" s="18" t="s">
        <v>214</v>
      </c>
      <c r="C24" s="18"/>
      <c r="D24" s="18"/>
      <c r="E24" s="18"/>
      <c r="F24" s="18"/>
    </row>
    <row r="25" customFormat="false" ht="45" hidden="false" customHeight="true" outlineLevel="0" collapsed="false">
      <c r="A25" s="23" t="s">
        <v>215</v>
      </c>
      <c r="B25" s="24" t="s">
        <v>216</v>
      </c>
      <c r="C25" s="24"/>
      <c r="D25" s="24"/>
      <c r="E25" s="24"/>
      <c r="F25" s="24"/>
    </row>
  </sheetData>
  <mergeCells count="13">
    <mergeCell ref="A1:F1"/>
    <mergeCell ref="B5:F5"/>
    <mergeCell ref="B6:F6"/>
    <mergeCell ref="B7:F7"/>
    <mergeCell ref="B8:F8"/>
    <mergeCell ref="B9:F9"/>
    <mergeCell ref="B10:F10"/>
    <mergeCell ref="A12:F12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2" style="0" width="12"/>
  </cols>
  <sheetData>
    <row r="1" customFormat="false" ht="15" hidden="false" customHeight="false" outlineLevel="0" collapsed="false">
      <c r="A1" s="1" t="s">
        <v>105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</row>
    <row r="2" customFormat="false" ht="15" hidden="false" customHeight="false" outlineLevel="0" collapsed="false">
      <c r="A2" s="2" t="s">
        <v>228</v>
      </c>
      <c r="B2" s="4" t="n">
        <v>44.25</v>
      </c>
      <c r="C2" s="4" t="n">
        <v>44.25</v>
      </c>
      <c r="D2" s="4" t="n">
        <v>44.25</v>
      </c>
      <c r="E2" s="4" t="n">
        <v>44.25</v>
      </c>
      <c r="F2" s="4" t="n">
        <v>44.25</v>
      </c>
      <c r="G2" s="4" t="n">
        <v>49.89</v>
      </c>
      <c r="H2" s="2"/>
      <c r="I2" s="2"/>
      <c r="J2" s="2"/>
      <c r="K2" s="2"/>
      <c r="L2" s="2" t="s">
        <v>229</v>
      </c>
    </row>
    <row r="3" customFormat="false" ht="23.85" hidden="false" customHeight="false" outlineLevel="0" collapsed="false">
      <c r="A3" s="2" t="s">
        <v>230</v>
      </c>
      <c r="B3" s="4" t="n">
        <v>28.28</v>
      </c>
      <c r="C3" s="4" t="n">
        <v>28.28</v>
      </c>
      <c r="D3" s="4" t="n">
        <v>28.28</v>
      </c>
      <c r="E3" s="4" t="n">
        <v>28.28</v>
      </c>
      <c r="F3" s="4" t="n">
        <v>28.28</v>
      </c>
      <c r="G3" s="4" t="n">
        <v>31.29</v>
      </c>
      <c r="H3" s="4" t="n">
        <v>32.49</v>
      </c>
      <c r="I3" s="4" t="n">
        <v>33.69</v>
      </c>
      <c r="J3" s="2"/>
      <c r="K3" s="2"/>
      <c r="L3" s="2" t="s">
        <v>231</v>
      </c>
    </row>
    <row r="4" customFormat="false" ht="23.85" hidden="false" customHeight="false" outlineLevel="0" collapsed="false">
      <c r="A4" s="2" t="s">
        <v>230</v>
      </c>
      <c r="B4" s="4" t="n">
        <v>37.84</v>
      </c>
      <c r="C4" s="4" t="n">
        <v>37.84</v>
      </c>
      <c r="D4" s="4" t="n">
        <v>37.84</v>
      </c>
      <c r="E4" s="4" t="n">
        <v>37.84</v>
      </c>
      <c r="F4" s="4" t="n">
        <v>37.84</v>
      </c>
      <c r="G4" s="4" t="n">
        <v>41.87</v>
      </c>
      <c r="H4" s="4" t="n">
        <v>43.48</v>
      </c>
      <c r="I4" s="4" t="n">
        <v>45.09</v>
      </c>
      <c r="J4" s="2"/>
      <c r="K4" s="2"/>
      <c r="L4" s="2" t="s">
        <v>232</v>
      </c>
    </row>
    <row r="5" customFormat="false" ht="15" hidden="false" customHeight="false" outlineLevel="0" collapsed="false">
      <c r="A5" s="2" t="s">
        <v>233</v>
      </c>
      <c r="B5" s="4" t="n">
        <v>27.9</v>
      </c>
      <c r="C5" s="4" t="n">
        <v>27.9</v>
      </c>
      <c r="D5" s="4" t="n">
        <v>27.9</v>
      </c>
      <c r="E5" s="4" t="n">
        <v>27.9</v>
      </c>
      <c r="F5" s="4" t="n">
        <v>27.9</v>
      </c>
      <c r="G5" s="4" t="n">
        <v>29.31</v>
      </c>
      <c r="H5" s="2"/>
      <c r="I5" s="2"/>
      <c r="J5" s="2"/>
      <c r="K5" s="2"/>
      <c r="L5" s="2" t="s">
        <v>229</v>
      </c>
    </row>
    <row r="6" customFormat="false" ht="15" hidden="false" customHeight="false" outlineLevel="0" collapsed="false">
      <c r="A6" s="2" t="s">
        <v>234</v>
      </c>
      <c r="B6" s="2"/>
      <c r="C6" s="4" t="n">
        <v>15.63</v>
      </c>
      <c r="D6" s="4" t="n">
        <v>15.63</v>
      </c>
      <c r="E6" s="4" t="n">
        <v>15.63</v>
      </c>
      <c r="F6" s="4" t="n">
        <v>15.63</v>
      </c>
      <c r="G6" s="4" t="n">
        <v>15.63</v>
      </c>
      <c r="H6" s="4" t="n">
        <v>16.43</v>
      </c>
      <c r="I6" s="4" t="n">
        <v>17.23</v>
      </c>
      <c r="J6" s="2"/>
      <c r="K6" s="2"/>
      <c r="L6" s="2" t="s">
        <v>229</v>
      </c>
    </row>
    <row r="7" customFormat="false" ht="15" hidden="false" customHeight="false" outlineLevel="0" collapsed="false">
      <c r="A7" s="2" t="s">
        <v>203</v>
      </c>
      <c r="B7" s="4" t="n">
        <v>40.14</v>
      </c>
      <c r="C7" s="4" t="n">
        <v>40.14</v>
      </c>
      <c r="D7" s="4" t="n">
        <v>40.14</v>
      </c>
      <c r="E7" s="4" t="n">
        <v>40.14</v>
      </c>
      <c r="F7" s="4" t="n">
        <v>40.14</v>
      </c>
      <c r="G7" s="4" t="n">
        <v>40.14</v>
      </c>
      <c r="H7" s="4" t="n">
        <v>43.16</v>
      </c>
      <c r="I7" s="4" t="n">
        <v>43.16</v>
      </c>
      <c r="J7" s="4" t="n">
        <v>46.19</v>
      </c>
      <c r="K7" s="4" t="n">
        <v>46.19</v>
      </c>
      <c r="L7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2026-02-27T00:45:02Z</dcterms:created>
  <dc:creator>openpyxl</dc:creator>
  <dc:description/>
  <dc:language>en-US</dc:language>
  <cp:lastModifiedBy/>
  <dcterms:modified xsi:type="dcterms:W3CDTF">2026-02-27T00:45:02Z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